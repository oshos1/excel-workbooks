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300a865ad73f0d3/"/>
    </mc:Choice>
  </mc:AlternateContent>
  <xr:revisionPtr revIDLastSave="0" documentId="8_{73E71CDB-60FE-467B-83DD-C2940F4A89C7}" xr6:coauthVersionLast="47" xr6:coauthVersionMax="47" xr10:uidLastSave="{00000000-0000-0000-0000-000000000000}"/>
  <bookViews>
    <workbookView xWindow="-108" yWindow="-108" windowWidth="23256" windowHeight="12456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25" i="1" l="1"/>
  <c r="AD24" i="1"/>
  <c r="AD23" i="1"/>
  <c r="AD22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4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Y4" i="1"/>
  <c r="Z4" i="1"/>
  <c r="AA4" i="1"/>
  <c r="AB4" i="1"/>
  <c r="Y5" i="1"/>
  <c r="Z5" i="1"/>
  <c r="AA5" i="1"/>
  <c r="AB5" i="1"/>
  <c r="Y6" i="1"/>
  <c r="Z6" i="1"/>
  <c r="AA6" i="1"/>
  <c r="AB6" i="1"/>
  <c r="Y7" i="1"/>
  <c r="Z7" i="1"/>
  <c r="AA7" i="1"/>
  <c r="AB7" i="1"/>
  <c r="Y8" i="1"/>
  <c r="Z8" i="1"/>
  <c r="AA8" i="1"/>
  <c r="AB8" i="1"/>
  <c r="Y9" i="1"/>
  <c r="Z9" i="1"/>
  <c r="AA9" i="1"/>
  <c r="AB9" i="1"/>
  <c r="Y10" i="1"/>
  <c r="Z10" i="1"/>
  <c r="AA10" i="1"/>
  <c r="AB10" i="1"/>
  <c r="Y11" i="1"/>
  <c r="Z11" i="1"/>
  <c r="AA11" i="1"/>
  <c r="AB11" i="1"/>
  <c r="Y12" i="1"/>
  <c r="Z12" i="1"/>
  <c r="AA12" i="1"/>
  <c r="AB12" i="1"/>
  <c r="Y13" i="1"/>
  <c r="Z13" i="1"/>
  <c r="AA13" i="1"/>
  <c r="AB13" i="1"/>
  <c r="Y14" i="1"/>
  <c r="Z14" i="1"/>
  <c r="AA14" i="1"/>
  <c r="AB14" i="1"/>
  <c r="Y15" i="1"/>
  <c r="Z15" i="1"/>
  <c r="AA15" i="1"/>
  <c r="AB15" i="1"/>
  <c r="Y16" i="1"/>
  <c r="Z16" i="1"/>
  <c r="AA16" i="1"/>
  <c r="AB16" i="1"/>
  <c r="Y17" i="1"/>
  <c r="Z17" i="1"/>
  <c r="AA17" i="1"/>
  <c r="AB17" i="1"/>
  <c r="Y18" i="1"/>
  <c r="Z18" i="1"/>
  <c r="AA18" i="1"/>
  <c r="AB18" i="1"/>
  <c r="Y19" i="1"/>
  <c r="Z19" i="1"/>
  <c r="AA19" i="1"/>
  <c r="AB19" i="1"/>
  <c r="Y20" i="1"/>
  <c r="Z20" i="1"/>
  <c r="AA20" i="1"/>
  <c r="AB20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Z3" i="1"/>
  <c r="AA3" i="1" s="1"/>
  <c r="AB3" i="1" s="1"/>
  <c r="Y3" i="1"/>
  <c r="W4" i="1"/>
  <c r="U4" i="1"/>
  <c r="T4" i="1"/>
  <c r="V4" i="1"/>
  <c r="T5" i="1"/>
  <c r="U5" i="1"/>
  <c r="V5" i="1"/>
  <c r="W5" i="1"/>
  <c r="T6" i="1"/>
  <c r="U6" i="1"/>
  <c r="V6" i="1"/>
  <c r="W6" i="1"/>
  <c r="T7" i="1"/>
  <c r="U7" i="1"/>
  <c r="V7" i="1"/>
  <c r="W7" i="1"/>
  <c r="T8" i="1"/>
  <c r="U8" i="1"/>
  <c r="V8" i="1"/>
  <c r="W8" i="1"/>
  <c r="T9" i="1"/>
  <c r="U9" i="1"/>
  <c r="V9" i="1"/>
  <c r="W9" i="1"/>
  <c r="T10" i="1"/>
  <c r="U10" i="1"/>
  <c r="V10" i="1"/>
  <c r="W10" i="1"/>
  <c r="T11" i="1"/>
  <c r="U11" i="1"/>
  <c r="V11" i="1"/>
  <c r="W11" i="1"/>
  <c r="T12" i="1"/>
  <c r="U12" i="1"/>
  <c r="V12" i="1"/>
  <c r="W12" i="1"/>
  <c r="T13" i="1"/>
  <c r="U13" i="1"/>
  <c r="V13" i="1"/>
  <c r="W13" i="1"/>
  <c r="T14" i="1"/>
  <c r="U14" i="1"/>
  <c r="V14" i="1"/>
  <c r="W14" i="1"/>
  <c r="T15" i="1"/>
  <c r="U15" i="1"/>
  <c r="V15" i="1"/>
  <c r="W15" i="1"/>
  <c r="T16" i="1"/>
  <c r="U16" i="1"/>
  <c r="V16" i="1"/>
  <c r="W16" i="1"/>
  <c r="T17" i="1"/>
  <c r="U17" i="1"/>
  <c r="V17" i="1"/>
  <c r="W17" i="1"/>
  <c r="T18" i="1"/>
  <c r="U18" i="1"/>
  <c r="V18" i="1"/>
  <c r="W18" i="1"/>
  <c r="T19" i="1"/>
  <c r="U19" i="1"/>
  <c r="V19" i="1"/>
  <c r="W19" i="1"/>
  <c r="T20" i="1"/>
  <c r="U20" i="1"/>
  <c r="V20" i="1"/>
  <c r="W20" i="1"/>
  <c r="S4" i="1"/>
  <c r="U3" i="1"/>
  <c r="V3" i="1" s="1"/>
  <c r="W3" i="1" s="1"/>
  <c r="T3" i="1"/>
  <c r="P4" i="1"/>
  <c r="N4" i="1"/>
  <c r="N8" i="1"/>
  <c r="P8" i="1"/>
  <c r="O5" i="1"/>
  <c r="O4" i="1"/>
  <c r="Q4" i="1"/>
  <c r="R4" i="1"/>
  <c r="P5" i="1"/>
  <c r="Q5" i="1"/>
  <c r="R5" i="1"/>
  <c r="O6" i="1"/>
  <c r="P6" i="1"/>
  <c r="Q6" i="1"/>
  <c r="R6" i="1"/>
  <c r="O7" i="1"/>
  <c r="P7" i="1"/>
  <c r="Q7" i="1"/>
  <c r="R7" i="1"/>
  <c r="O8" i="1"/>
  <c r="Q8" i="1"/>
  <c r="R8" i="1"/>
  <c r="O9" i="1"/>
  <c r="P9" i="1"/>
  <c r="Q9" i="1"/>
  <c r="R9" i="1"/>
  <c r="O10" i="1"/>
  <c r="P10" i="1"/>
  <c r="Q10" i="1"/>
  <c r="R10" i="1"/>
  <c r="O11" i="1"/>
  <c r="P11" i="1"/>
  <c r="Q11" i="1"/>
  <c r="R11" i="1"/>
  <c r="O12" i="1"/>
  <c r="P12" i="1"/>
  <c r="Q12" i="1"/>
  <c r="R12" i="1"/>
  <c r="O13" i="1"/>
  <c r="P13" i="1"/>
  <c r="Q13" i="1"/>
  <c r="R13" i="1"/>
  <c r="O14" i="1"/>
  <c r="P14" i="1"/>
  <c r="Q14" i="1"/>
  <c r="R14" i="1"/>
  <c r="O15" i="1"/>
  <c r="P15" i="1"/>
  <c r="Q15" i="1"/>
  <c r="R15" i="1"/>
  <c r="O16" i="1"/>
  <c r="P16" i="1"/>
  <c r="Q16" i="1"/>
  <c r="R16" i="1"/>
  <c r="O17" i="1"/>
  <c r="P17" i="1"/>
  <c r="Q17" i="1"/>
  <c r="R17" i="1"/>
  <c r="O18" i="1"/>
  <c r="P18" i="1"/>
  <c r="Q18" i="1"/>
  <c r="R18" i="1"/>
  <c r="O19" i="1"/>
  <c r="P19" i="1"/>
  <c r="Q19" i="1"/>
  <c r="R19" i="1"/>
  <c r="O20" i="1"/>
  <c r="P20" i="1"/>
  <c r="Q20" i="1"/>
  <c r="R20" i="1"/>
  <c r="N5" i="1"/>
  <c r="N6" i="1"/>
  <c r="N7" i="1"/>
  <c r="N9" i="1"/>
  <c r="N10" i="1"/>
  <c r="N11" i="1"/>
  <c r="N12" i="1"/>
  <c r="N13" i="1"/>
  <c r="N14" i="1"/>
  <c r="N15" i="1"/>
  <c r="N16" i="1"/>
  <c r="N17" i="1"/>
  <c r="N18" i="1"/>
  <c r="N19" i="1"/>
  <c r="N20" i="1"/>
  <c r="E3" i="1"/>
  <c r="F3" i="1" s="1"/>
  <c r="G3" i="1" s="1"/>
  <c r="H3" i="1" s="1"/>
  <c r="K4" i="1"/>
  <c r="L4" i="1"/>
  <c r="M4" i="1"/>
  <c r="J5" i="1"/>
  <c r="K5" i="1"/>
  <c r="L5" i="1"/>
  <c r="M5" i="1"/>
  <c r="L6" i="1"/>
  <c r="M6" i="1"/>
  <c r="J7" i="1"/>
  <c r="K7" i="1"/>
  <c r="L7" i="1"/>
  <c r="M7" i="1"/>
  <c r="J8" i="1"/>
  <c r="K8" i="1"/>
  <c r="L8" i="1"/>
  <c r="M8" i="1"/>
  <c r="J9" i="1"/>
  <c r="K9" i="1"/>
  <c r="L9" i="1"/>
  <c r="M9" i="1"/>
  <c r="J10" i="1"/>
  <c r="K10" i="1"/>
  <c r="L10" i="1"/>
  <c r="M10" i="1"/>
  <c r="J11" i="1"/>
  <c r="K11" i="1"/>
  <c r="L11" i="1"/>
  <c r="M11" i="1"/>
  <c r="J12" i="1"/>
  <c r="K12" i="1"/>
  <c r="L12" i="1"/>
  <c r="M12" i="1"/>
  <c r="J13" i="1"/>
  <c r="K13" i="1"/>
  <c r="M13" i="1"/>
  <c r="J14" i="1"/>
  <c r="K14" i="1"/>
  <c r="L14" i="1"/>
  <c r="J15" i="1"/>
  <c r="K15" i="1"/>
  <c r="L15" i="1"/>
  <c r="M15" i="1"/>
  <c r="J16" i="1"/>
  <c r="K16" i="1"/>
  <c r="L16" i="1"/>
  <c r="M16" i="1"/>
  <c r="J17" i="1"/>
  <c r="K17" i="1"/>
  <c r="L17" i="1"/>
  <c r="M17" i="1"/>
  <c r="J18" i="1"/>
  <c r="K18" i="1"/>
  <c r="L18" i="1"/>
  <c r="M18" i="1"/>
  <c r="J19" i="1"/>
  <c r="K19" i="1"/>
  <c r="L19" i="1"/>
  <c r="M19" i="1"/>
  <c r="J20" i="1"/>
  <c r="K20" i="1"/>
  <c r="L20" i="1"/>
  <c r="J4" i="1"/>
  <c r="O3" i="1"/>
  <c r="P3" i="1" s="1"/>
  <c r="Q3" i="1" s="1"/>
  <c r="R3" i="1" s="1"/>
  <c r="J3" i="1"/>
  <c r="K3" i="1" s="1"/>
  <c r="L3" i="1" s="1"/>
  <c r="M3" i="1" s="1"/>
  <c r="K6" i="1"/>
  <c r="L13" i="1"/>
  <c r="M14" i="1"/>
  <c r="M20" i="1"/>
  <c r="J6" i="1"/>
  <c r="I5" i="1"/>
  <c r="S5" i="1" s="1"/>
  <c r="I6" i="1"/>
  <c r="S6" i="1" s="1"/>
  <c r="I7" i="1"/>
  <c r="S7" i="1" s="1"/>
  <c r="I8" i="1"/>
  <c r="S8" i="1" s="1"/>
  <c r="I9" i="1"/>
  <c r="S9" i="1" s="1"/>
  <c r="I10" i="1"/>
  <c r="S10" i="1" s="1"/>
  <c r="I11" i="1"/>
  <c r="S11" i="1" s="1"/>
  <c r="I12" i="1"/>
  <c r="S12" i="1" s="1"/>
  <c r="I13" i="1"/>
  <c r="S13" i="1" s="1"/>
  <c r="I14" i="1"/>
  <c r="S14" i="1" s="1"/>
  <c r="I15" i="1"/>
  <c r="S15" i="1" s="1"/>
  <c r="I16" i="1"/>
  <c r="S16" i="1" s="1"/>
  <c r="I17" i="1"/>
  <c r="S17" i="1" s="1"/>
  <c r="I18" i="1"/>
  <c r="S18" i="1" s="1"/>
  <c r="I19" i="1"/>
  <c r="S19" i="1" s="1"/>
  <c r="I20" i="1"/>
  <c r="S20" i="1" s="1"/>
  <c r="I4" i="1"/>
  <c r="D25" i="1"/>
  <c r="D24" i="1"/>
  <c r="D23" i="1"/>
  <c r="D22" i="1"/>
  <c r="C24" i="1"/>
  <c r="C23" i="1"/>
  <c r="C22" i="1"/>
</calcChain>
</file>

<file path=xl/sharedStrings.xml><?xml version="1.0" encoding="utf-8"?>
<sst xmlns="http://schemas.openxmlformats.org/spreadsheetml/2006/main" count="49" uniqueCount="45">
  <si>
    <t>Employee Payroll</t>
  </si>
  <si>
    <t>Last Name</t>
  </si>
  <si>
    <t>First Name</t>
  </si>
  <si>
    <t>Hourly Wage</t>
  </si>
  <si>
    <t>Hours Worked</t>
  </si>
  <si>
    <t>Pay</t>
  </si>
  <si>
    <t>Kerry</t>
  </si>
  <si>
    <t>John</t>
  </si>
  <si>
    <t>James</t>
  </si>
  <si>
    <t>Carl</t>
  </si>
  <si>
    <t>Reign</t>
  </si>
  <si>
    <t>Austin</t>
  </si>
  <si>
    <t>Declar</t>
  </si>
  <si>
    <t>Uyi</t>
  </si>
  <si>
    <t>Greg</t>
  </si>
  <si>
    <t>Sam</t>
  </si>
  <si>
    <t>Kay</t>
  </si>
  <si>
    <t>Grey</t>
  </si>
  <si>
    <t>Yaz</t>
  </si>
  <si>
    <t>Zim</t>
  </si>
  <si>
    <t>Seth</t>
  </si>
  <si>
    <t>Caro</t>
  </si>
  <si>
    <t>Alex</t>
  </si>
  <si>
    <t>Aaron</t>
  </si>
  <si>
    <t>Jobs</t>
  </si>
  <si>
    <t>Steve</t>
  </si>
  <si>
    <t>Emordi</t>
  </si>
  <si>
    <t>Oshodin</t>
  </si>
  <si>
    <t>Dickson</t>
  </si>
  <si>
    <t>Frank</t>
  </si>
  <si>
    <t>Smith</t>
  </si>
  <si>
    <t>Ade</t>
  </si>
  <si>
    <t>Sim</t>
  </si>
  <si>
    <t>Amit</t>
  </si>
  <si>
    <t>Sab</t>
  </si>
  <si>
    <t>Neyo</t>
  </si>
  <si>
    <t>Max</t>
  </si>
  <si>
    <t>Min</t>
  </si>
  <si>
    <t>Average</t>
  </si>
  <si>
    <t>Total</t>
  </si>
  <si>
    <t>By Oshodin Austin</t>
  </si>
  <si>
    <t>Overtime Hours</t>
  </si>
  <si>
    <t>Overtime Pay</t>
  </si>
  <si>
    <t>Total Pay</t>
  </si>
  <si>
    <t>December 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</si>
</sst>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164" formatCode="_-[$£-809]* #,##0.00_-;\-[$£-809]* #,##0.00_-;_-[$£-809]* &quot;-&quot;??_-;_-@_-"/>
    <numFmt numFmtId="170" formatCode="0.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9">
    <xf numFmtId="0" fontId="0" fillId="0" borderId="0" xfId="0"/>
    <xf numFmtId="164" fontId="0" fillId="0" borderId="0" xfId="1" applyNumberFormat="1" applyFont="1"/>
    <xf numFmtId="164" fontId="0" fillId="0" borderId="0" xfId="0" applyNumberFormat="1"/>
    <xf numFmtId="16" fontId="0" fillId="2" borderId="0" xfId="0" applyNumberFormat="1" applyFill="1"/>
    <xf numFmtId="0" fontId="0" fillId="2" borderId="0" xfId="0" applyFill="1"/>
    <xf numFmtId="16" fontId="0" fillId="3" borderId="0" xfId="0" applyNumberFormat="1" applyFill="1"/>
    <xf numFmtId="0" fontId="0" fillId="3" borderId="0" xfId="0" applyFill="1"/>
    <xf numFmtId="16" fontId="0" fillId="4" borderId="0" xfId="0" applyNumberFormat="1" applyFill="1"/>
    <xf numFmtId="164" fontId="0" fillId="4" borderId="0" xfId="0" applyNumberFormat="1" applyFill="1"/>
    <xf numFmtId="0" fontId="0" fillId="0" borderId="0" xfId="0" applyFill="1"/>
    <xf numFmtId="164" fontId="0" fillId="0" borderId="0" xfId="0" applyNumberFormat="1" applyFill="1"/>
    <xf numFmtId="16" fontId="0" fillId="5" borderId="0" xfId="0" applyNumberFormat="1" applyFill="1"/>
    <xf numFmtId="164" fontId="0" fillId="5" borderId="0" xfId="0" applyNumberFormat="1" applyFill="1"/>
    <xf numFmtId="16" fontId="0" fillId="6" borderId="0" xfId="0" applyNumberFormat="1" applyFill="1"/>
    <xf numFmtId="164" fontId="0" fillId="6" borderId="0" xfId="0" applyNumberFormat="1" applyFill="1"/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170" fontId="0" fillId="0" borderId="0" xfId="0" applyNumberFormat="1" applyFill="1"/>
    <xf numFmtId="164" fontId="0" fillId="0" borderId="0" xfId="1" applyNumberFormat="1" applyFon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6"/>
  <sheetViews>
    <sheetView tabSelected="1" zoomScale="65" zoomScaleNormal="65" workbookViewId="0">
      <selection activeCell="K25" sqref="K25"/>
    </sheetView>
  </sheetViews>
  <sheetFormatPr defaultRowHeight="14.4" x14ac:dyDescent="0.3"/>
  <cols>
    <col min="1" max="2" width="10.44140625" customWidth="1"/>
    <col min="3" max="3" width="12.21875" customWidth="1"/>
    <col min="4" max="8" width="12.5546875" customWidth="1"/>
    <col min="9" max="13" width="15.109375" customWidth="1"/>
    <col min="14" max="18" width="12.6640625" customWidth="1"/>
    <col min="19" max="23" width="11.6640625" style="9" customWidth="1"/>
    <col min="24" max="24" width="14.5546875" style="9" customWidth="1"/>
    <col min="25" max="25" width="12" style="9" customWidth="1"/>
    <col min="26" max="26" width="14.109375" style="9" customWidth="1"/>
    <col min="27" max="27" width="13" style="9" customWidth="1"/>
    <col min="28" max="28" width="11.77734375" customWidth="1"/>
    <col min="30" max="30" width="13.44140625" customWidth="1"/>
  </cols>
  <sheetData>
    <row r="1" spans="1:30" x14ac:dyDescent="0.3">
      <c r="A1" t="s">
        <v>0</v>
      </c>
      <c r="C1" t="s">
        <v>40</v>
      </c>
    </row>
    <row r="2" spans="1:30" x14ac:dyDescent="0.3">
      <c r="D2" s="15" t="s">
        <v>4</v>
      </c>
      <c r="E2" s="15"/>
      <c r="F2" s="15"/>
      <c r="G2" s="15"/>
      <c r="H2" s="15"/>
      <c r="I2" s="15" t="s">
        <v>41</v>
      </c>
      <c r="J2" s="15"/>
      <c r="K2" s="15"/>
      <c r="L2" s="15"/>
      <c r="M2" s="15"/>
      <c r="N2" s="15" t="s">
        <v>5</v>
      </c>
      <c r="O2" s="15"/>
      <c r="P2" s="15"/>
      <c r="Q2" s="15"/>
      <c r="R2" s="15"/>
      <c r="S2" s="16" t="s">
        <v>42</v>
      </c>
      <c r="T2" s="16"/>
      <c r="U2" s="16"/>
      <c r="V2" s="16"/>
      <c r="W2" s="16"/>
      <c r="X2" s="16" t="s">
        <v>43</v>
      </c>
      <c r="Y2" s="16"/>
      <c r="Z2" s="16"/>
      <c r="AA2" s="16"/>
      <c r="AB2" s="16"/>
      <c r="AD2" t="s">
        <v>44</v>
      </c>
    </row>
    <row r="3" spans="1:30" x14ac:dyDescent="0.3">
      <c r="A3" t="s">
        <v>1</v>
      </c>
      <c r="B3" t="s">
        <v>2</v>
      </c>
      <c r="C3" t="s">
        <v>3</v>
      </c>
      <c r="D3" s="3">
        <v>45261</v>
      </c>
      <c r="E3" s="3">
        <f>D3+7</f>
        <v>45268</v>
      </c>
      <c r="F3" s="3">
        <f t="shared" ref="F3:H3" si="0">E3+7</f>
        <v>45275</v>
      </c>
      <c r="G3" s="3">
        <f t="shared" si="0"/>
        <v>45282</v>
      </c>
      <c r="H3" s="3">
        <f t="shared" si="0"/>
        <v>45289</v>
      </c>
      <c r="I3" s="5">
        <v>45261</v>
      </c>
      <c r="J3" s="5">
        <f>I3+7</f>
        <v>45268</v>
      </c>
      <c r="K3" s="5">
        <f t="shared" ref="K3:M3" si="1">J3+7</f>
        <v>45275</v>
      </c>
      <c r="L3" s="5">
        <f t="shared" si="1"/>
        <v>45282</v>
      </c>
      <c r="M3" s="5">
        <f t="shared" si="1"/>
        <v>45289</v>
      </c>
      <c r="N3" s="7">
        <v>45261</v>
      </c>
      <c r="O3" s="7">
        <f>N3+7</f>
        <v>45268</v>
      </c>
      <c r="P3" s="7">
        <f t="shared" ref="P3:R3" si="2">O3+7</f>
        <v>45275</v>
      </c>
      <c r="Q3" s="7">
        <f t="shared" si="2"/>
        <v>45282</v>
      </c>
      <c r="R3" s="7">
        <f t="shared" si="2"/>
        <v>45289</v>
      </c>
      <c r="S3" s="11">
        <v>45261</v>
      </c>
      <c r="T3" s="11">
        <f>S3+7</f>
        <v>45268</v>
      </c>
      <c r="U3" s="11">
        <f t="shared" ref="U3:W3" si="3">T3+7</f>
        <v>45275</v>
      </c>
      <c r="V3" s="11">
        <f t="shared" si="3"/>
        <v>45282</v>
      </c>
      <c r="W3" s="11">
        <f t="shared" si="3"/>
        <v>45289</v>
      </c>
      <c r="X3" s="13">
        <v>45261</v>
      </c>
      <c r="Y3" s="13">
        <f>X3+7</f>
        <v>45268</v>
      </c>
      <c r="Z3" s="13">
        <f t="shared" ref="Z3:AB3" si="4">Y3+7</f>
        <v>45275</v>
      </c>
      <c r="AA3" s="13">
        <f t="shared" si="4"/>
        <v>45282</v>
      </c>
      <c r="AB3" s="13">
        <f t="shared" si="4"/>
        <v>45289</v>
      </c>
    </row>
    <row r="4" spans="1:30" x14ac:dyDescent="0.3">
      <c r="A4" t="s">
        <v>6</v>
      </c>
      <c r="B4" t="s">
        <v>7</v>
      </c>
      <c r="C4" s="1">
        <v>15.9</v>
      </c>
      <c r="D4" s="4">
        <v>41</v>
      </c>
      <c r="E4" s="4">
        <v>43</v>
      </c>
      <c r="F4" s="4">
        <v>38</v>
      </c>
      <c r="G4" s="4">
        <v>41</v>
      </c>
      <c r="H4" s="4">
        <v>44</v>
      </c>
      <c r="I4" s="6">
        <f>IF(D4&gt;40,D4-40,0)</f>
        <v>1</v>
      </c>
      <c r="J4" s="6">
        <f>IF(E4&gt;40,E4-40,0)</f>
        <v>3</v>
      </c>
      <c r="K4" s="6">
        <f>IF(F4&gt;40,F4-40,0)</f>
        <v>0</v>
      </c>
      <c r="L4" s="6">
        <f>IF(G4&gt;40,G4-40,0)</f>
        <v>1</v>
      </c>
      <c r="M4" s="6">
        <f>IF(H4&gt;40,H4-40,0)</f>
        <v>4</v>
      </c>
      <c r="N4" s="8">
        <f>$C4*D4</f>
        <v>651.9</v>
      </c>
      <c r="O4" s="8">
        <f>$C4*E4</f>
        <v>683.7</v>
      </c>
      <c r="P4" s="8">
        <f>$C4*F4</f>
        <v>604.20000000000005</v>
      </c>
      <c r="Q4" s="8">
        <f t="shared" ref="O4:R19" si="5">$C4*G4</f>
        <v>651.9</v>
      </c>
      <c r="R4" s="8">
        <f t="shared" si="5"/>
        <v>699.6</v>
      </c>
      <c r="S4" s="12">
        <f>0.5*$C4*I4</f>
        <v>7.95</v>
      </c>
      <c r="T4" s="12">
        <f>0.5*$C4*J4</f>
        <v>23.85</v>
      </c>
      <c r="U4" s="12">
        <f>0.5*$C4*K4</f>
        <v>0</v>
      </c>
      <c r="V4" s="12">
        <f t="shared" ref="T4:W4" si="6">0.5*$C4*L4</f>
        <v>7.95</v>
      </c>
      <c r="W4" s="12">
        <f>0.5*C4*M4</f>
        <v>31.8</v>
      </c>
      <c r="X4" s="14">
        <f>N4+S4</f>
        <v>659.85</v>
      </c>
      <c r="Y4" s="14">
        <f t="shared" ref="Y4:AB19" si="7">O4+T4</f>
        <v>707.55000000000007</v>
      </c>
      <c r="Z4" s="14">
        <f t="shared" si="7"/>
        <v>604.20000000000005</v>
      </c>
      <c r="AA4" s="14">
        <f t="shared" si="7"/>
        <v>659.85</v>
      </c>
      <c r="AB4" s="14">
        <f t="shared" si="7"/>
        <v>731.4</v>
      </c>
      <c r="AD4" s="2">
        <f>SUM(X4:AB4)</f>
        <v>3362.8500000000004</v>
      </c>
    </row>
    <row r="5" spans="1:30" x14ac:dyDescent="0.3">
      <c r="A5" t="s">
        <v>24</v>
      </c>
      <c r="B5" t="s">
        <v>8</v>
      </c>
      <c r="C5" s="1">
        <v>20</v>
      </c>
      <c r="D5" s="4">
        <v>39</v>
      </c>
      <c r="E5" s="4">
        <v>45</v>
      </c>
      <c r="F5" s="4">
        <v>40</v>
      </c>
      <c r="G5" s="4">
        <v>42</v>
      </c>
      <c r="H5" s="4">
        <v>48</v>
      </c>
      <c r="I5" s="6">
        <f>IF(D5&gt;40,D5-40,0)</f>
        <v>0</v>
      </c>
      <c r="J5" s="6">
        <f>IF(E5&gt;40,E5-40,0)</f>
        <v>5</v>
      </c>
      <c r="K5" s="6">
        <f>IF(F5&gt;40,F5-40,0)</f>
        <v>0</v>
      </c>
      <c r="L5" s="6">
        <f>IF(G5&gt;40,G5-40,0)</f>
        <v>2</v>
      </c>
      <c r="M5" s="6">
        <f>IF(H5&gt;40,H5-40,0)</f>
        <v>8</v>
      </c>
      <c r="N5" s="8">
        <f t="shared" ref="N5:N20" si="8">$C5*D5</f>
        <v>780</v>
      </c>
      <c r="O5" s="8">
        <f>$C5*E5</f>
        <v>900</v>
      </c>
      <c r="P5" s="8">
        <f t="shared" si="5"/>
        <v>800</v>
      </c>
      <c r="Q5" s="8">
        <f t="shared" si="5"/>
        <v>840</v>
      </c>
      <c r="R5" s="8">
        <f t="shared" si="5"/>
        <v>960</v>
      </c>
      <c r="S5" s="12">
        <f>0.5*C5*I5</f>
        <v>0</v>
      </c>
      <c r="T5" s="12">
        <f t="shared" ref="T5:W20" si="9">0.5*D5*J5</f>
        <v>97.5</v>
      </c>
      <c r="U5" s="12">
        <f t="shared" si="9"/>
        <v>0</v>
      </c>
      <c r="V5" s="12">
        <f t="shared" si="9"/>
        <v>40</v>
      </c>
      <c r="W5" s="12">
        <f t="shared" si="9"/>
        <v>168</v>
      </c>
      <c r="X5" s="14">
        <f t="shared" ref="X5:X20" si="10">N5+S5</f>
        <v>780</v>
      </c>
      <c r="Y5" s="14">
        <f t="shared" si="7"/>
        <v>997.5</v>
      </c>
      <c r="Z5" s="14">
        <f t="shared" si="7"/>
        <v>800</v>
      </c>
      <c r="AA5" s="14">
        <f t="shared" si="7"/>
        <v>880</v>
      </c>
      <c r="AB5" s="14">
        <f t="shared" si="7"/>
        <v>1128</v>
      </c>
      <c r="AD5" s="2">
        <f t="shared" ref="AD5:AD20" si="11">SUM(X5:AB5)</f>
        <v>4585.5</v>
      </c>
    </row>
    <row r="6" spans="1:30" x14ac:dyDescent="0.3">
      <c r="A6" t="s">
        <v>25</v>
      </c>
      <c r="B6" t="s">
        <v>9</v>
      </c>
      <c r="C6" s="1">
        <v>11.2</v>
      </c>
      <c r="D6" s="4">
        <v>45</v>
      </c>
      <c r="E6" s="4">
        <v>44</v>
      </c>
      <c r="F6" s="4">
        <v>33</v>
      </c>
      <c r="G6" s="4">
        <v>40</v>
      </c>
      <c r="H6" s="4">
        <v>42</v>
      </c>
      <c r="I6" s="6">
        <f>IF(D6&gt;40,D6-40,0)</f>
        <v>5</v>
      </c>
      <c r="J6" s="6">
        <f>IF(E6&gt;40,E6-40,0)</f>
        <v>4</v>
      </c>
      <c r="K6" s="6">
        <f>IF(F6&gt;40,F6-40,0)</f>
        <v>0</v>
      </c>
      <c r="L6" s="6">
        <f>IF(G6&gt;40,G6-40,0)</f>
        <v>0</v>
      </c>
      <c r="M6" s="6">
        <f>IF(H6&gt;40,H6-40,0)</f>
        <v>2</v>
      </c>
      <c r="N6" s="8">
        <f t="shared" si="8"/>
        <v>503.99999999999994</v>
      </c>
      <c r="O6" s="8">
        <f t="shared" si="5"/>
        <v>492.79999999999995</v>
      </c>
      <c r="P6" s="8">
        <f t="shared" si="5"/>
        <v>369.59999999999997</v>
      </c>
      <c r="Q6" s="8">
        <f t="shared" si="5"/>
        <v>448</v>
      </c>
      <c r="R6" s="8">
        <f t="shared" si="5"/>
        <v>470.4</v>
      </c>
      <c r="S6" s="12">
        <f>0.5*C6*I6</f>
        <v>28</v>
      </c>
      <c r="T6" s="12">
        <f t="shared" si="9"/>
        <v>90</v>
      </c>
      <c r="U6" s="12">
        <f t="shared" si="9"/>
        <v>0</v>
      </c>
      <c r="V6" s="12">
        <f t="shared" si="9"/>
        <v>0</v>
      </c>
      <c r="W6" s="12">
        <f t="shared" si="9"/>
        <v>40</v>
      </c>
      <c r="X6" s="14">
        <f t="shared" si="10"/>
        <v>532</v>
      </c>
      <c r="Y6" s="14">
        <f t="shared" si="7"/>
        <v>582.79999999999995</v>
      </c>
      <c r="Z6" s="14">
        <f t="shared" si="7"/>
        <v>369.59999999999997</v>
      </c>
      <c r="AA6" s="14">
        <f t="shared" si="7"/>
        <v>448</v>
      </c>
      <c r="AB6" s="14">
        <f t="shared" si="7"/>
        <v>510.4</v>
      </c>
      <c r="AD6" s="2">
        <f t="shared" si="11"/>
        <v>2442.7999999999997</v>
      </c>
    </row>
    <row r="7" spans="1:30" x14ac:dyDescent="0.3">
      <c r="A7" t="s">
        <v>26</v>
      </c>
      <c r="B7" t="s">
        <v>10</v>
      </c>
      <c r="C7" s="1">
        <v>30</v>
      </c>
      <c r="D7" s="4">
        <v>38</v>
      </c>
      <c r="E7" s="4">
        <v>42</v>
      </c>
      <c r="F7" s="4">
        <v>47</v>
      </c>
      <c r="G7" s="4">
        <v>41</v>
      </c>
      <c r="H7" s="4">
        <v>41</v>
      </c>
      <c r="I7" s="6">
        <f>IF(D7&gt;40,D7-40,0)</f>
        <v>0</v>
      </c>
      <c r="J7" s="6">
        <f>IF(E7&gt;40,E7-40,0)</f>
        <v>2</v>
      </c>
      <c r="K7" s="6">
        <f>IF(F7&gt;40,F7-40,0)</f>
        <v>7</v>
      </c>
      <c r="L7" s="6">
        <f>IF(G7&gt;40,G7-40,0)</f>
        <v>1</v>
      </c>
      <c r="M7" s="6">
        <f>IF(H7&gt;40,H7-40,0)</f>
        <v>1</v>
      </c>
      <c r="N7" s="8">
        <f t="shared" si="8"/>
        <v>1140</v>
      </c>
      <c r="O7" s="8">
        <f t="shared" si="5"/>
        <v>1260</v>
      </c>
      <c r="P7" s="8">
        <f t="shared" si="5"/>
        <v>1410</v>
      </c>
      <c r="Q7" s="8">
        <f t="shared" si="5"/>
        <v>1230</v>
      </c>
      <c r="R7" s="8">
        <f t="shared" si="5"/>
        <v>1230</v>
      </c>
      <c r="S7" s="12">
        <f>0.5*C7*I7</f>
        <v>0</v>
      </c>
      <c r="T7" s="12">
        <f t="shared" si="9"/>
        <v>38</v>
      </c>
      <c r="U7" s="12">
        <f t="shared" si="9"/>
        <v>147</v>
      </c>
      <c r="V7" s="12">
        <f t="shared" si="9"/>
        <v>23.5</v>
      </c>
      <c r="W7" s="12">
        <f t="shared" si="9"/>
        <v>20.5</v>
      </c>
      <c r="X7" s="14">
        <f t="shared" si="10"/>
        <v>1140</v>
      </c>
      <c r="Y7" s="14">
        <f t="shared" si="7"/>
        <v>1298</v>
      </c>
      <c r="Z7" s="14">
        <f t="shared" si="7"/>
        <v>1557</v>
      </c>
      <c r="AA7" s="14">
        <f t="shared" si="7"/>
        <v>1253.5</v>
      </c>
      <c r="AB7" s="14">
        <f t="shared" si="7"/>
        <v>1250.5</v>
      </c>
      <c r="AD7" s="2">
        <f t="shared" si="11"/>
        <v>6499</v>
      </c>
    </row>
    <row r="8" spans="1:30" x14ac:dyDescent="0.3">
      <c r="A8" t="s">
        <v>27</v>
      </c>
      <c r="B8" t="s">
        <v>11</v>
      </c>
      <c r="C8" s="1">
        <v>53</v>
      </c>
      <c r="D8" s="4">
        <v>45</v>
      </c>
      <c r="E8" s="4">
        <v>42</v>
      </c>
      <c r="F8" s="4">
        <v>46</v>
      </c>
      <c r="G8" s="4">
        <v>49</v>
      </c>
      <c r="H8" s="4">
        <v>43</v>
      </c>
      <c r="I8" s="6">
        <f>IF(D8&gt;40,D8-40,0)</f>
        <v>5</v>
      </c>
      <c r="J8" s="6">
        <f>IF(E8&gt;40,E8-40,0)</f>
        <v>2</v>
      </c>
      <c r="K8" s="6">
        <f>IF(F8&gt;40,F8-40,0)</f>
        <v>6</v>
      </c>
      <c r="L8" s="6">
        <f>IF(G8&gt;40,G8-40,0)</f>
        <v>9</v>
      </c>
      <c r="M8" s="6">
        <f>IF(H8&gt;40,H8-40,0)</f>
        <v>3</v>
      </c>
      <c r="N8" s="8">
        <f>$C8*D8</f>
        <v>2385</v>
      </c>
      <c r="O8" s="8">
        <f t="shared" si="5"/>
        <v>2226</v>
      </c>
      <c r="P8" s="8">
        <f>$C8*F8</f>
        <v>2438</v>
      </c>
      <c r="Q8" s="8">
        <f t="shared" si="5"/>
        <v>2597</v>
      </c>
      <c r="R8" s="8">
        <f t="shared" si="5"/>
        <v>2279</v>
      </c>
      <c r="S8" s="12">
        <f>0.5*C8*I8</f>
        <v>132.5</v>
      </c>
      <c r="T8" s="12">
        <f t="shared" si="9"/>
        <v>45</v>
      </c>
      <c r="U8" s="12">
        <f t="shared" si="9"/>
        <v>126</v>
      </c>
      <c r="V8" s="12">
        <f t="shared" si="9"/>
        <v>207</v>
      </c>
      <c r="W8" s="12">
        <f t="shared" si="9"/>
        <v>73.5</v>
      </c>
      <c r="X8" s="14">
        <f t="shared" si="10"/>
        <v>2517.5</v>
      </c>
      <c r="Y8" s="14">
        <f t="shared" si="7"/>
        <v>2271</v>
      </c>
      <c r="Z8" s="14">
        <f t="shared" si="7"/>
        <v>2564</v>
      </c>
      <c r="AA8" s="14">
        <f t="shared" si="7"/>
        <v>2804</v>
      </c>
      <c r="AB8" s="14">
        <f t="shared" si="7"/>
        <v>2352.5</v>
      </c>
      <c r="AD8" s="2">
        <f t="shared" si="11"/>
        <v>12509</v>
      </c>
    </row>
    <row r="9" spans="1:30" x14ac:dyDescent="0.3">
      <c r="A9" t="s">
        <v>28</v>
      </c>
      <c r="B9" t="s">
        <v>12</v>
      </c>
      <c r="C9" s="1">
        <v>50.2</v>
      </c>
      <c r="D9" s="4">
        <v>42</v>
      </c>
      <c r="E9" s="4">
        <v>48</v>
      </c>
      <c r="F9" s="4">
        <v>42</v>
      </c>
      <c r="G9" s="4">
        <v>45</v>
      </c>
      <c r="H9" s="4">
        <v>44</v>
      </c>
      <c r="I9" s="6">
        <f>IF(D9&gt;40,D9-40,0)</f>
        <v>2</v>
      </c>
      <c r="J9" s="6">
        <f>IF(E9&gt;40,E9-40,0)</f>
        <v>8</v>
      </c>
      <c r="K9" s="6">
        <f>IF(F9&gt;40,F9-40,0)</f>
        <v>2</v>
      </c>
      <c r="L9" s="6">
        <f>IF(G9&gt;40,G9-40,0)</f>
        <v>5</v>
      </c>
      <c r="M9" s="6">
        <f>IF(H9&gt;40,H9-40,0)</f>
        <v>4</v>
      </c>
      <c r="N9" s="8">
        <f t="shared" si="8"/>
        <v>2108.4</v>
      </c>
      <c r="O9" s="8">
        <f t="shared" si="5"/>
        <v>2409.6000000000004</v>
      </c>
      <c r="P9" s="8">
        <f t="shared" si="5"/>
        <v>2108.4</v>
      </c>
      <c r="Q9" s="8">
        <f t="shared" si="5"/>
        <v>2259</v>
      </c>
      <c r="R9" s="8">
        <f t="shared" si="5"/>
        <v>2208.8000000000002</v>
      </c>
      <c r="S9" s="12">
        <f>0.5*C9*I9</f>
        <v>50.2</v>
      </c>
      <c r="T9" s="12">
        <f t="shared" si="9"/>
        <v>168</v>
      </c>
      <c r="U9" s="12">
        <f t="shared" si="9"/>
        <v>48</v>
      </c>
      <c r="V9" s="12">
        <f t="shared" si="9"/>
        <v>105</v>
      </c>
      <c r="W9" s="12">
        <f t="shared" si="9"/>
        <v>90</v>
      </c>
      <c r="X9" s="14">
        <f t="shared" si="10"/>
        <v>2158.6</v>
      </c>
      <c r="Y9" s="14">
        <f t="shared" si="7"/>
        <v>2577.6000000000004</v>
      </c>
      <c r="Z9" s="14">
        <f t="shared" si="7"/>
        <v>2156.4</v>
      </c>
      <c r="AA9" s="14">
        <f t="shared" si="7"/>
        <v>2364</v>
      </c>
      <c r="AB9" s="14">
        <f t="shared" si="7"/>
        <v>2298.8000000000002</v>
      </c>
      <c r="AD9" s="2">
        <f t="shared" si="11"/>
        <v>11555.400000000001</v>
      </c>
    </row>
    <row r="10" spans="1:30" x14ac:dyDescent="0.3">
      <c r="A10" t="s">
        <v>26</v>
      </c>
      <c r="B10" t="s">
        <v>13</v>
      </c>
      <c r="C10" s="1">
        <v>65.8</v>
      </c>
      <c r="D10" s="4">
        <v>40</v>
      </c>
      <c r="E10" s="4">
        <v>43</v>
      </c>
      <c r="F10" s="4">
        <v>40</v>
      </c>
      <c r="G10" s="4">
        <v>50</v>
      </c>
      <c r="H10" s="4">
        <v>39</v>
      </c>
      <c r="I10" s="6">
        <f>IF(D10&gt;40,D10-40,0)</f>
        <v>0</v>
      </c>
      <c r="J10" s="6">
        <f>IF(E10&gt;40,E10-40,0)</f>
        <v>3</v>
      </c>
      <c r="K10" s="6">
        <f>IF(F10&gt;40,F10-40,0)</f>
        <v>0</v>
      </c>
      <c r="L10" s="6">
        <f>IF(G10&gt;40,G10-40,0)</f>
        <v>10</v>
      </c>
      <c r="M10" s="6">
        <f>IF(H10&gt;40,H10-40,0)</f>
        <v>0</v>
      </c>
      <c r="N10" s="8">
        <f t="shared" si="8"/>
        <v>2632</v>
      </c>
      <c r="O10" s="8">
        <f t="shared" si="5"/>
        <v>2829.4</v>
      </c>
      <c r="P10" s="8">
        <f t="shared" si="5"/>
        <v>2632</v>
      </c>
      <c r="Q10" s="8">
        <f t="shared" si="5"/>
        <v>3290</v>
      </c>
      <c r="R10" s="8">
        <f t="shared" si="5"/>
        <v>2566.1999999999998</v>
      </c>
      <c r="S10" s="12">
        <f>0.5*C10*I10</f>
        <v>0</v>
      </c>
      <c r="T10" s="12">
        <f t="shared" si="9"/>
        <v>60</v>
      </c>
      <c r="U10" s="12">
        <f t="shared" si="9"/>
        <v>0</v>
      </c>
      <c r="V10" s="12">
        <f t="shared" si="9"/>
        <v>200</v>
      </c>
      <c r="W10" s="12">
        <f t="shared" si="9"/>
        <v>0</v>
      </c>
      <c r="X10" s="14">
        <f t="shared" si="10"/>
        <v>2632</v>
      </c>
      <c r="Y10" s="14">
        <f t="shared" si="7"/>
        <v>2889.4</v>
      </c>
      <c r="Z10" s="14">
        <f t="shared" si="7"/>
        <v>2632</v>
      </c>
      <c r="AA10" s="14">
        <f t="shared" si="7"/>
        <v>3490</v>
      </c>
      <c r="AB10" s="14">
        <f t="shared" si="7"/>
        <v>2566.1999999999998</v>
      </c>
      <c r="AD10" s="2">
        <f t="shared" si="11"/>
        <v>14209.599999999999</v>
      </c>
    </row>
    <row r="11" spans="1:30" x14ac:dyDescent="0.3">
      <c r="A11" t="s">
        <v>29</v>
      </c>
      <c r="B11" t="s">
        <v>14</v>
      </c>
      <c r="C11" s="1">
        <v>13</v>
      </c>
      <c r="D11" s="4">
        <v>44</v>
      </c>
      <c r="E11" s="4">
        <v>45</v>
      </c>
      <c r="F11" s="4">
        <v>46</v>
      </c>
      <c r="G11" s="4">
        <v>44</v>
      </c>
      <c r="H11" s="4">
        <v>34</v>
      </c>
      <c r="I11" s="6">
        <f>IF(D11&gt;40,D11-40,0)</f>
        <v>4</v>
      </c>
      <c r="J11" s="6">
        <f>IF(E11&gt;40,E11-40,0)</f>
        <v>5</v>
      </c>
      <c r="K11" s="6">
        <f>IF(F11&gt;40,F11-40,0)</f>
        <v>6</v>
      </c>
      <c r="L11" s="6">
        <f>IF(G11&gt;40,G11-40,0)</f>
        <v>4</v>
      </c>
      <c r="M11" s="6">
        <f>IF(H11&gt;40,H11-40,0)</f>
        <v>0</v>
      </c>
      <c r="N11" s="8">
        <f t="shared" si="8"/>
        <v>572</v>
      </c>
      <c r="O11" s="8">
        <f t="shared" si="5"/>
        <v>585</v>
      </c>
      <c r="P11" s="8">
        <f t="shared" si="5"/>
        <v>598</v>
      </c>
      <c r="Q11" s="8">
        <f t="shared" si="5"/>
        <v>572</v>
      </c>
      <c r="R11" s="8">
        <f t="shared" si="5"/>
        <v>442</v>
      </c>
      <c r="S11" s="12">
        <f>0.5*C11*I11</f>
        <v>26</v>
      </c>
      <c r="T11" s="12">
        <f t="shared" si="9"/>
        <v>110</v>
      </c>
      <c r="U11" s="12">
        <f t="shared" si="9"/>
        <v>135</v>
      </c>
      <c r="V11" s="12">
        <f t="shared" si="9"/>
        <v>92</v>
      </c>
      <c r="W11" s="12">
        <f t="shared" si="9"/>
        <v>0</v>
      </c>
      <c r="X11" s="14">
        <f t="shared" si="10"/>
        <v>598</v>
      </c>
      <c r="Y11" s="14">
        <f t="shared" si="7"/>
        <v>695</v>
      </c>
      <c r="Z11" s="14">
        <f t="shared" si="7"/>
        <v>733</v>
      </c>
      <c r="AA11" s="14">
        <f t="shared" si="7"/>
        <v>664</v>
      </c>
      <c r="AB11" s="14">
        <f t="shared" si="7"/>
        <v>442</v>
      </c>
      <c r="AD11" s="2">
        <f t="shared" si="11"/>
        <v>3132</v>
      </c>
    </row>
    <row r="12" spans="1:30" x14ac:dyDescent="0.3">
      <c r="A12" t="s">
        <v>30</v>
      </c>
      <c r="B12" t="s">
        <v>15</v>
      </c>
      <c r="C12" s="1">
        <v>14</v>
      </c>
      <c r="D12" s="4">
        <v>49</v>
      </c>
      <c r="E12" s="4">
        <v>44</v>
      </c>
      <c r="F12" s="4">
        <v>41</v>
      </c>
      <c r="G12" s="4">
        <v>45</v>
      </c>
      <c r="H12" s="4">
        <v>42</v>
      </c>
      <c r="I12" s="6">
        <f>IF(D12&gt;40,D12-40,0)</f>
        <v>9</v>
      </c>
      <c r="J12" s="6">
        <f>IF(E12&gt;40,E12-40,0)</f>
        <v>4</v>
      </c>
      <c r="K12" s="6">
        <f>IF(F12&gt;40,F12-40,0)</f>
        <v>1</v>
      </c>
      <c r="L12" s="6">
        <f>IF(G12&gt;40,G12-40,0)</f>
        <v>5</v>
      </c>
      <c r="M12" s="6">
        <f>IF(H12&gt;40,H12-40,0)</f>
        <v>2</v>
      </c>
      <c r="N12" s="8">
        <f t="shared" si="8"/>
        <v>686</v>
      </c>
      <c r="O12" s="8">
        <f t="shared" si="5"/>
        <v>616</v>
      </c>
      <c r="P12" s="8">
        <f t="shared" si="5"/>
        <v>574</v>
      </c>
      <c r="Q12" s="8">
        <f t="shared" si="5"/>
        <v>630</v>
      </c>
      <c r="R12" s="8">
        <f t="shared" si="5"/>
        <v>588</v>
      </c>
      <c r="S12" s="12">
        <f>0.5*C12*I12</f>
        <v>63</v>
      </c>
      <c r="T12" s="12">
        <f t="shared" si="9"/>
        <v>98</v>
      </c>
      <c r="U12" s="12">
        <f t="shared" si="9"/>
        <v>22</v>
      </c>
      <c r="V12" s="12">
        <f t="shared" si="9"/>
        <v>102.5</v>
      </c>
      <c r="W12" s="12">
        <f t="shared" si="9"/>
        <v>45</v>
      </c>
      <c r="X12" s="14">
        <f t="shared" si="10"/>
        <v>749</v>
      </c>
      <c r="Y12" s="14">
        <f t="shared" si="7"/>
        <v>714</v>
      </c>
      <c r="Z12" s="14">
        <f t="shared" si="7"/>
        <v>596</v>
      </c>
      <c r="AA12" s="14">
        <f t="shared" si="7"/>
        <v>732.5</v>
      </c>
      <c r="AB12" s="14">
        <f t="shared" si="7"/>
        <v>633</v>
      </c>
      <c r="AD12" s="2">
        <f t="shared" si="11"/>
        <v>3424.5</v>
      </c>
    </row>
    <row r="13" spans="1:30" x14ac:dyDescent="0.3">
      <c r="A13" t="s">
        <v>31</v>
      </c>
      <c r="B13" t="s">
        <v>16</v>
      </c>
      <c r="C13" s="1">
        <v>9.89</v>
      </c>
      <c r="D13" s="4">
        <v>55</v>
      </c>
      <c r="E13" s="4">
        <v>40</v>
      </c>
      <c r="F13" s="4">
        <v>45</v>
      </c>
      <c r="G13" s="4">
        <v>43</v>
      </c>
      <c r="H13" s="4">
        <v>41</v>
      </c>
      <c r="I13" s="6">
        <f>IF(D13&gt;40,D13-40,0)</f>
        <v>15</v>
      </c>
      <c r="J13" s="6">
        <f>IF(E13&gt;40,E13-40,0)</f>
        <v>0</v>
      </c>
      <c r="K13" s="6">
        <f>IF(F13&gt;40,F13-40,0)</f>
        <v>5</v>
      </c>
      <c r="L13" s="6">
        <f>IF(G13&gt;40,G13-40,0)</f>
        <v>3</v>
      </c>
      <c r="M13" s="6">
        <f>IF(H13&gt;40,H13-40,0)</f>
        <v>1</v>
      </c>
      <c r="N13" s="8">
        <f t="shared" si="8"/>
        <v>543.95000000000005</v>
      </c>
      <c r="O13" s="8">
        <f t="shared" si="5"/>
        <v>395.6</v>
      </c>
      <c r="P13" s="8">
        <f t="shared" si="5"/>
        <v>445.05</v>
      </c>
      <c r="Q13" s="8">
        <f t="shared" si="5"/>
        <v>425.27000000000004</v>
      </c>
      <c r="R13" s="8">
        <f t="shared" si="5"/>
        <v>405.49</v>
      </c>
      <c r="S13" s="12">
        <f>0.5*C13*I13</f>
        <v>74.175000000000011</v>
      </c>
      <c r="T13" s="12">
        <f t="shared" si="9"/>
        <v>0</v>
      </c>
      <c r="U13" s="12">
        <f t="shared" si="9"/>
        <v>100</v>
      </c>
      <c r="V13" s="12">
        <f t="shared" si="9"/>
        <v>67.5</v>
      </c>
      <c r="W13" s="12">
        <f t="shared" si="9"/>
        <v>21.5</v>
      </c>
      <c r="X13" s="14">
        <f t="shared" si="10"/>
        <v>618.125</v>
      </c>
      <c r="Y13" s="14">
        <f t="shared" si="7"/>
        <v>395.6</v>
      </c>
      <c r="Z13" s="14">
        <f t="shared" si="7"/>
        <v>545.04999999999995</v>
      </c>
      <c r="AA13" s="14">
        <f t="shared" si="7"/>
        <v>492.77000000000004</v>
      </c>
      <c r="AB13" s="14">
        <f t="shared" si="7"/>
        <v>426.99</v>
      </c>
      <c r="AD13" s="2">
        <f t="shared" si="11"/>
        <v>2478.5349999999999</v>
      </c>
    </row>
    <row r="14" spans="1:30" x14ac:dyDescent="0.3">
      <c r="A14" t="s">
        <v>32</v>
      </c>
      <c r="B14" t="s">
        <v>17</v>
      </c>
      <c r="C14" s="1">
        <v>10.89</v>
      </c>
      <c r="D14" s="4">
        <v>48</v>
      </c>
      <c r="E14" s="4">
        <v>39</v>
      </c>
      <c r="F14" s="4">
        <v>39</v>
      </c>
      <c r="G14" s="4">
        <v>43</v>
      </c>
      <c r="H14" s="4">
        <v>37</v>
      </c>
      <c r="I14" s="6">
        <f>IF(D14&gt;40,D14-40,0)</f>
        <v>8</v>
      </c>
      <c r="J14" s="6">
        <f>IF(E14&gt;40,E14-40,0)</f>
        <v>0</v>
      </c>
      <c r="K14" s="6">
        <f>IF(F14&gt;40,F14-40,0)</f>
        <v>0</v>
      </c>
      <c r="L14" s="6">
        <f>IF(G14&gt;40,G14-40,0)</f>
        <v>3</v>
      </c>
      <c r="M14" s="6">
        <f>IF(H14&gt;40,H14-40,0)</f>
        <v>0</v>
      </c>
      <c r="N14" s="8">
        <f t="shared" si="8"/>
        <v>522.72</v>
      </c>
      <c r="O14" s="8">
        <f t="shared" si="5"/>
        <v>424.71000000000004</v>
      </c>
      <c r="P14" s="8">
        <f t="shared" si="5"/>
        <v>424.71000000000004</v>
      </c>
      <c r="Q14" s="8">
        <f t="shared" si="5"/>
        <v>468.27000000000004</v>
      </c>
      <c r="R14" s="8">
        <f t="shared" si="5"/>
        <v>402.93</v>
      </c>
      <c r="S14" s="12">
        <f>0.5*C14*I14</f>
        <v>43.56</v>
      </c>
      <c r="T14" s="12">
        <f t="shared" si="9"/>
        <v>0</v>
      </c>
      <c r="U14" s="12">
        <f t="shared" si="9"/>
        <v>0</v>
      </c>
      <c r="V14" s="12">
        <f t="shared" si="9"/>
        <v>58.5</v>
      </c>
      <c r="W14" s="12">
        <f t="shared" si="9"/>
        <v>0</v>
      </c>
      <c r="X14" s="14">
        <f t="shared" si="10"/>
        <v>566.28</v>
      </c>
      <c r="Y14" s="14">
        <f t="shared" si="7"/>
        <v>424.71000000000004</v>
      </c>
      <c r="Z14" s="14">
        <f t="shared" si="7"/>
        <v>424.71000000000004</v>
      </c>
      <c r="AA14" s="14">
        <f t="shared" si="7"/>
        <v>526.77</v>
      </c>
      <c r="AB14" s="14">
        <f t="shared" si="7"/>
        <v>402.93</v>
      </c>
      <c r="AD14" s="2">
        <f t="shared" si="11"/>
        <v>2345.4</v>
      </c>
    </row>
    <row r="15" spans="1:30" x14ac:dyDescent="0.3">
      <c r="A15" t="s">
        <v>33</v>
      </c>
      <c r="B15" t="s">
        <v>18</v>
      </c>
      <c r="C15" s="1">
        <v>15.2</v>
      </c>
      <c r="D15" s="4">
        <v>38</v>
      </c>
      <c r="E15" s="4">
        <v>41</v>
      </c>
      <c r="F15" s="4">
        <v>36</v>
      </c>
      <c r="G15" s="4">
        <v>46</v>
      </c>
      <c r="H15" s="4">
        <v>50</v>
      </c>
      <c r="I15" s="6">
        <f>IF(D15&gt;40,D15-40,0)</f>
        <v>0</v>
      </c>
      <c r="J15" s="6">
        <f>IF(E15&gt;40,E15-40,0)</f>
        <v>1</v>
      </c>
      <c r="K15" s="6">
        <f>IF(F15&gt;40,F15-40,0)</f>
        <v>0</v>
      </c>
      <c r="L15" s="6">
        <f>IF(G15&gt;40,G15-40,0)</f>
        <v>6</v>
      </c>
      <c r="M15" s="6">
        <f>IF(H15&gt;40,H15-40,0)</f>
        <v>10</v>
      </c>
      <c r="N15" s="8">
        <f t="shared" si="8"/>
        <v>577.6</v>
      </c>
      <c r="O15" s="8">
        <f t="shared" si="5"/>
        <v>623.19999999999993</v>
      </c>
      <c r="P15" s="8">
        <f t="shared" si="5"/>
        <v>547.19999999999993</v>
      </c>
      <c r="Q15" s="8">
        <f t="shared" si="5"/>
        <v>699.19999999999993</v>
      </c>
      <c r="R15" s="8">
        <f t="shared" si="5"/>
        <v>760</v>
      </c>
      <c r="S15" s="12">
        <f>0.5*C15*I15</f>
        <v>0</v>
      </c>
      <c r="T15" s="12">
        <f t="shared" si="9"/>
        <v>19</v>
      </c>
      <c r="U15" s="12">
        <f t="shared" si="9"/>
        <v>0</v>
      </c>
      <c r="V15" s="12">
        <f t="shared" si="9"/>
        <v>108</v>
      </c>
      <c r="W15" s="12">
        <f t="shared" si="9"/>
        <v>230</v>
      </c>
      <c r="X15" s="14">
        <f t="shared" si="10"/>
        <v>577.6</v>
      </c>
      <c r="Y15" s="14">
        <f t="shared" si="7"/>
        <v>642.19999999999993</v>
      </c>
      <c r="Z15" s="14">
        <f t="shared" si="7"/>
        <v>547.19999999999993</v>
      </c>
      <c r="AA15" s="14">
        <f t="shared" si="7"/>
        <v>807.19999999999993</v>
      </c>
      <c r="AB15" s="14">
        <f t="shared" si="7"/>
        <v>990</v>
      </c>
      <c r="AD15" s="2">
        <f t="shared" si="11"/>
        <v>3564.2</v>
      </c>
    </row>
    <row r="16" spans="1:30" x14ac:dyDescent="0.3">
      <c r="A16" t="s">
        <v>34</v>
      </c>
      <c r="B16" t="s">
        <v>19</v>
      </c>
      <c r="C16" s="1">
        <v>14.96</v>
      </c>
      <c r="D16" s="4">
        <v>40</v>
      </c>
      <c r="E16" s="4">
        <v>41</v>
      </c>
      <c r="F16" s="4">
        <v>46</v>
      </c>
      <c r="G16" s="4">
        <v>42</v>
      </c>
      <c r="H16" s="4">
        <v>55</v>
      </c>
      <c r="I16" s="6">
        <f>IF(D16&gt;40,D16-40,0)</f>
        <v>0</v>
      </c>
      <c r="J16" s="6">
        <f>IF(E16&gt;40,E16-40,0)</f>
        <v>1</v>
      </c>
      <c r="K16" s="6">
        <f>IF(F16&gt;40,F16-40,0)</f>
        <v>6</v>
      </c>
      <c r="L16" s="6">
        <f>IF(G16&gt;40,G16-40,0)</f>
        <v>2</v>
      </c>
      <c r="M16" s="6">
        <f>IF(H16&gt;40,H16-40,0)</f>
        <v>15</v>
      </c>
      <c r="N16" s="8">
        <f t="shared" si="8"/>
        <v>598.40000000000009</v>
      </c>
      <c r="O16" s="8">
        <f t="shared" si="5"/>
        <v>613.36</v>
      </c>
      <c r="P16" s="8">
        <f t="shared" si="5"/>
        <v>688.16000000000008</v>
      </c>
      <c r="Q16" s="8">
        <f t="shared" si="5"/>
        <v>628.32000000000005</v>
      </c>
      <c r="R16" s="8">
        <f t="shared" si="5"/>
        <v>822.80000000000007</v>
      </c>
      <c r="S16" s="12">
        <f>0.5*C16*I16</f>
        <v>0</v>
      </c>
      <c r="T16" s="12">
        <f t="shared" si="9"/>
        <v>20</v>
      </c>
      <c r="U16" s="12">
        <f t="shared" si="9"/>
        <v>123</v>
      </c>
      <c r="V16" s="12">
        <f t="shared" si="9"/>
        <v>46</v>
      </c>
      <c r="W16" s="12">
        <f t="shared" si="9"/>
        <v>315</v>
      </c>
      <c r="X16" s="14">
        <f t="shared" si="10"/>
        <v>598.40000000000009</v>
      </c>
      <c r="Y16" s="14">
        <f t="shared" si="7"/>
        <v>633.36</v>
      </c>
      <c r="Z16" s="14">
        <f t="shared" si="7"/>
        <v>811.16000000000008</v>
      </c>
      <c r="AA16" s="14">
        <f t="shared" si="7"/>
        <v>674.32</v>
      </c>
      <c r="AB16" s="14">
        <f t="shared" si="7"/>
        <v>1137.8000000000002</v>
      </c>
      <c r="AD16" s="2">
        <f t="shared" si="11"/>
        <v>3855.0400000000004</v>
      </c>
    </row>
    <row r="17" spans="1:30" x14ac:dyDescent="0.3">
      <c r="A17" t="s">
        <v>35</v>
      </c>
      <c r="B17" t="s">
        <v>20</v>
      </c>
      <c r="C17" s="1">
        <v>12.2</v>
      </c>
      <c r="D17" s="4">
        <v>41</v>
      </c>
      <c r="E17" s="4">
        <v>55</v>
      </c>
      <c r="F17" s="4">
        <v>47</v>
      </c>
      <c r="G17" s="4">
        <v>39</v>
      </c>
      <c r="H17" s="4">
        <v>40</v>
      </c>
      <c r="I17" s="6">
        <f>IF(D17&gt;40,D17-40,0)</f>
        <v>1</v>
      </c>
      <c r="J17" s="6">
        <f>IF(E17&gt;40,E17-40,0)</f>
        <v>15</v>
      </c>
      <c r="K17" s="6">
        <f>IF(F17&gt;40,F17-40,0)</f>
        <v>7</v>
      </c>
      <c r="L17" s="6">
        <f>IF(G17&gt;40,G17-40,0)</f>
        <v>0</v>
      </c>
      <c r="M17" s="6">
        <f>IF(H17&gt;40,H17-40,0)</f>
        <v>0</v>
      </c>
      <c r="N17" s="8">
        <f t="shared" si="8"/>
        <v>500.2</v>
      </c>
      <c r="O17" s="8">
        <f t="shared" si="5"/>
        <v>671</v>
      </c>
      <c r="P17" s="8">
        <f t="shared" si="5"/>
        <v>573.4</v>
      </c>
      <c r="Q17" s="8">
        <f t="shared" si="5"/>
        <v>475.79999999999995</v>
      </c>
      <c r="R17" s="8">
        <f t="shared" si="5"/>
        <v>488</v>
      </c>
      <c r="S17" s="12">
        <f>0.5*C17*I17</f>
        <v>6.1</v>
      </c>
      <c r="T17" s="12">
        <f t="shared" si="9"/>
        <v>307.5</v>
      </c>
      <c r="U17" s="12">
        <f t="shared" si="9"/>
        <v>192.5</v>
      </c>
      <c r="V17" s="12">
        <f t="shared" si="9"/>
        <v>0</v>
      </c>
      <c r="W17" s="12">
        <f t="shared" si="9"/>
        <v>0</v>
      </c>
      <c r="X17" s="14">
        <f t="shared" si="10"/>
        <v>506.3</v>
      </c>
      <c r="Y17" s="14">
        <f t="shared" si="7"/>
        <v>978.5</v>
      </c>
      <c r="Z17" s="14">
        <f t="shared" si="7"/>
        <v>765.9</v>
      </c>
      <c r="AA17" s="14">
        <f t="shared" si="7"/>
        <v>475.79999999999995</v>
      </c>
      <c r="AB17" s="14">
        <f t="shared" si="7"/>
        <v>488</v>
      </c>
      <c r="AD17" s="2">
        <f t="shared" si="11"/>
        <v>3214.5</v>
      </c>
    </row>
    <row r="18" spans="1:30" x14ac:dyDescent="0.3">
      <c r="A18" t="s">
        <v>27</v>
      </c>
      <c r="B18" t="s">
        <v>21</v>
      </c>
      <c r="C18" s="1">
        <v>43.2</v>
      </c>
      <c r="D18" s="4">
        <v>43</v>
      </c>
      <c r="E18" s="4">
        <v>46</v>
      </c>
      <c r="F18" s="4">
        <v>43</v>
      </c>
      <c r="G18" s="4">
        <v>48</v>
      </c>
      <c r="H18" s="4">
        <v>41</v>
      </c>
      <c r="I18" s="6">
        <f>IF(D18&gt;40,D18-40,0)</f>
        <v>3</v>
      </c>
      <c r="J18" s="6">
        <f>IF(E18&gt;40,E18-40,0)</f>
        <v>6</v>
      </c>
      <c r="K18" s="6">
        <f>IF(F18&gt;40,F18-40,0)</f>
        <v>3</v>
      </c>
      <c r="L18" s="6">
        <f>IF(G18&gt;40,G18-40,0)</f>
        <v>8</v>
      </c>
      <c r="M18" s="6">
        <f>IF(H18&gt;40,H18-40,0)</f>
        <v>1</v>
      </c>
      <c r="N18" s="8">
        <f t="shared" si="8"/>
        <v>1857.6000000000001</v>
      </c>
      <c r="O18" s="8">
        <f t="shared" si="5"/>
        <v>1987.2</v>
      </c>
      <c r="P18" s="8">
        <f t="shared" si="5"/>
        <v>1857.6000000000001</v>
      </c>
      <c r="Q18" s="8">
        <f t="shared" si="5"/>
        <v>2073.6000000000004</v>
      </c>
      <c r="R18" s="8">
        <f t="shared" si="5"/>
        <v>1771.2</v>
      </c>
      <c r="S18" s="12">
        <f>0.5*C18*I18</f>
        <v>64.800000000000011</v>
      </c>
      <c r="T18" s="12">
        <f t="shared" si="9"/>
        <v>129</v>
      </c>
      <c r="U18" s="12">
        <f t="shared" si="9"/>
        <v>69</v>
      </c>
      <c r="V18" s="12">
        <f t="shared" si="9"/>
        <v>172</v>
      </c>
      <c r="W18" s="12">
        <f t="shared" si="9"/>
        <v>24</v>
      </c>
      <c r="X18" s="14">
        <f t="shared" si="10"/>
        <v>1922.4</v>
      </c>
      <c r="Y18" s="14">
        <f t="shared" si="7"/>
        <v>2116.1999999999998</v>
      </c>
      <c r="Z18" s="14">
        <f t="shared" si="7"/>
        <v>1926.6000000000001</v>
      </c>
      <c r="AA18" s="14">
        <f t="shared" si="7"/>
        <v>2245.6000000000004</v>
      </c>
      <c r="AB18" s="14">
        <f t="shared" si="7"/>
        <v>1795.2</v>
      </c>
      <c r="AD18" s="2">
        <f t="shared" si="11"/>
        <v>10006</v>
      </c>
    </row>
    <row r="19" spans="1:30" x14ac:dyDescent="0.3">
      <c r="A19" t="s">
        <v>27</v>
      </c>
      <c r="B19" t="s">
        <v>22</v>
      </c>
      <c r="C19" s="1">
        <v>48.6</v>
      </c>
      <c r="D19" s="4">
        <v>50</v>
      </c>
      <c r="E19" s="4">
        <v>38</v>
      </c>
      <c r="F19" s="4">
        <v>39</v>
      </c>
      <c r="G19" s="4">
        <v>40</v>
      </c>
      <c r="H19" s="4">
        <v>45</v>
      </c>
      <c r="I19" s="6">
        <f>IF(D19&gt;40,D19-40,0)</f>
        <v>10</v>
      </c>
      <c r="J19" s="6">
        <f>IF(E19&gt;40,E19-40,0)</f>
        <v>0</v>
      </c>
      <c r="K19" s="6">
        <f>IF(F19&gt;40,F19-40,0)</f>
        <v>0</v>
      </c>
      <c r="L19" s="6">
        <f>IF(G19&gt;40,G19-40,0)</f>
        <v>0</v>
      </c>
      <c r="M19" s="6">
        <f>IF(H19&gt;40,H19-40,0)</f>
        <v>5</v>
      </c>
      <c r="N19" s="8">
        <f t="shared" si="8"/>
        <v>2430</v>
      </c>
      <c r="O19" s="8">
        <f t="shared" si="5"/>
        <v>1846.8</v>
      </c>
      <c r="P19" s="8">
        <f t="shared" si="5"/>
        <v>1895.4</v>
      </c>
      <c r="Q19" s="8">
        <f t="shared" si="5"/>
        <v>1944</v>
      </c>
      <c r="R19" s="8">
        <f t="shared" si="5"/>
        <v>2187</v>
      </c>
      <c r="S19" s="12">
        <f>0.5*C19*I19</f>
        <v>243</v>
      </c>
      <c r="T19" s="12">
        <f t="shared" si="9"/>
        <v>0</v>
      </c>
      <c r="U19" s="12">
        <f t="shared" si="9"/>
        <v>0</v>
      </c>
      <c r="V19" s="12">
        <f t="shared" si="9"/>
        <v>0</v>
      </c>
      <c r="W19" s="12">
        <f t="shared" si="9"/>
        <v>100</v>
      </c>
      <c r="X19" s="14">
        <f t="shared" si="10"/>
        <v>2673</v>
      </c>
      <c r="Y19" s="14">
        <f t="shared" si="7"/>
        <v>1846.8</v>
      </c>
      <c r="Z19" s="14">
        <f t="shared" si="7"/>
        <v>1895.4</v>
      </c>
      <c r="AA19" s="14">
        <f t="shared" si="7"/>
        <v>1944</v>
      </c>
      <c r="AB19" s="14">
        <f t="shared" si="7"/>
        <v>2287</v>
      </c>
      <c r="AD19" s="2">
        <f t="shared" si="11"/>
        <v>10646.2</v>
      </c>
    </row>
    <row r="20" spans="1:30" x14ac:dyDescent="0.3">
      <c r="A20" t="s">
        <v>30</v>
      </c>
      <c r="B20" t="s">
        <v>23</v>
      </c>
      <c r="C20" s="1">
        <v>10.3</v>
      </c>
      <c r="D20" s="4">
        <v>42</v>
      </c>
      <c r="E20" s="4">
        <v>35</v>
      </c>
      <c r="F20" s="4">
        <v>41</v>
      </c>
      <c r="G20" s="4">
        <v>47</v>
      </c>
      <c r="H20" s="4">
        <v>43</v>
      </c>
      <c r="I20" s="6">
        <f>IF(D20&gt;40,D20-40,0)</f>
        <v>2</v>
      </c>
      <c r="J20" s="6">
        <f>IF(E20&gt;40,E20-40,0)</f>
        <v>0</v>
      </c>
      <c r="K20" s="6">
        <f>IF(F20&gt;40,F20-40,0)</f>
        <v>1</v>
      </c>
      <c r="L20" s="6">
        <f>IF(G20&gt;40,G20-40,0)</f>
        <v>7</v>
      </c>
      <c r="M20" s="6">
        <f>IF(H20&gt;40,H20-40,0)</f>
        <v>3</v>
      </c>
      <c r="N20" s="8">
        <f t="shared" si="8"/>
        <v>432.6</v>
      </c>
      <c r="O20" s="8">
        <f t="shared" ref="O20" si="12">$C20*E20</f>
        <v>360.5</v>
      </c>
      <c r="P20" s="8">
        <f t="shared" ref="P20" si="13">$C20*F20</f>
        <v>422.3</v>
      </c>
      <c r="Q20" s="8">
        <f t="shared" ref="Q20" si="14">$C20*G20</f>
        <v>484.1</v>
      </c>
      <c r="R20" s="8">
        <f t="shared" ref="R20" si="15">$C20*H20</f>
        <v>442.90000000000003</v>
      </c>
      <c r="S20" s="12">
        <f>0.5*C20*I20</f>
        <v>10.3</v>
      </c>
      <c r="T20" s="12">
        <f t="shared" si="9"/>
        <v>0</v>
      </c>
      <c r="U20" s="12">
        <f t="shared" si="9"/>
        <v>17.5</v>
      </c>
      <c r="V20" s="12">
        <f t="shared" si="9"/>
        <v>143.5</v>
      </c>
      <c r="W20" s="12">
        <f t="shared" si="9"/>
        <v>70.5</v>
      </c>
      <c r="X20" s="14">
        <f t="shared" si="10"/>
        <v>442.90000000000003</v>
      </c>
      <c r="Y20" s="14">
        <f t="shared" ref="Y20" si="16">O20+T20</f>
        <v>360.5</v>
      </c>
      <c r="Z20" s="14">
        <f t="shared" ref="Z20" si="17">P20+U20</f>
        <v>439.8</v>
      </c>
      <c r="AA20" s="14">
        <f t="shared" ref="AA20" si="18">Q20+V20</f>
        <v>627.6</v>
      </c>
      <c r="AB20" s="14">
        <f t="shared" ref="AB20" si="19">R20+W20</f>
        <v>513.40000000000009</v>
      </c>
      <c r="AD20" s="2">
        <f t="shared" si="11"/>
        <v>2384.2000000000003</v>
      </c>
    </row>
    <row r="21" spans="1:30" x14ac:dyDescent="0.3">
      <c r="S21"/>
      <c r="T21"/>
      <c r="U21"/>
      <c r="V21"/>
      <c r="W21"/>
      <c r="X21"/>
      <c r="Y21"/>
      <c r="Z21"/>
      <c r="AA21"/>
    </row>
    <row r="22" spans="1:30" x14ac:dyDescent="0.3">
      <c r="A22" t="s">
        <v>36</v>
      </c>
      <c r="C22" s="2">
        <f>MAX(C4:C20)</f>
        <v>65.8</v>
      </c>
      <c r="D22" s="17">
        <f>MAX(D4:D20)</f>
        <v>55</v>
      </c>
      <c r="E22" s="17">
        <f t="shared" ref="E22:AB22" si="20">MAX(E4:E20)</f>
        <v>55</v>
      </c>
      <c r="F22" s="17">
        <f t="shared" si="20"/>
        <v>47</v>
      </c>
      <c r="G22" s="17">
        <f t="shared" si="20"/>
        <v>50</v>
      </c>
      <c r="H22" s="17">
        <f t="shared" si="20"/>
        <v>55</v>
      </c>
      <c r="I22" s="17">
        <f t="shared" si="20"/>
        <v>15</v>
      </c>
      <c r="J22" s="17">
        <f t="shared" si="20"/>
        <v>15</v>
      </c>
      <c r="K22" s="17">
        <f t="shared" si="20"/>
        <v>7</v>
      </c>
      <c r="L22" s="17">
        <f t="shared" si="20"/>
        <v>10</v>
      </c>
      <c r="M22" s="17">
        <f t="shared" si="20"/>
        <v>15</v>
      </c>
      <c r="N22" s="10">
        <f t="shared" si="20"/>
        <v>2632</v>
      </c>
      <c r="O22" s="10">
        <f t="shared" si="20"/>
        <v>2829.4</v>
      </c>
      <c r="P22" s="10">
        <f t="shared" si="20"/>
        <v>2632</v>
      </c>
      <c r="Q22" s="10">
        <f t="shared" si="20"/>
        <v>3290</v>
      </c>
      <c r="R22" s="10">
        <f t="shared" si="20"/>
        <v>2566.1999999999998</v>
      </c>
      <c r="S22" s="18">
        <f t="shared" si="20"/>
        <v>243</v>
      </c>
      <c r="T22" s="18">
        <f t="shared" si="20"/>
        <v>307.5</v>
      </c>
      <c r="U22" s="18">
        <f t="shared" si="20"/>
        <v>192.5</v>
      </c>
      <c r="V22" s="18">
        <f t="shared" si="20"/>
        <v>207</v>
      </c>
      <c r="W22" s="18">
        <f t="shared" si="20"/>
        <v>315</v>
      </c>
      <c r="X22" s="10">
        <f t="shared" si="20"/>
        <v>2673</v>
      </c>
      <c r="Y22" s="10">
        <f t="shared" si="20"/>
        <v>2889.4</v>
      </c>
      <c r="Z22" s="10">
        <f t="shared" si="20"/>
        <v>2632</v>
      </c>
      <c r="AA22" s="10">
        <f t="shared" si="20"/>
        <v>3490</v>
      </c>
      <c r="AB22" s="10">
        <f t="shared" si="20"/>
        <v>2566.1999999999998</v>
      </c>
      <c r="AD22" s="10">
        <f t="shared" ref="AD22" si="21">MAX(AD4:AD20)</f>
        <v>14209.599999999999</v>
      </c>
    </row>
    <row r="23" spans="1:30" x14ac:dyDescent="0.3">
      <c r="A23" t="s">
        <v>37</v>
      </c>
      <c r="C23" s="2">
        <f>MIN(C4:C20)</f>
        <v>9.89</v>
      </c>
      <c r="D23" s="17">
        <f>MIN(D4:D20)</f>
        <v>38</v>
      </c>
      <c r="E23" s="17">
        <f t="shared" ref="E23:AB23" si="22">MIN(E4:E20)</f>
        <v>35</v>
      </c>
      <c r="F23" s="17">
        <f t="shared" si="22"/>
        <v>33</v>
      </c>
      <c r="G23" s="17">
        <f t="shared" si="22"/>
        <v>39</v>
      </c>
      <c r="H23" s="17">
        <f t="shared" si="22"/>
        <v>34</v>
      </c>
      <c r="I23" s="17">
        <f t="shared" si="22"/>
        <v>0</v>
      </c>
      <c r="J23" s="17">
        <f t="shared" si="22"/>
        <v>0</v>
      </c>
      <c r="K23" s="17">
        <f t="shared" si="22"/>
        <v>0</v>
      </c>
      <c r="L23" s="17">
        <f t="shared" si="22"/>
        <v>0</v>
      </c>
      <c r="M23" s="17">
        <f t="shared" si="22"/>
        <v>0</v>
      </c>
      <c r="N23" s="10">
        <f t="shared" si="22"/>
        <v>432.6</v>
      </c>
      <c r="O23" s="10">
        <f t="shared" si="22"/>
        <v>360.5</v>
      </c>
      <c r="P23" s="10">
        <f t="shared" si="22"/>
        <v>369.59999999999997</v>
      </c>
      <c r="Q23" s="10">
        <f t="shared" si="22"/>
        <v>425.27000000000004</v>
      </c>
      <c r="R23" s="10">
        <f t="shared" si="22"/>
        <v>402.93</v>
      </c>
      <c r="S23" s="18">
        <f t="shared" si="22"/>
        <v>0</v>
      </c>
      <c r="T23" s="18">
        <f t="shared" si="22"/>
        <v>0</v>
      </c>
      <c r="U23" s="18">
        <f t="shared" si="22"/>
        <v>0</v>
      </c>
      <c r="V23" s="18">
        <f t="shared" si="22"/>
        <v>0</v>
      </c>
      <c r="W23" s="18">
        <f t="shared" si="22"/>
        <v>0</v>
      </c>
      <c r="X23" s="10">
        <f t="shared" si="22"/>
        <v>442.90000000000003</v>
      </c>
      <c r="Y23" s="10">
        <f t="shared" si="22"/>
        <v>360.5</v>
      </c>
      <c r="Z23" s="10">
        <f t="shared" si="22"/>
        <v>369.59999999999997</v>
      </c>
      <c r="AA23" s="10">
        <f t="shared" si="22"/>
        <v>448</v>
      </c>
      <c r="AB23" s="10">
        <f t="shared" si="22"/>
        <v>402.93</v>
      </c>
      <c r="AD23" s="10">
        <f t="shared" ref="AD23" si="23">MIN(AD4:AD20)</f>
        <v>2345.4</v>
      </c>
    </row>
    <row r="24" spans="1:30" x14ac:dyDescent="0.3">
      <c r="A24" t="s">
        <v>38</v>
      </c>
      <c r="C24" s="2">
        <f>AVERAGE(C4:C20)</f>
        <v>25.784705882352938</v>
      </c>
      <c r="D24" s="17">
        <f>AVERAGE(D4:D20)</f>
        <v>43.529411764705884</v>
      </c>
      <c r="E24" s="17">
        <f t="shared" ref="E24:AB24" si="24">AVERAGE(E4:E20)</f>
        <v>43</v>
      </c>
      <c r="F24" s="17">
        <f t="shared" si="24"/>
        <v>41.705882352941174</v>
      </c>
      <c r="G24" s="17">
        <f t="shared" si="24"/>
        <v>43.823529411764703</v>
      </c>
      <c r="H24" s="17">
        <f t="shared" si="24"/>
        <v>42.882352941176471</v>
      </c>
      <c r="I24" s="17">
        <f t="shared" si="24"/>
        <v>3.8235294117647061</v>
      </c>
      <c r="J24" s="17">
        <f t="shared" si="24"/>
        <v>3.4705882352941178</v>
      </c>
      <c r="K24" s="17">
        <f t="shared" si="24"/>
        <v>2.5882352941176472</v>
      </c>
      <c r="L24" s="17">
        <f t="shared" si="24"/>
        <v>3.8823529411764706</v>
      </c>
      <c r="M24" s="17">
        <f t="shared" si="24"/>
        <v>3.4705882352941178</v>
      </c>
      <c r="N24" s="10">
        <f t="shared" si="24"/>
        <v>1113.080588235294</v>
      </c>
      <c r="O24" s="10">
        <f t="shared" si="24"/>
        <v>1113.2276470588238</v>
      </c>
      <c r="P24" s="10">
        <f t="shared" si="24"/>
        <v>1081.6482352941177</v>
      </c>
      <c r="Q24" s="10">
        <f t="shared" si="24"/>
        <v>1159.7917647058823</v>
      </c>
      <c r="R24" s="10">
        <f t="shared" si="24"/>
        <v>1101.4305882352942</v>
      </c>
      <c r="S24" s="18">
        <f t="shared" si="24"/>
        <v>44.093235294117648</v>
      </c>
      <c r="T24" s="18">
        <f t="shared" si="24"/>
        <v>70.932352941176461</v>
      </c>
      <c r="U24" s="18">
        <f t="shared" si="24"/>
        <v>57.647058823529413</v>
      </c>
      <c r="V24" s="18">
        <f t="shared" si="24"/>
        <v>80.79117647058824</v>
      </c>
      <c r="W24" s="18">
        <f t="shared" si="24"/>
        <v>72.341176470588238</v>
      </c>
      <c r="X24" s="10">
        <f t="shared" si="24"/>
        <v>1157.1738235294119</v>
      </c>
      <c r="Y24" s="10">
        <f t="shared" si="24"/>
        <v>1184.1600000000001</v>
      </c>
      <c r="Z24" s="10">
        <f t="shared" si="24"/>
        <v>1139.295294117647</v>
      </c>
      <c r="AA24" s="10">
        <f t="shared" si="24"/>
        <v>1240.5829411764705</v>
      </c>
      <c r="AB24" s="10">
        <f t="shared" si="24"/>
        <v>1173.7717647058826</v>
      </c>
      <c r="AD24" s="10">
        <f t="shared" ref="AD24" si="25">AVERAGE(AD4:AD20)</f>
        <v>5894.9838235294101</v>
      </c>
    </row>
    <row r="25" spans="1:30" x14ac:dyDescent="0.3">
      <c r="A25" t="s">
        <v>39</v>
      </c>
      <c r="D25" s="9">
        <f>SUM(D4:D20)</f>
        <v>740</v>
      </c>
      <c r="E25" s="9">
        <f t="shared" ref="E25:AB25" si="26">SUM(E4:E20)</f>
        <v>731</v>
      </c>
      <c r="F25" s="9">
        <f t="shared" si="26"/>
        <v>709</v>
      </c>
      <c r="G25" s="9">
        <f t="shared" si="26"/>
        <v>745</v>
      </c>
      <c r="H25" s="9">
        <f t="shared" si="26"/>
        <v>729</v>
      </c>
      <c r="I25" s="9">
        <f t="shared" si="26"/>
        <v>65</v>
      </c>
      <c r="J25" s="9">
        <f t="shared" si="26"/>
        <v>59</v>
      </c>
      <c r="K25" s="9">
        <f t="shared" si="26"/>
        <v>44</v>
      </c>
      <c r="L25" s="9">
        <f t="shared" si="26"/>
        <v>66</v>
      </c>
      <c r="M25" s="9">
        <f t="shared" si="26"/>
        <v>59</v>
      </c>
      <c r="N25" s="10">
        <f t="shared" si="26"/>
        <v>18922.37</v>
      </c>
      <c r="O25" s="10">
        <f t="shared" si="26"/>
        <v>18924.870000000003</v>
      </c>
      <c r="P25" s="10">
        <f t="shared" si="26"/>
        <v>18388.02</v>
      </c>
      <c r="Q25" s="10">
        <f t="shared" si="26"/>
        <v>19716.46</v>
      </c>
      <c r="R25" s="10">
        <f t="shared" si="26"/>
        <v>18724.32</v>
      </c>
      <c r="S25" s="18">
        <f t="shared" si="26"/>
        <v>749.58500000000004</v>
      </c>
      <c r="T25" s="18">
        <f t="shared" si="26"/>
        <v>1205.8499999999999</v>
      </c>
      <c r="U25" s="18">
        <f t="shared" si="26"/>
        <v>980</v>
      </c>
      <c r="V25" s="18">
        <f t="shared" si="26"/>
        <v>1373.45</v>
      </c>
      <c r="W25" s="18">
        <f t="shared" si="26"/>
        <v>1229.8</v>
      </c>
      <c r="X25" s="10">
        <f t="shared" si="26"/>
        <v>19671.955000000002</v>
      </c>
      <c r="Y25" s="10">
        <f t="shared" si="26"/>
        <v>20130.72</v>
      </c>
      <c r="Z25" s="10">
        <f t="shared" si="26"/>
        <v>19368.02</v>
      </c>
      <c r="AA25" s="10">
        <f t="shared" si="26"/>
        <v>21089.91</v>
      </c>
      <c r="AB25" s="10">
        <f t="shared" si="26"/>
        <v>19954.120000000003</v>
      </c>
      <c r="AD25" s="10">
        <f t="shared" ref="AD25" si="27">SUM(AD4:AD20)</f>
        <v>100214.72499999998</v>
      </c>
    </row>
    <row r="26" spans="1:30" x14ac:dyDescent="0.3">
      <c r="L26" s="9"/>
      <c r="M26" s="9"/>
      <c r="N26" s="9"/>
      <c r="O26" s="9"/>
      <c r="P26" s="9"/>
      <c r="Q26" s="9"/>
    </row>
  </sheetData>
  <mergeCells count="5">
    <mergeCell ref="D2:H2"/>
    <mergeCell ref="I2:M2"/>
    <mergeCell ref="N2:R2"/>
    <mergeCell ref="S2:W2"/>
    <mergeCell ref="X2:AB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 oshodin</dc:creator>
  <cp:lastModifiedBy>austin oshodin</cp:lastModifiedBy>
  <dcterms:created xsi:type="dcterms:W3CDTF">2023-12-16T16:25:54Z</dcterms:created>
  <dcterms:modified xsi:type="dcterms:W3CDTF">2023-12-16T19:21:44Z</dcterms:modified>
</cp:coreProperties>
</file>