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usti\Downloads\"/>
    </mc:Choice>
  </mc:AlternateContent>
  <xr:revisionPtr revIDLastSave="0" documentId="13_ncr:1_{EEE1336D-B2A2-4833-9EC6-DC4D744E2C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0" sheetId="1" r:id="rId1"/>
    <sheet name="Sheet1" sheetId="2" r:id="rId2"/>
  </sheets>
  <definedNames>
    <definedName name="ExternalData_1" localSheetId="0">'Table 0'!$A$1:$B$2802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I2802" i="1"/>
  <c r="H2802" i="1"/>
  <c r="G2802" i="1"/>
  <c r="F2802" i="1"/>
  <c r="E2802" i="1"/>
  <c r="D2802" i="1"/>
  <c r="C2802" i="1"/>
  <c r="I2801" i="1"/>
  <c r="H2801" i="1"/>
  <c r="G2801" i="1"/>
  <c r="F2801" i="1"/>
  <c r="E2801" i="1"/>
  <c r="D2801" i="1"/>
  <c r="C2801" i="1"/>
  <c r="I2800" i="1"/>
  <c r="H2800" i="1"/>
  <c r="G2800" i="1"/>
  <c r="F2800" i="1"/>
  <c r="E2800" i="1"/>
  <c r="D2800" i="1"/>
  <c r="C2800" i="1"/>
  <c r="I2799" i="1"/>
  <c r="H2799" i="1"/>
  <c r="G2799" i="1"/>
  <c r="F2799" i="1"/>
  <c r="E2799" i="1"/>
  <c r="D2799" i="1"/>
  <c r="C2799" i="1"/>
  <c r="I2798" i="1"/>
  <c r="H2798" i="1"/>
  <c r="G2798" i="1"/>
  <c r="F2798" i="1"/>
  <c r="E2798" i="1"/>
  <c r="D2798" i="1"/>
  <c r="C2798" i="1"/>
  <c r="I2797" i="1"/>
  <c r="H2797" i="1"/>
  <c r="G2797" i="1"/>
  <c r="F2797" i="1"/>
  <c r="E2797" i="1"/>
  <c r="D2797" i="1"/>
  <c r="C2797" i="1"/>
  <c r="I2796" i="1"/>
  <c r="H2796" i="1"/>
  <c r="G2796" i="1"/>
  <c r="F2796" i="1"/>
  <c r="E2796" i="1"/>
  <c r="D2796" i="1"/>
  <c r="C2796" i="1"/>
  <c r="I2795" i="1"/>
  <c r="H2795" i="1"/>
  <c r="G2795" i="1"/>
  <c r="F2795" i="1"/>
  <c r="E2795" i="1"/>
  <c r="D2795" i="1"/>
  <c r="C2795" i="1"/>
  <c r="I2794" i="1"/>
  <c r="H2794" i="1"/>
  <c r="G2794" i="1"/>
  <c r="F2794" i="1"/>
  <c r="E2794" i="1"/>
  <c r="D2794" i="1"/>
  <c r="C2794" i="1"/>
  <c r="I2793" i="1"/>
  <c r="H2793" i="1"/>
  <c r="G2793" i="1"/>
  <c r="F2793" i="1"/>
  <c r="E2793" i="1"/>
  <c r="D2793" i="1"/>
  <c r="C2793" i="1"/>
  <c r="I2792" i="1"/>
  <c r="H2792" i="1"/>
  <c r="G2792" i="1"/>
  <c r="F2792" i="1"/>
  <c r="E2792" i="1"/>
  <c r="D2792" i="1"/>
  <c r="C2792" i="1"/>
  <c r="I2791" i="1"/>
  <c r="H2791" i="1"/>
  <c r="G2791" i="1"/>
  <c r="F2791" i="1"/>
  <c r="E2791" i="1"/>
  <c r="D2791" i="1"/>
  <c r="C2791" i="1"/>
  <c r="I2790" i="1"/>
  <c r="H2790" i="1"/>
  <c r="G2790" i="1"/>
  <c r="F2790" i="1"/>
  <c r="E2790" i="1"/>
  <c r="D2790" i="1"/>
  <c r="C2790" i="1"/>
  <c r="I2789" i="1"/>
  <c r="H2789" i="1"/>
  <c r="G2789" i="1"/>
  <c r="F2789" i="1"/>
  <c r="E2789" i="1"/>
  <c r="D2789" i="1"/>
  <c r="C2789" i="1"/>
  <c r="I2788" i="1"/>
  <c r="H2788" i="1"/>
  <c r="G2788" i="1"/>
  <c r="F2788" i="1"/>
  <c r="E2788" i="1"/>
  <c r="D2788" i="1"/>
  <c r="C2788" i="1"/>
  <c r="I2787" i="1"/>
  <c r="H2787" i="1"/>
  <c r="G2787" i="1"/>
  <c r="F2787" i="1"/>
  <c r="E2787" i="1"/>
  <c r="D2787" i="1"/>
  <c r="C2787" i="1"/>
  <c r="I2786" i="1"/>
  <c r="H2786" i="1"/>
  <c r="G2786" i="1"/>
  <c r="F2786" i="1"/>
  <c r="E2786" i="1"/>
  <c r="D2786" i="1"/>
  <c r="C2786" i="1"/>
  <c r="I2785" i="1"/>
  <c r="H2785" i="1"/>
  <c r="G2785" i="1"/>
  <c r="F2785" i="1"/>
  <c r="E2785" i="1"/>
  <c r="D2785" i="1"/>
  <c r="C2785" i="1"/>
  <c r="I2784" i="1"/>
  <c r="H2784" i="1"/>
  <c r="G2784" i="1"/>
  <c r="F2784" i="1"/>
  <c r="E2784" i="1"/>
  <c r="D2784" i="1"/>
  <c r="C2784" i="1"/>
  <c r="I2783" i="1"/>
  <c r="H2783" i="1"/>
  <c r="G2783" i="1"/>
  <c r="F2783" i="1"/>
  <c r="E2783" i="1"/>
  <c r="D2783" i="1"/>
  <c r="C2783" i="1"/>
  <c r="I2782" i="1"/>
  <c r="H2782" i="1"/>
  <c r="G2782" i="1"/>
  <c r="F2782" i="1"/>
  <c r="E2782" i="1"/>
  <c r="D2782" i="1"/>
  <c r="C2782" i="1"/>
  <c r="I2781" i="1"/>
  <c r="H2781" i="1"/>
  <c r="G2781" i="1"/>
  <c r="F2781" i="1"/>
  <c r="E2781" i="1"/>
  <c r="D2781" i="1"/>
  <c r="C2781" i="1"/>
  <c r="I2780" i="1"/>
  <c r="H2780" i="1"/>
  <c r="G2780" i="1"/>
  <c r="F2780" i="1"/>
  <c r="E2780" i="1"/>
  <c r="D2780" i="1"/>
  <c r="C2780" i="1"/>
  <c r="I2779" i="1"/>
  <c r="H2779" i="1"/>
  <c r="G2779" i="1"/>
  <c r="F2779" i="1"/>
  <c r="E2779" i="1"/>
  <c r="D2779" i="1"/>
  <c r="C2779" i="1"/>
  <c r="I2778" i="1"/>
  <c r="H2778" i="1"/>
  <c r="G2778" i="1"/>
  <c r="F2778" i="1"/>
  <c r="E2778" i="1"/>
  <c r="D2778" i="1"/>
  <c r="C2778" i="1"/>
  <c r="I2777" i="1"/>
  <c r="H2777" i="1"/>
  <c r="G2777" i="1"/>
  <c r="F2777" i="1"/>
  <c r="E2777" i="1"/>
  <c r="D2777" i="1"/>
  <c r="C2777" i="1"/>
  <c r="I2776" i="1"/>
  <c r="H2776" i="1"/>
  <c r="G2776" i="1"/>
  <c r="F2776" i="1"/>
  <c r="E2776" i="1"/>
  <c r="D2776" i="1"/>
  <c r="C2776" i="1"/>
  <c r="I2775" i="1"/>
  <c r="H2775" i="1"/>
  <c r="G2775" i="1"/>
  <c r="F2775" i="1"/>
  <c r="E2775" i="1"/>
  <c r="D2775" i="1"/>
  <c r="C2775" i="1"/>
  <c r="I2774" i="1"/>
  <c r="H2774" i="1"/>
  <c r="G2774" i="1"/>
  <c r="F2774" i="1"/>
  <c r="E2774" i="1"/>
  <c r="D2774" i="1"/>
  <c r="C2774" i="1"/>
  <c r="I2773" i="1"/>
  <c r="H2773" i="1"/>
  <c r="G2773" i="1"/>
  <c r="F2773" i="1"/>
  <c r="E2773" i="1"/>
  <c r="D2773" i="1"/>
  <c r="C2773" i="1"/>
  <c r="I2772" i="1"/>
  <c r="H2772" i="1"/>
  <c r="G2772" i="1"/>
  <c r="F2772" i="1"/>
  <c r="E2772" i="1"/>
  <c r="D2772" i="1"/>
  <c r="C2772" i="1"/>
  <c r="I2771" i="1"/>
  <c r="H2771" i="1"/>
  <c r="G2771" i="1"/>
  <c r="F2771" i="1"/>
  <c r="E2771" i="1"/>
  <c r="D2771" i="1"/>
  <c r="C2771" i="1"/>
  <c r="I2770" i="1"/>
  <c r="H2770" i="1"/>
  <c r="G2770" i="1"/>
  <c r="F2770" i="1"/>
  <c r="E2770" i="1"/>
  <c r="D2770" i="1"/>
  <c r="C2770" i="1"/>
  <c r="I2769" i="1"/>
  <c r="H2769" i="1"/>
  <c r="G2769" i="1"/>
  <c r="F2769" i="1"/>
  <c r="E2769" i="1"/>
  <c r="D2769" i="1"/>
  <c r="C2769" i="1"/>
  <c r="I2768" i="1"/>
  <c r="H2768" i="1"/>
  <c r="G2768" i="1"/>
  <c r="F2768" i="1"/>
  <c r="E2768" i="1"/>
  <c r="D2768" i="1"/>
  <c r="C2768" i="1"/>
  <c r="I2767" i="1"/>
  <c r="H2767" i="1"/>
  <c r="G2767" i="1"/>
  <c r="F2767" i="1"/>
  <c r="E2767" i="1"/>
  <c r="D2767" i="1"/>
  <c r="C2767" i="1"/>
  <c r="I2766" i="1"/>
  <c r="H2766" i="1"/>
  <c r="G2766" i="1"/>
  <c r="F2766" i="1"/>
  <c r="E2766" i="1"/>
  <c r="D2766" i="1"/>
  <c r="C2766" i="1"/>
  <c r="I2765" i="1"/>
  <c r="H2765" i="1"/>
  <c r="G2765" i="1"/>
  <c r="F2765" i="1"/>
  <c r="E2765" i="1"/>
  <c r="D2765" i="1"/>
  <c r="C2765" i="1"/>
  <c r="I2764" i="1"/>
  <c r="H2764" i="1"/>
  <c r="G2764" i="1"/>
  <c r="F2764" i="1"/>
  <c r="E2764" i="1"/>
  <c r="D2764" i="1"/>
  <c r="C2764" i="1"/>
  <c r="I2763" i="1"/>
  <c r="H2763" i="1"/>
  <c r="G2763" i="1"/>
  <c r="F2763" i="1"/>
  <c r="E2763" i="1"/>
  <c r="D2763" i="1"/>
  <c r="C2763" i="1"/>
  <c r="I2762" i="1"/>
  <c r="H2762" i="1"/>
  <c r="G2762" i="1"/>
  <c r="F2762" i="1"/>
  <c r="E2762" i="1"/>
  <c r="D2762" i="1"/>
  <c r="C2762" i="1"/>
  <c r="I2761" i="1"/>
  <c r="H2761" i="1"/>
  <c r="G2761" i="1"/>
  <c r="F2761" i="1"/>
  <c r="E2761" i="1"/>
  <c r="D2761" i="1"/>
  <c r="C2761" i="1"/>
  <c r="I2760" i="1"/>
  <c r="H2760" i="1"/>
  <c r="G2760" i="1"/>
  <c r="F2760" i="1"/>
  <c r="E2760" i="1"/>
  <c r="D2760" i="1"/>
  <c r="C2760" i="1"/>
  <c r="I2759" i="1"/>
  <c r="H2759" i="1"/>
  <c r="G2759" i="1"/>
  <c r="F2759" i="1"/>
  <c r="E2759" i="1"/>
  <c r="D2759" i="1"/>
  <c r="C2759" i="1"/>
  <c r="I2758" i="1"/>
  <c r="H2758" i="1"/>
  <c r="G2758" i="1"/>
  <c r="F2758" i="1"/>
  <c r="E2758" i="1"/>
  <c r="D2758" i="1"/>
  <c r="C2758" i="1"/>
  <c r="I2757" i="1"/>
  <c r="H2757" i="1"/>
  <c r="G2757" i="1"/>
  <c r="F2757" i="1"/>
  <c r="E2757" i="1"/>
  <c r="D2757" i="1"/>
  <c r="C2757" i="1"/>
  <c r="I2756" i="1"/>
  <c r="H2756" i="1"/>
  <c r="G2756" i="1"/>
  <c r="F2756" i="1"/>
  <c r="E2756" i="1"/>
  <c r="D2756" i="1"/>
  <c r="C2756" i="1"/>
  <c r="I2755" i="1"/>
  <c r="H2755" i="1"/>
  <c r="G2755" i="1"/>
  <c r="F2755" i="1"/>
  <c r="E2755" i="1"/>
  <c r="D2755" i="1"/>
  <c r="C2755" i="1"/>
  <c r="I2754" i="1"/>
  <c r="H2754" i="1"/>
  <c r="G2754" i="1"/>
  <c r="F2754" i="1"/>
  <c r="E2754" i="1"/>
  <c r="D2754" i="1"/>
  <c r="C2754" i="1"/>
  <c r="I2753" i="1"/>
  <c r="H2753" i="1"/>
  <c r="G2753" i="1"/>
  <c r="F2753" i="1"/>
  <c r="E2753" i="1"/>
  <c r="D2753" i="1"/>
  <c r="C2753" i="1"/>
  <c r="I2752" i="1"/>
  <c r="H2752" i="1"/>
  <c r="G2752" i="1"/>
  <c r="F2752" i="1"/>
  <c r="E2752" i="1"/>
  <c r="D2752" i="1"/>
  <c r="C2752" i="1"/>
  <c r="I2751" i="1"/>
  <c r="H2751" i="1"/>
  <c r="G2751" i="1"/>
  <c r="F2751" i="1"/>
  <c r="E2751" i="1"/>
  <c r="D2751" i="1"/>
  <c r="C2751" i="1"/>
  <c r="I2750" i="1"/>
  <c r="H2750" i="1"/>
  <c r="G2750" i="1"/>
  <c r="F2750" i="1"/>
  <c r="E2750" i="1"/>
  <c r="D2750" i="1"/>
  <c r="C2750" i="1"/>
  <c r="I2749" i="1"/>
  <c r="H2749" i="1"/>
  <c r="G2749" i="1"/>
  <c r="F2749" i="1"/>
  <c r="E2749" i="1"/>
  <c r="D2749" i="1"/>
  <c r="C2749" i="1"/>
  <c r="I2748" i="1"/>
  <c r="H2748" i="1"/>
  <c r="G2748" i="1"/>
  <c r="F2748" i="1"/>
  <c r="E2748" i="1"/>
  <c r="D2748" i="1"/>
  <c r="C2748" i="1"/>
  <c r="I2747" i="1"/>
  <c r="H2747" i="1"/>
  <c r="G2747" i="1"/>
  <c r="F2747" i="1"/>
  <c r="E2747" i="1"/>
  <c r="D2747" i="1"/>
  <c r="C2747" i="1"/>
  <c r="I2746" i="1"/>
  <c r="H2746" i="1"/>
  <c r="G2746" i="1"/>
  <c r="F2746" i="1"/>
  <c r="E2746" i="1"/>
  <c r="D2746" i="1"/>
  <c r="C2746" i="1"/>
  <c r="I2745" i="1"/>
  <c r="H2745" i="1"/>
  <c r="G2745" i="1"/>
  <c r="F2745" i="1"/>
  <c r="E2745" i="1"/>
  <c r="D2745" i="1"/>
  <c r="C2745" i="1"/>
  <c r="I2744" i="1"/>
  <c r="H2744" i="1"/>
  <c r="G2744" i="1"/>
  <c r="F2744" i="1"/>
  <c r="E2744" i="1"/>
  <c r="D2744" i="1"/>
  <c r="C2744" i="1"/>
  <c r="I2743" i="1"/>
  <c r="H2743" i="1"/>
  <c r="G2743" i="1"/>
  <c r="F2743" i="1"/>
  <c r="E2743" i="1"/>
  <c r="D2743" i="1"/>
  <c r="C2743" i="1"/>
  <c r="I2742" i="1"/>
  <c r="H2742" i="1"/>
  <c r="G2742" i="1"/>
  <c r="F2742" i="1"/>
  <c r="E2742" i="1"/>
  <c r="D2742" i="1"/>
  <c r="C2742" i="1"/>
  <c r="I2741" i="1"/>
  <c r="H2741" i="1"/>
  <c r="G2741" i="1"/>
  <c r="F2741" i="1"/>
  <c r="E2741" i="1"/>
  <c r="D2741" i="1"/>
  <c r="C2741" i="1"/>
  <c r="I2740" i="1"/>
  <c r="H2740" i="1"/>
  <c r="G2740" i="1"/>
  <c r="F2740" i="1"/>
  <c r="E2740" i="1"/>
  <c r="D2740" i="1"/>
  <c r="C2740" i="1"/>
  <c r="I2739" i="1"/>
  <c r="H2739" i="1"/>
  <c r="G2739" i="1"/>
  <c r="F2739" i="1"/>
  <c r="E2739" i="1"/>
  <c r="D2739" i="1"/>
  <c r="C2739" i="1"/>
  <c r="I2738" i="1"/>
  <c r="H2738" i="1"/>
  <c r="G2738" i="1"/>
  <c r="F2738" i="1"/>
  <c r="E2738" i="1"/>
  <c r="D2738" i="1"/>
  <c r="C2738" i="1"/>
  <c r="I2737" i="1"/>
  <c r="H2737" i="1"/>
  <c r="G2737" i="1"/>
  <c r="F2737" i="1"/>
  <c r="E2737" i="1"/>
  <c r="D2737" i="1"/>
  <c r="C2737" i="1"/>
  <c r="I2736" i="1"/>
  <c r="H2736" i="1"/>
  <c r="G2736" i="1"/>
  <c r="F2736" i="1"/>
  <c r="E2736" i="1"/>
  <c r="D2736" i="1"/>
  <c r="C2736" i="1"/>
  <c r="I2735" i="1"/>
  <c r="H2735" i="1"/>
  <c r="G2735" i="1"/>
  <c r="F2735" i="1"/>
  <c r="E2735" i="1"/>
  <c r="D2735" i="1"/>
  <c r="C2735" i="1"/>
  <c r="I2734" i="1"/>
  <c r="H2734" i="1"/>
  <c r="G2734" i="1"/>
  <c r="F2734" i="1"/>
  <c r="E2734" i="1"/>
  <c r="D2734" i="1"/>
  <c r="C2734" i="1"/>
  <c r="I2733" i="1"/>
  <c r="H2733" i="1"/>
  <c r="G2733" i="1"/>
  <c r="F2733" i="1"/>
  <c r="E2733" i="1"/>
  <c r="D2733" i="1"/>
  <c r="C2733" i="1"/>
  <c r="I2732" i="1"/>
  <c r="H2732" i="1"/>
  <c r="G2732" i="1"/>
  <c r="F2732" i="1"/>
  <c r="E2732" i="1"/>
  <c r="D2732" i="1"/>
  <c r="C2732" i="1"/>
  <c r="I2731" i="1"/>
  <c r="H2731" i="1"/>
  <c r="G2731" i="1"/>
  <c r="F2731" i="1"/>
  <c r="E2731" i="1"/>
  <c r="D2731" i="1"/>
  <c r="C2731" i="1"/>
  <c r="I2730" i="1"/>
  <c r="H2730" i="1"/>
  <c r="G2730" i="1"/>
  <c r="F2730" i="1"/>
  <c r="E2730" i="1"/>
  <c r="D2730" i="1"/>
  <c r="C2730" i="1"/>
  <c r="I2729" i="1"/>
  <c r="H2729" i="1"/>
  <c r="G2729" i="1"/>
  <c r="F2729" i="1"/>
  <c r="E2729" i="1"/>
  <c r="D2729" i="1"/>
  <c r="C2729" i="1"/>
  <c r="I2728" i="1"/>
  <c r="H2728" i="1"/>
  <c r="G2728" i="1"/>
  <c r="F2728" i="1"/>
  <c r="E2728" i="1"/>
  <c r="D2728" i="1"/>
  <c r="C2728" i="1"/>
  <c r="I2727" i="1"/>
  <c r="H2727" i="1"/>
  <c r="G2727" i="1"/>
  <c r="F2727" i="1"/>
  <c r="E2727" i="1"/>
  <c r="D2727" i="1"/>
  <c r="C2727" i="1"/>
  <c r="I2726" i="1"/>
  <c r="H2726" i="1"/>
  <c r="G2726" i="1"/>
  <c r="F2726" i="1"/>
  <c r="E2726" i="1"/>
  <c r="D2726" i="1"/>
  <c r="C2726" i="1"/>
  <c r="I2725" i="1"/>
  <c r="H2725" i="1"/>
  <c r="G2725" i="1"/>
  <c r="F2725" i="1"/>
  <c r="E2725" i="1"/>
  <c r="D2725" i="1"/>
  <c r="C2725" i="1"/>
  <c r="I2724" i="1"/>
  <c r="H2724" i="1"/>
  <c r="G2724" i="1"/>
  <c r="F2724" i="1"/>
  <c r="E2724" i="1"/>
  <c r="D2724" i="1"/>
  <c r="C2724" i="1"/>
  <c r="I2723" i="1"/>
  <c r="H2723" i="1"/>
  <c r="G2723" i="1"/>
  <c r="F2723" i="1"/>
  <c r="E2723" i="1"/>
  <c r="D2723" i="1"/>
  <c r="C2723" i="1"/>
  <c r="I2722" i="1"/>
  <c r="H2722" i="1"/>
  <c r="G2722" i="1"/>
  <c r="F2722" i="1"/>
  <c r="E2722" i="1"/>
  <c r="D2722" i="1"/>
  <c r="C2722" i="1"/>
  <c r="I2721" i="1"/>
  <c r="H2721" i="1"/>
  <c r="G2721" i="1"/>
  <c r="F2721" i="1"/>
  <c r="E2721" i="1"/>
  <c r="D2721" i="1"/>
  <c r="C2721" i="1"/>
  <c r="I2720" i="1"/>
  <c r="H2720" i="1"/>
  <c r="G2720" i="1"/>
  <c r="F2720" i="1"/>
  <c r="E2720" i="1"/>
  <c r="D2720" i="1"/>
  <c r="C2720" i="1"/>
  <c r="I2719" i="1"/>
  <c r="H2719" i="1"/>
  <c r="G2719" i="1"/>
  <c r="F2719" i="1"/>
  <c r="E2719" i="1"/>
  <c r="D2719" i="1"/>
  <c r="C2719" i="1"/>
  <c r="I2718" i="1"/>
  <c r="H2718" i="1"/>
  <c r="G2718" i="1"/>
  <c r="F2718" i="1"/>
  <c r="E2718" i="1"/>
  <c r="D2718" i="1"/>
  <c r="C2718" i="1"/>
  <c r="I2717" i="1"/>
  <c r="H2717" i="1"/>
  <c r="G2717" i="1"/>
  <c r="F2717" i="1"/>
  <c r="E2717" i="1"/>
  <c r="D2717" i="1"/>
  <c r="C2717" i="1"/>
  <c r="I2716" i="1"/>
  <c r="H2716" i="1"/>
  <c r="G2716" i="1"/>
  <c r="F2716" i="1"/>
  <c r="E2716" i="1"/>
  <c r="D2716" i="1"/>
  <c r="C2716" i="1"/>
  <c r="I2715" i="1"/>
  <c r="H2715" i="1"/>
  <c r="G2715" i="1"/>
  <c r="F2715" i="1"/>
  <c r="E2715" i="1"/>
  <c r="D2715" i="1"/>
  <c r="C2715" i="1"/>
  <c r="I2714" i="1"/>
  <c r="H2714" i="1"/>
  <c r="G2714" i="1"/>
  <c r="F2714" i="1"/>
  <c r="E2714" i="1"/>
  <c r="D2714" i="1"/>
  <c r="C2714" i="1"/>
  <c r="I2713" i="1"/>
  <c r="H2713" i="1"/>
  <c r="G2713" i="1"/>
  <c r="F2713" i="1"/>
  <c r="E2713" i="1"/>
  <c r="D2713" i="1"/>
  <c r="C2713" i="1"/>
  <c r="I2712" i="1"/>
  <c r="H2712" i="1"/>
  <c r="G2712" i="1"/>
  <c r="F2712" i="1"/>
  <c r="E2712" i="1"/>
  <c r="D2712" i="1"/>
  <c r="C2712" i="1"/>
  <c r="I2711" i="1"/>
  <c r="H2711" i="1"/>
  <c r="G2711" i="1"/>
  <c r="F2711" i="1"/>
  <c r="E2711" i="1"/>
  <c r="D2711" i="1"/>
  <c r="C2711" i="1"/>
  <c r="I2710" i="1"/>
  <c r="H2710" i="1"/>
  <c r="G2710" i="1"/>
  <c r="F2710" i="1"/>
  <c r="E2710" i="1"/>
  <c r="D2710" i="1"/>
  <c r="C2710" i="1"/>
  <c r="I2709" i="1"/>
  <c r="H2709" i="1"/>
  <c r="G2709" i="1"/>
  <c r="F2709" i="1"/>
  <c r="E2709" i="1"/>
  <c r="D2709" i="1"/>
  <c r="C2709" i="1"/>
  <c r="I2708" i="1"/>
  <c r="H2708" i="1"/>
  <c r="G2708" i="1"/>
  <c r="F2708" i="1"/>
  <c r="E2708" i="1"/>
  <c r="D2708" i="1"/>
  <c r="C2708" i="1"/>
  <c r="I2707" i="1"/>
  <c r="H2707" i="1"/>
  <c r="G2707" i="1"/>
  <c r="F2707" i="1"/>
  <c r="E2707" i="1"/>
  <c r="D2707" i="1"/>
  <c r="C2707" i="1"/>
  <c r="I2706" i="1"/>
  <c r="H2706" i="1"/>
  <c r="G2706" i="1"/>
  <c r="F2706" i="1"/>
  <c r="E2706" i="1"/>
  <c r="D2706" i="1"/>
  <c r="C2706" i="1"/>
  <c r="I2705" i="1"/>
  <c r="H2705" i="1"/>
  <c r="G2705" i="1"/>
  <c r="F2705" i="1"/>
  <c r="E2705" i="1"/>
  <c r="D2705" i="1"/>
  <c r="C2705" i="1"/>
  <c r="I2704" i="1"/>
  <c r="H2704" i="1"/>
  <c r="G2704" i="1"/>
  <c r="F2704" i="1"/>
  <c r="E2704" i="1"/>
  <c r="D2704" i="1"/>
  <c r="C2704" i="1"/>
  <c r="I2703" i="1"/>
  <c r="H2703" i="1"/>
  <c r="G2703" i="1"/>
  <c r="F2703" i="1"/>
  <c r="E2703" i="1"/>
  <c r="D2703" i="1"/>
  <c r="C2703" i="1"/>
  <c r="I2702" i="1"/>
  <c r="H2702" i="1"/>
  <c r="G2702" i="1"/>
  <c r="F2702" i="1"/>
  <c r="E2702" i="1"/>
  <c r="D2702" i="1"/>
  <c r="C2702" i="1"/>
  <c r="I2701" i="1"/>
  <c r="H2701" i="1"/>
  <c r="G2701" i="1"/>
  <c r="F2701" i="1"/>
  <c r="E2701" i="1"/>
  <c r="D2701" i="1"/>
  <c r="C2701" i="1"/>
  <c r="I2700" i="1"/>
  <c r="H2700" i="1"/>
  <c r="G2700" i="1"/>
  <c r="F2700" i="1"/>
  <c r="E2700" i="1"/>
  <c r="D2700" i="1"/>
  <c r="C2700" i="1"/>
  <c r="I2699" i="1"/>
  <c r="H2699" i="1"/>
  <c r="G2699" i="1"/>
  <c r="F2699" i="1"/>
  <c r="E2699" i="1"/>
  <c r="D2699" i="1"/>
  <c r="C2699" i="1"/>
  <c r="I2698" i="1"/>
  <c r="H2698" i="1"/>
  <c r="G2698" i="1"/>
  <c r="F2698" i="1"/>
  <c r="E2698" i="1"/>
  <c r="D2698" i="1"/>
  <c r="C2698" i="1"/>
  <c r="I2697" i="1"/>
  <c r="H2697" i="1"/>
  <c r="G2697" i="1"/>
  <c r="F2697" i="1"/>
  <c r="E2697" i="1"/>
  <c r="D2697" i="1"/>
  <c r="C2697" i="1"/>
  <c r="I2696" i="1"/>
  <c r="H2696" i="1"/>
  <c r="G2696" i="1"/>
  <c r="F2696" i="1"/>
  <c r="E2696" i="1"/>
  <c r="D2696" i="1"/>
  <c r="C2696" i="1"/>
  <c r="I2695" i="1"/>
  <c r="H2695" i="1"/>
  <c r="G2695" i="1"/>
  <c r="F2695" i="1"/>
  <c r="E2695" i="1"/>
  <c r="D2695" i="1"/>
  <c r="C2695" i="1"/>
  <c r="I2694" i="1"/>
  <c r="H2694" i="1"/>
  <c r="G2694" i="1"/>
  <c r="F2694" i="1"/>
  <c r="E2694" i="1"/>
  <c r="D2694" i="1"/>
  <c r="C2694" i="1"/>
  <c r="I2693" i="1"/>
  <c r="H2693" i="1"/>
  <c r="G2693" i="1"/>
  <c r="F2693" i="1"/>
  <c r="E2693" i="1"/>
  <c r="D2693" i="1"/>
  <c r="C2693" i="1"/>
  <c r="I2692" i="1"/>
  <c r="H2692" i="1"/>
  <c r="G2692" i="1"/>
  <c r="F2692" i="1"/>
  <c r="E2692" i="1"/>
  <c r="D2692" i="1"/>
  <c r="C2692" i="1"/>
  <c r="I2691" i="1"/>
  <c r="H2691" i="1"/>
  <c r="G2691" i="1"/>
  <c r="F2691" i="1"/>
  <c r="E2691" i="1"/>
  <c r="D2691" i="1"/>
  <c r="C2691" i="1"/>
  <c r="I2690" i="1"/>
  <c r="H2690" i="1"/>
  <c r="G2690" i="1"/>
  <c r="F2690" i="1"/>
  <c r="E2690" i="1"/>
  <c r="D2690" i="1"/>
  <c r="C2690" i="1"/>
  <c r="I2689" i="1"/>
  <c r="H2689" i="1"/>
  <c r="G2689" i="1"/>
  <c r="F2689" i="1"/>
  <c r="E2689" i="1"/>
  <c r="D2689" i="1"/>
  <c r="C2689" i="1"/>
  <c r="I2688" i="1"/>
  <c r="H2688" i="1"/>
  <c r="G2688" i="1"/>
  <c r="F2688" i="1"/>
  <c r="E2688" i="1"/>
  <c r="D2688" i="1"/>
  <c r="C2688" i="1"/>
  <c r="I2687" i="1"/>
  <c r="H2687" i="1"/>
  <c r="G2687" i="1"/>
  <c r="F2687" i="1"/>
  <c r="E2687" i="1"/>
  <c r="D2687" i="1"/>
  <c r="C2687" i="1"/>
  <c r="I2686" i="1"/>
  <c r="H2686" i="1"/>
  <c r="G2686" i="1"/>
  <c r="F2686" i="1"/>
  <c r="E2686" i="1"/>
  <c r="D2686" i="1"/>
  <c r="C2686" i="1"/>
  <c r="I2685" i="1"/>
  <c r="H2685" i="1"/>
  <c r="G2685" i="1"/>
  <c r="F2685" i="1"/>
  <c r="E2685" i="1"/>
  <c r="D2685" i="1"/>
  <c r="C2685" i="1"/>
  <c r="I2684" i="1"/>
  <c r="H2684" i="1"/>
  <c r="G2684" i="1"/>
  <c r="F2684" i="1"/>
  <c r="E2684" i="1"/>
  <c r="D2684" i="1"/>
  <c r="C2684" i="1"/>
  <c r="I2683" i="1"/>
  <c r="H2683" i="1"/>
  <c r="G2683" i="1"/>
  <c r="F2683" i="1"/>
  <c r="E2683" i="1"/>
  <c r="D2683" i="1"/>
  <c r="C2683" i="1"/>
  <c r="I2682" i="1"/>
  <c r="H2682" i="1"/>
  <c r="G2682" i="1"/>
  <c r="F2682" i="1"/>
  <c r="E2682" i="1"/>
  <c r="D2682" i="1"/>
  <c r="C2682" i="1"/>
  <c r="I2681" i="1"/>
  <c r="H2681" i="1"/>
  <c r="G2681" i="1"/>
  <c r="F2681" i="1"/>
  <c r="E2681" i="1"/>
  <c r="D2681" i="1"/>
  <c r="C2681" i="1"/>
  <c r="I2680" i="1"/>
  <c r="H2680" i="1"/>
  <c r="G2680" i="1"/>
  <c r="F2680" i="1"/>
  <c r="E2680" i="1"/>
  <c r="D2680" i="1"/>
  <c r="C2680" i="1"/>
  <c r="I2679" i="1"/>
  <c r="H2679" i="1"/>
  <c r="G2679" i="1"/>
  <c r="F2679" i="1"/>
  <c r="E2679" i="1"/>
  <c r="D2679" i="1"/>
  <c r="C2679" i="1"/>
  <c r="I2678" i="1"/>
  <c r="H2678" i="1"/>
  <c r="G2678" i="1"/>
  <c r="F2678" i="1"/>
  <c r="E2678" i="1"/>
  <c r="D2678" i="1"/>
  <c r="C2678" i="1"/>
  <c r="I2677" i="1"/>
  <c r="H2677" i="1"/>
  <c r="G2677" i="1"/>
  <c r="F2677" i="1"/>
  <c r="E2677" i="1"/>
  <c r="D2677" i="1"/>
  <c r="C2677" i="1"/>
  <c r="I2676" i="1"/>
  <c r="H2676" i="1"/>
  <c r="G2676" i="1"/>
  <c r="F2676" i="1"/>
  <c r="E2676" i="1"/>
  <c r="D2676" i="1"/>
  <c r="C2676" i="1"/>
  <c r="I2675" i="1"/>
  <c r="H2675" i="1"/>
  <c r="G2675" i="1"/>
  <c r="F2675" i="1"/>
  <c r="E2675" i="1"/>
  <c r="D2675" i="1"/>
  <c r="C2675" i="1"/>
  <c r="I2674" i="1"/>
  <c r="H2674" i="1"/>
  <c r="G2674" i="1"/>
  <c r="F2674" i="1"/>
  <c r="E2674" i="1"/>
  <c r="D2674" i="1"/>
  <c r="C2674" i="1"/>
  <c r="I2673" i="1"/>
  <c r="H2673" i="1"/>
  <c r="G2673" i="1"/>
  <c r="F2673" i="1"/>
  <c r="E2673" i="1"/>
  <c r="D2673" i="1"/>
  <c r="C2673" i="1"/>
  <c r="I2672" i="1"/>
  <c r="H2672" i="1"/>
  <c r="G2672" i="1"/>
  <c r="F2672" i="1"/>
  <c r="E2672" i="1"/>
  <c r="D2672" i="1"/>
  <c r="C2672" i="1"/>
  <c r="I2671" i="1"/>
  <c r="H2671" i="1"/>
  <c r="G2671" i="1"/>
  <c r="F2671" i="1"/>
  <c r="E2671" i="1"/>
  <c r="D2671" i="1"/>
  <c r="C2671" i="1"/>
  <c r="I2670" i="1"/>
  <c r="H2670" i="1"/>
  <c r="G2670" i="1"/>
  <c r="F2670" i="1"/>
  <c r="E2670" i="1"/>
  <c r="D2670" i="1"/>
  <c r="C2670" i="1"/>
  <c r="I2669" i="1"/>
  <c r="H2669" i="1"/>
  <c r="G2669" i="1"/>
  <c r="F2669" i="1"/>
  <c r="E2669" i="1"/>
  <c r="D2669" i="1"/>
  <c r="C2669" i="1"/>
  <c r="I2668" i="1"/>
  <c r="H2668" i="1"/>
  <c r="G2668" i="1"/>
  <c r="F2668" i="1"/>
  <c r="E2668" i="1"/>
  <c r="D2668" i="1"/>
  <c r="C2668" i="1"/>
  <c r="I2667" i="1"/>
  <c r="H2667" i="1"/>
  <c r="G2667" i="1"/>
  <c r="F2667" i="1"/>
  <c r="E2667" i="1"/>
  <c r="D2667" i="1"/>
  <c r="C2667" i="1"/>
  <c r="I2666" i="1"/>
  <c r="H2666" i="1"/>
  <c r="G2666" i="1"/>
  <c r="F2666" i="1"/>
  <c r="E2666" i="1"/>
  <c r="D2666" i="1"/>
  <c r="C2666" i="1"/>
  <c r="I2665" i="1"/>
  <c r="H2665" i="1"/>
  <c r="G2665" i="1"/>
  <c r="F2665" i="1"/>
  <c r="E2665" i="1"/>
  <c r="D2665" i="1"/>
  <c r="C2665" i="1"/>
  <c r="I2664" i="1"/>
  <c r="H2664" i="1"/>
  <c r="G2664" i="1"/>
  <c r="F2664" i="1"/>
  <c r="E2664" i="1"/>
  <c r="D2664" i="1"/>
  <c r="C2664" i="1"/>
  <c r="I2663" i="1"/>
  <c r="H2663" i="1"/>
  <c r="G2663" i="1"/>
  <c r="F2663" i="1"/>
  <c r="E2663" i="1"/>
  <c r="D2663" i="1"/>
  <c r="C2663" i="1"/>
  <c r="I2662" i="1"/>
  <c r="H2662" i="1"/>
  <c r="G2662" i="1"/>
  <c r="F2662" i="1"/>
  <c r="E2662" i="1"/>
  <c r="D2662" i="1"/>
  <c r="C2662" i="1"/>
  <c r="I2661" i="1"/>
  <c r="H2661" i="1"/>
  <c r="G2661" i="1"/>
  <c r="F2661" i="1"/>
  <c r="E2661" i="1"/>
  <c r="D2661" i="1"/>
  <c r="C2661" i="1"/>
  <c r="I2660" i="1"/>
  <c r="H2660" i="1"/>
  <c r="G2660" i="1"/>
  <c r="F2660" i="1"/>
  <c r="E2660" i="1"/>
  <c r="D2660" i="1"/>
  <c r="C2660" i="1"/>
  <c r="I2659" i="1"/>
  <c r="H2659" i="1"/>
  <c r="G2659" i="1"/>
  <c r="F2659" i="1"/>
  <c r="E2659" i="1"/>
  <c r="D2659" i="1"/>
  <c r="C2659" i="1"/>
  <c r="I2658" i="1"/>
  <c r="H2658" i="1"/>
  <c r="G2658" i="1"/>
  <c r="F2658" i="1"/>
  <c r="E2658" i="1"/>
  <c r="D2658" i="1"/>
  <c r="C2658" i="1"/>
  <c r="I2657" i="1"/>
  <c r="H2657" i="1"/>
  <c r="G2657" i="1"/>
  <c r="F2657" i="1"/>
  <c r="E2657" i="1"/>
  <c r="D2657" i="1"/>
  <c r="C2657" i="1"/>
  <c r="I2656" i="1"/>
  <c r="H2656" i="1"/>
  <c r="G2656" i="1"/>
  <c r="F2656" i="1"/>
  <c r="E2656" i="1"/>
  <c r="D2656" i="1"/>
  <c r="C2656" i="1"/>
  <c r="I2655" i="1"/>
  <c r="H2655" i="1"/>
  <c r="G2655" i="1"/>
  <c r="F2655" i="1"/>
  <c r="E2655" i="1"/>
  <c r="D2655" i="1"/>
  <c r="C2655" i="1"/>
  <c r="I2654" i="1"/>
  <c r="H2654" i="1"/>
  <c r="G2654" i="1"/>
  <c r="F2654" i="1"/>
  <c r="E2654" i="1"/>
  <c r="D2654" i="1"/>
  <c r="C2654" i="1"/>
  <c r="I2653" i="1"/>
  <c r="H2653" i="1"/>
  <c r="G2653" i="1"/>
  <c r="F2653" i="1"/>
  <c r="E2653" i="1"/>
  <c r="D2653" i="1"/>
  <c r="C2653" i="1"/>
  <c r="I2652" i="1"/>
  <c r="H2652" i="1"/>
  <c r="G2652" i="1"/>
  <c r="F2652" i="1"/>
  <c r="E2652" i="1"/>
  <c r="D2652" i="1"/>
  <c r="C2652" i="1"/>
  <c r="I2651" i="1"/>
  <c r="H2651" i="1"/>
  <c r="G2651" i="1"/>
  <c r="F2651" i="1"/>
  <c r="E2651" i="1"/>
  <c r="D2651" i="1"/>
  <c r="C2651" i="1"/>
  <c r="I2650" i="1"/>
  <c r="H2650" i="1"/>
  <c r="G2650" i="1"/>
  <c r="F2650" i="1"/>
  <c r="E2650" i="1"/>
  <c r="D2650" i="1"/>
  <c r="C2650" i="1"/>
  <c r="I2649" i="1"/>
  <c r="H2649" i="1"/>
  <c r="G2649" i="1"/>
  <c r="F2649" i="1"/>
  <c r="E2649" i="1"/>
  <c r="D2649" i="1"/>
  <c r="C2649" i="1"/>
  <c r="I2648" i="1"/>
  <c r="H2648" i="1"/>
  <c r="G2648" i="1"/>
  <c r="F2648" i="1"/>
  <c r="E2648" i="1"/>
  <c r="D2648" i="1"/>
  <c r="C2648" i="1"/>
  <c r="I2647" i="1"/>
  <c r="H2647" i="1"/>
  <c r="G2647" i="1"/>
  <c r="F2647" i="1"/>
  <c r="E2647" i="1"/>
  <c r="D2647" i="1"/>
  <c r="C2647" i="1"/>
  <c r="I2646" i="1"/>
  <c r="H2646" i="1"/>
  <c r="G2646" i="1"/>
  <c r="F2646" i="1"/>
  <c r="E2646" i="1"/>
  <c r="D2646" i="1"/>
  <c r="C2646" i="1"/>
  <c r="I2645" i="1"/>
  <c r="H2645" i="1"/>
  <c r="G2645" i="1"/>
  <c r="F2645" i="1"/>
  <c r="E2645" i="1"/>
  <c r="D2645" i="1"/>
  <c r="C2645" i="1"/>
  <c r="I2644" i="1"/>
  <c r="H2644" i="1"/>
  <c r="G2644" i="1"/>
  <c r="F2644" i="1"/>
  <c r="E2644" i="1"/>
  <c r="D2644" i="1"/>
  <c r="C2644" i="1"/>
  <c r="I2643" i="1"/>
  <c r="H2643" i="1"/>
  <c r="G2643" i="1"/>
  <c r="F2643" i="1"/>
  <c r="E2643" i="1"/>
  <c r="D2643" i="1"/>
  <c r="C2643" i="1"/>
  <c r="I2642" i="1"/>
  <c r="H2642" i="1"/>
  <c r="G2642" i="1"/>
  <c r="F2642" i="1"/>
  <c r="E2642" i="1"/>
  <c r="D2642" i="1"/>
  <c r="C2642" i="1"/>
  <c r="I2641" i="1"/>
  <c r="H2641" i="1"/>
  <c r="G2641" i="1"/>
  <c r="F2641" i="1"/>
  <c r="E2641" i="1"/>
  <c r="D2641" i="1"/>
  <c r="C2641" i="1"/>
  <c r="I2640" i="1"/>
  <c r="H2640" i="1"/>
  <c r="G2640" i="1"/>
  <c r="F2640" i="1"/>
  <c r="E2640" i="1"/>
  <c r="D2640" i="1"/>
  <c r="C2640" i="1"/>
  <c r="I2639" i="1"/>
  <c r="H2639" i="1"/>
  <c r="G2639" i="1"/>
  <c r="F2639" i="1"/>
  <c r="E2639" i="1"/>
  <c r="D2639" i="1"/>
  <c r="C2639" i="1"/>
  <c r="I2638" i="1"/>
  <c r="H2638" i="1"/>
  <c r="G2638" i="1"/>
  <c r="F2638" i="1"/>
  <c r="E2638" i="1"/>
  <c r="D2638" i="1"/>
  <c r="C2638" i="1"/>
  <c r="I2637" i="1"/>
  <c r="H2637" i="1"/>
  <c r="G2637" i="1"/>
  <c r="F2637" i="1"/>
  <c r="E2637" i="1"/>
  <c r="D2637" i="1"/>
  <c r="C2637" i="1"/>
  <c r="I2636" i="1"/>
  <c r="H2636" i="1"/>
  <c r="G2636" i="1"/>
  <c r="F2636" i="1"/>
  <c r="E2636" i="1"/>
  <c r="D2636" i="1"/>
  <c r="C2636" i="1"/>
  <c r="I2635" i="1"/>
  <c r="H2635" i="1"/>
  <c r="G2635" i="1"/>
  <c r="F2635" i="1"/>
  <c r="E2635" i="1"/>
  <c r="D2635" i="1"/>
  <c r="C2635" i="1"/>
  <c r="I2634" i="1"/>
  <c r="H2634" i="1"/>
  <c r="G2634" i="1"/>
  <c r="F2634" i="1"/>
  <c r="E2634" i="1"/>
  <c r="D2634" i="1"/>
  <c r="C2634" i="1"/>
  <c r="I2633" i="1"/>
  <c r="H2633" i="1"/>
  <c r="G2633" i="1"/>
  <c r="F2633" i="1"/>
  <c r="E2633" i="1"/>
  <c r="D2633" i="1"/>
  <c r="C2633" i="1"/>
  <c r="I2632" i="1"/>
  <c r="H2632" i="1"/>
  <c r="G2632" i="1"/>
  <c r="F2632" i="1"/>
  <c r="E2632" i="1"/>
  <c r="D2632" i="1"/>
  <c r="C2632" i="1"/>
  <c r="I2631" i="1"/>
  <c r="H2631" i="1"/>
  <c r="G2631" i="1"/>
  <c r="F2631" i="1"/>
  <c r="E2631" i="1"/>
  <c r="D2631" i="1"/>
  <c r="C2631" i="1"/>
  <c r="I2630" i="1"/>
  <c r="H2630" i="1"/>
  <c r="G2630" i="1"/>
  <c r="F2630" i="1"/>
  <c r="E2630" i="1"/>
  <c r="D2630" i="1"/>
  <c r="C2630" i="1"/>
  <c r="I2629" i="1"/>
  <c r="H2629" i="1"/>
  <c r="G2629" i="1"/>
  <c r="F2629" i="1"/>
  <c r="E2629" i="1"/>
  <c r="D2629" i="1"/>
  <c r="C2629" i="1"/>
  <c r="I2628" i="1"/>
  <c r="H2628" i="1"/>
  <c r="G2628" i="1"/>
  <c r="F2628" i="1"/>
  <c r="E2628" i="1"/>
  <c r="D2628" i="1"/>
  <c r="C2628" i="1"/>
  <c r="I2627" i="1"/>
  <c r="H2627" i="1"/>
  <c r="G2627" i="1"/>
  <c r="F2627" i="1"/>
  <c r="E2627" i="1"/>
  <c r="D2627" i="1"/>
  <c r="C2627" i="1"/>
  <c r="I2626" i="1"/>
  <c r="H2626" i="1"/>
  <c r="G2626" i="1"/>
  <c r="F2626" i="1"/>
  <c r="E2626" i="1"/>
  <c r="D2626" i="1"/>
  <c r="C2626" i="1"/>
  <c r="I2625" i="1"/>
  <c r="H2625" i="1"/>
  <c r="G2625" i="1"/>
  <c r="F2625" i="1"/>
  <c r="E2625" i="1"/>
  <c r="D2625" i="1"/>
  <c r="C2625" i="1"/>
  <c r="I2624" i="1"/>
  <c r="H2624" i="1"/>
  <c r="G2624" i="1"/>
  <c r="F2624" i="1"/>
  <c r="E2624" i="1"/>
  <c r="D2624" i="1"/>
  <c r="C2624" i="1"/>
  <c r="I2623" i="1"/>
  <c r="H2623" i="1"/>
  <c r="G2623" i="1"/>
  <c r="F2623" i="1"/>
  <c r="E2623" i="1"/>
  <c r="D2623" i="1"/>
  <c r="C2623" i="1"/>
  <c r="I2622" i="1"/>
  <c r="H2622" i="1"/>
  <c r="G2622" i="1"/>
  <c r="F2622" i="1"/>
  <c r="E2622" i="1"/>
  <c r="D2622" i="1"/>
  <c r="C2622" i="1"/>
  <c r="I2621" i="1"/>
  <c r="H2621" i="1"/>
  <c r="G2621" i="1"/>
  <c r="F2621" i="1"/>
  <c r="E2621" i="1"/>
  <c r="D2621" i="1"/>
  <c r="C2621" i="1"/>
  <c r="I2620" i="1"/>
  <c r="H2620" i="1"/>
  <c r="G2620" i="1"/>
  <c r="F2620" i="1"/>
  <c r="E2620" i="1"/>
  <c r="D2620" i="1"/>
  <c r="C2620" i="1"/>
  <c r="I2619" i="1"/>
  <c r="H2619" i="1"/>
  <c r="G2619" i="1"/>
  <c r="F2619" i="1"/>
  <c r="E2619" i="1"/>
  <c r="D2619" i="1"/>
  <c r="C2619" i="1"/>
  <c r="I2618" i="1"/>
  <c r="H2618" i="1"/>
  <c r="G2618" i="1"/>
  <c r="F2618" i="1"/>
  <c r="E2618" i="1"/>
  <c r="D2618" i="1"/>
  <c r="C2618" i="1"/>
  <c r="I2617" i="1"/>
  <c r="H2617" i="1"/>
  <c r="G2617" i="1"/>
  <c r="F2617" i="1"/>
  <c r="E2617" i="1"/>
  <c r="D2617" i="1"/>
  <c r="C2617" i="1"/>
  <c r="I2616" i="1"/>
  <c r="H2616" i="1"/>
  <c r="G2616" i="1"/>
  <c r="F2616" i="1"/>
  <c r="E2616" i="1"/>
  <c r="D2616" i="1"/>
  <c r="C2616" i="1"/>
  <c r="I2615" i="1"/>
  <c r="H2615" i="1"/>
  <c r="G2615" i="1"/>
  <c r="F2615" i="1"/>
  <c r="E2615" i="1"/>
  <c r="D2615" i="1"/>
  <c r="C2615" i="1"/>
  <c r="I2614" i="1"/>
  <c r="H2614" i="1"/>
  <c r="G2614" i="1"/>
  <c r="F2614" i="1"/>
  <c r="E2614" i="1"/>
  <c r="D2614" i="1"/>
  <c r="C2614" i="1"/>
  <c r="I2613" i="1"/>
  <c r="H2613" i="1"/>
  <c r="G2613" i="1"/>
  <c r="F2613" i="1"/>
  <c r="E2613" i="1"/>
  <c r="D2613" i="1"/>
  <c r="C2613" i="1"/>
  <c r="I2612" i="1"/>
  <c r="H2612" i="1"/>
  <c r="G2612" i="1"/>
  <c r="F2612" i="1"/>
  <c r="E2612" i="1"/>
  <c r="D2612" i="1"/>
  <c r="C2612" i="1"/>
  <c r="I2611" i="1"/>
  <c r="H2611" i="1"/>
  <c r="G2611" i="1"/>
  <c r="F2611" i="1"/>
  <c r="E2611" i="1"/>
  <c r="D2611" i="1"/>
  <c r="C2611" i="1"/>
  <c r="I2610" i="1"/>
  <c r="H2610" i="1"/>
  <c r="G2610" i="1"/>
  <c r="F2610" i="1"/>
  <c r="E2610" i="1"/>
  <c r="D2610" i="1"/>
  <c r="C2610" i="1"/>
  <c r="I2609" i="1"/>
  <c r="H2609" i="1"/>
  <c r="G2609" i="1"/>
  <c r="F2609" i="1"/>
  <c r="E2609" i="1"/>
  <c r="D2609" i="1"/>
  <c r="C2609" i="1"/>
  <c r="I2608" i="1"/>
  <c r="H2608" i="1"/>
  <c r="G2608" i="1"/>
  <c r="F2608" i="1"/>
  <c r="E2608" i="1"/>
  <c r="D2608" i="1"/>
  <c r="C2608" i="1"/>
  <c r="I2607" i="1"/>
  <c r="H2607" i="1"/>
  <c r="G2607" i="1"/>
  <c r="F2607" i="1"/>
  <c r="E2607" i="1"/>
  <c r="D2607" i="1"/>
  <c r="C2607" i="1"/>
  <c r="I2606" i="1"/>
  <c r="H2606" i="1"/>
  <c r="G2606" i="1"/>
  <c r="F2606" i="1"/>
  <c r="E2606" i="1"/>
  <c r="D2606" i="1"/>
  <c r="C2606" i="1"/>
  <c r="I2605" i="1"/>
  <c r="H2605" i="1"/>
  <c r="G2605" i="1"/>
  <c r="F2605" i="1"/>
  <c r="E2605" i="1"/>
  <c r="D2605" i="1"/>
  <c r="C2605" i="1"/>
  <c r="I2604" i="1"/>
  <c r="H2604" i="1"/>
  <c r="G2604" i="1"/>
  <c r="F2604" i="1"/>
  <c r="E2604" i="1"/>
  <c r="D2604" i="1"/>
  <c r="C2604" i="1"/>
  <c r="I2603" i="1"/>
  <c r="H2603" i="1"/>
  <c r="G2603" i="1"/>
  <c r="F2603" i="1"/>
  <c r="E2603" i="1"/>
  <c r="D2603" i="1"/>
  <c r="C2603" i="1"/>
  <c r="I2602" i="1"/>
  <c r="H2602" i="1"/>
  <c r="G2602" i="1"/>
  <c r="F2602" i="1"/>
  <c r="E2602" i="1"/>
  <c r="D2602" i="1"/>
  <c r="C2602" i="1"/>
  <c r="I2601" i="1"/>
  <c r="H2601" i="1"/>
  <c r="G2601" i="1"/>
  <c r="F2601" i="1"/>
  <c r="E2601" i="1"/>
  <c r="D2601" i="1"/>
  <c r="C2601" i="1"/>
  <c r="I2600" i="1"/>
  <c r="H2600" i="1"/>
  <c r="G2600" i="1"/>
  <c r="F2600" i="1"/>
  <c r="E2600" i="1"/>
  <c r="D2600" i="1"/>
  <c r="C2600" i="1"/>
  <c r="I2599" i="1"/>
  <c r="H2599" i="1"/>
  <c r="G2599" i="1"/>
  <c r="F2599" i="1"/>
  <c r="E2599" i="1"/>
  <c r="D2599" i="1"/>
  <c r="C2599" i="1"/>
  <c r="I2598" i="1"/>
  <c r="H2598" i="1"/>
  <c r="G2598" i="1"/>
  <c r="F2598" i="1"/>
  <c r="E2598" i="1"/>
  <c r="D2598" i="1"/>
  <c r="C2598" i="1"/>
  <c r="I2597" i="1"/>
  <c r="H2597" i="1"/>
  <c r="G2597" i="1"/>
  <c r="F2597" i="1"/>
  <c r="E2597" i="1"/>
  <c r="D2597" i="1"/>
  <c r="C2597" i="1"/>
  <c r="I2596" i="1"/>
  <c r="H2596" i="1"/>
  <c r="G2596" i="1"/>
  <c r="F2596" i="1"/>
  <c r="E2596" i="1"/>
  <c r="D2596" i="1"/>
  <c r="C2596" i="1"/>
  <c r="I2595" i="1"/>
  <c r="H2595" i="1"/>
  <c r="G2595" i="1"/>
  <c r="F2595" i="1"/>
  <c r="E2595" i="1"/>
  <c r="D2595" i="1"/>
  <c r="C2595" i="1"/>
  <c r="I2594" i="1"/>
  <c r="H2594" i="1"/>
  <c r="G2594" i="1"/>
  <c r="F2594" i="1"/>
  <c r="E2594" i="1"/>
  <c r="D2594" i="1"/>
  <c r="C2594" i="1"/>
  <c r="I2593" i="1"/>
  <c r="H2593" i="1"/>
  <c r="G2593" i="1"/>
  <c r="F2593" i="1"/>
  <c r="E2593" i="1"/>
  <c r="D2593" i="1"/>
  <c r="C2593" i="1"/>
  <c r="I2592" i="1"/>
  <c r="H2592" i="1"/>
  <c r="G2592" i="1"/>
  <c r="F2592" i="1"/>
  <c r="E2592" i="1"/>
  <c r="D2592" i="1"/>
  <c r="C2592" i="1"/>
  <c r="I2591" i="1"/>
  <c r="H2591" i="1"/>
  <c r="G2591" i="1"/>
  <c r="F2591" i="1"/>
  <c r="E2591" i="1"/>
  <c r="D2591" i="1"/>
  <c r="C2591" i="1"/>
  <c r="I2590" i="1"/>
  <c r="H2590" i="1"/>
  <c r="G2590" i="1"/>
  <c r="F2590" i="1"/>
  <c r="E2590" i="1"/>
  <c r="D2590" i="1"/>
  <c r="C2590" i="1"/>
  <c r="I2589" i="1"/>
  <c r="H2589" i="1"/>
  <c r="G2589" i="1"/>
  <c r="F2589" i="1"/>
  <c r="E2589" i="1"/>
  <c r="D2589" i="1"/>
  <c r="C2589" i="1"/>
  <c r="I2588" i="1"/>
  <c r="H2588" i="1"/>
  <c r="G2588" i="1"/>
  <c r="F2588" i="1"/>
  <c r="E2588" i="1"/>
  <c r="D2588" i="1"/>
  <c r="C2588" i="1"/>
  <c r="I2587" i="1"/>
  <c r="H2587" i="1"/>
  <c r="G2587" i="1"/>
  <c r="F2587" i="1"/>
  <c r="E2587" i="1"/>
  <c r="D2587" i="1"/>
  <c r="C2587" i="1"/>
  <c r="I2586" i="1"/>
  <c r="H2586" i="1"/>
  <c r="G2586" i="1"/>
  <c r="F2586" i="1"/>
  <c r="E2586" i="1"/>
  <c r="D2586" i="1"/>
  <c r="C2586" i="1"/>
  <c r="I2585" i="1"/>
  <c r="H2585" i="1"/>
  <c r="G2585" i="1"/>
  <c r="F2585" i="1"/>
  <c r="E2585" i="1"/>
  <c r="D2585" i="1"/>
  <c r="C2585" i="1"/>
  <c r="I2584" i="1"/>
  <c r="H2584" i="1"/>
  <c r="G2584" i="1"/>
  <c r="F2584" i="1"/>
  <c r="E2584" i="1"/>
  <c r="D2584" i="1"/>
  <c r="C2584" i="1"/>
  <c r="I2583" i="1"/>
  <c r="H2583" i="1"/>
  <c r="G2583" i="1"/>
  <c r="F2583" i="1"/>
  <c r="E2583" i="1"/>
  <c r="D2583" i="1"/>
  <c r="C2583" i="1"/>
  <c r="I2582" i="1"/>
  <c r="H2582" i="1"/>
  <c r="G2582" i="1"/>
  <c r="F2582" i="1"/>
  <c r="E2582" i="1"/>
  <c r="D2582" i="1"/>
  <c r="C2582" i="1"/>
  <c r="I2581" i="1"/>
  <c r="H2581" i="1"/>
  <c r="G2581" i="1"/>
  <c r="F2581" i="1"/>
  <c r="E2581" i="1"/>
  <c r="D2581" i="1"/>
  <c r="C2581" i="1"/>
  <c r="I2580" i="1"/>
  <c r="H2580" i="1"/>
  <c r="G2580" i="1"/>
  <c r="F2580" i="1"/>
  <c r="E2580" i="1"/>
  <c r="D2580" i="1"/>
  <c r="C2580" i="1"/>
  <c r="I2579" i="1"/>
  <c r="H2579" i="1"/>
  <c r="G2579" i="1"/>
  <c r="F2579" i="1"/>
  <c r="E2579" i="1"/>
  <c r="D2579" i="1"/>
  <c r="C2579" i="1"/>
  <c r="I2578" i="1"/>
  <c r="H2578" i="1"/>
  <c r="G2578" i="1"/>
  <c r="F2578" i="1"/>
  <c r="E2578" i="1"/>
  <c r="D2578" i="1"/>
  <c r="C2578" i="1"/>
  <c r="I2577" i="1"/>
  <c r="H2577" i="1"/>
  <c r="G2577" i="1"/>
  <c r="F2577" i="1"/>
  <c r="E2577" i="1"/>
  <c r="D2577" i="1"/>
  <c r="C2577" i="1"/>
  <c r="I2576" i="1"/>
  <c r="H2576" i="1"/>
  <c r="G2576" i="1"/>
  <c r="F2576" i="1"/>
  <c r="E2576" i="1"/>
  <c r="D2576" i="1"/>
  <c r="C2576" i="1"/>
  <c r="I2575" i="1"/>
  <c r="H2575" i="1"/>
  <c r="G2575" i="1"/>
  <c r="F2575" i="1"/>
  <c r="E2575" i="1"/>
  <c r="D2575" i="1"/>
  <c r="C2575" i="1"/>
  <c r="I2574" i="1"/>
  <c r="H2574" i="1"/>
  <c r="G2574" i="1"/>
  <c r="F2574" i="1"/>
  <c r="E2574" i="1"/>
  <c r="D2574" i="1"/>
  <c r="C2574" i="1"/>
  <c r="I2573" i="1"/>
  <c r="H2573" i="1"/>
  <c r="G2573" i="1"/>
  <c r="F2573" i="1"/>
  <c r="E2573" i="1"/>
  <c r="D2573" i="1"/>
  <c r="C2573" i="1"/>
  <c r="I2572" i="1"/>
  <c r="H2572" i="1"/>
  <c r="G2572" i="1"/>
  <c r="F2572" i="1"/>
  <c r="E2572" i="1"/>
  <c r="D2572" i="1"/>
  <c r="C2572" i="1"/>
  <c r="I2571" i="1"/>
  <c r="H2571" i="1"/>
  <c r="G2571" i="1"/>
  <c r="F2571" i="1"/>
  <c r="E2571" i="1"/>
  <c r="D2571" i="1"/>
  <c r="C2571" i="1"/>
  <c r="I2570" i="1"/>
  <c r="H2570" i="1"/>
  <c r="G2570" i="1"/>
  <c r="F2570" i="1"/>
  <c r="E2570" i="1"/>
  <c r="D2570" i="1"/>
  <c r="C2570" i="1"/>
  <c r="I2569" i="1"/>
  <c r="H2569" i="1"/>
  <c r="G2569" i="1"/>
  <c r="F2569" i="1"/>
  <c r="E2569" i="1"/>
  <c r="D2569" i="1"/>
  <c r="C2569" i="1"/>
  <c r="I2568" i="1"/>
  <c r="H2568" i="1"/>
  <c r="G2568" i="1"/>
  <c r="F2568" i="1"/>
  <c r="E2568" i="1"/>
  <c r="D2568" i="1"/>
  <c r="C2568" i="1"/>
  <c r="I2567" i="1"/>
  <c r="H2567" i="1"/>
  <c r="G2567" i="1"/>
  <c r="F2567" i="1"/>
  <c r="E2567" i="1"/>
  <c r="D2567" i="1"/>
  <c r="C2567" i="1"/>
  <c r="I2566" i="1"/>
  <c r="H2566" i="1"/>
  <c r="G2566" i="1"/>
  <c r="F2566" i="1"/>
  <c r="E2566" i="1"/>
  <c r="D2566" i="1"/>
  <c r="C2566" i="1"/>
  <c r="I2565" i="1"/>
  <c r="H2565" i="1"/>
  <c r="G2565" i="1"/>
  <c r="F2565" i="1"/>
  <c r="E2565" i="1"/>
  <c r="D2565" i="1"/>
  <c r="C2565" i="1"/>
  <c r="I2564" i="1"/>
  <c r="H2564" i="1"/>
  <c r="G2564" i="1"/>
  <c r="F2564" i="1"/>
  <c r="E2564" i="1"/>
  <c r="D2564" i="1"/>
  <c r="C2564" i="1"/>
  <c r="I2563" i="1"/>
  <c r="H2563" i="1"/>
  <c r="G2563" i="1"/>
  <c r="F2563" i="1"/>
  <c r="E2563" i="1"/>
  <c r="D2563" i="1"/>
  <c r="C2563" i="1"/>
  <c r="I2562" i="1"/>
  <c r="H2562" i="1"/>
  <c r="G2562" i="1"/>
  <c r="F2562" i="1"/>
  <c r="E2562" i="1"/>
  <c r="D2562" i="1"/>
  <c r="C2562" i="1"/>
  <c r="I2561" i="1"/>
  <c r="H2561" i="1"/>
  <c r="G2561" i="1"/>
  <c r="F2561" i="1"/>
  <c r="E2561" i="1"/>
  <c r="D2561" i="1"/>
  <c r="C2561" i="1"/>
  <c r="I2560" i="1"/>
  <c r="H2560" i="1"/>
  <c r="G2560" i="1"/>
  <c r="F2560" i="1"/>
  <c r="E2560" i="1"/>
  <c r="D2560" i="1"/>
  <c r="C2560" i="1"/>
  <c r="I2559" i="1"/>
  <c r="H2559" i="1"/>
  <c r="G2559" i="1"/>
  <c r="F2559" i="1"/>
  <c r="E2559" i="1"/>
  <c r="D2559" i="1"/>
  <c r="C2559" i="1"/>
  <c r="I2558" i="1"/>
  <c r="H2558" i="1"/>
  <c r="G2558" i="1"/>
  <c r="F2558" i="1"/>
  <c r="E2558" i="1"/>
  <c r="D2558" i="1"/>
  <c r="C2558" i="1"/>
  <c r="I2557" i="1"/>
  <c r="H2557" i="1"/>
  <c r="G2557" i="1"/>
  <c r="F2557" i="1"/>
  <c r="E2557" i="1"/>
  <c r="D2557" i="1"/>
  <c r="C2557" i="1"/>
  <c r="I2556" i="1"/>
  <c r="H2556" i="1"/>
  <c r="G2556" i="1"/>
  <c r="F2556" i="1"/>
  <c r="E2556" i="1"/>
  <c r="D2556" i="1"/>
  <c r="C2556" i="1"/>
  <c r="I2555" i="1"/>
  <c r="H2555" i="1"/>
  <c r="G2555" i="1"/>
  <c r="F2555" i="1"/>
  <c r="E2555" i="1"/>
  <c r="D2555" i="1"/>
  <c r="C2555" i="1"/>
  <c r="I2554" i="1"/>
  <c r="H2554" i="1"/>
  <c r="G2554" i="1"/>
  <c r="F2554" i="1"/>
  <c r="E2554" i="1"/>
  <c r="D2554" i="1"/>
  <c r="C2554" i="1"/>
  <c r="I2553" i="1"/>
  <c r="H2553" i="1"/>
  <c r="G2553" i="1"/>
  <c r="F2553" i="1"/>
  <c r="E2553" i="1"/>
  <c r="D2553" i="1"/>
  <c r="C2553" i="1"/>
  <c r="I2552" i="1"/>
  <c r="H2552" i="1"/>
  <c r="G2552" i="1"/>
  <c r="F2552" i="1"/>
  <c r="E2552" i="1"/>
  <c r="D2552" i="1"/>
  <c r="C2552" i="1"/>
  <c r="I2551" i="1"/>
  <c r="H2551" i="1"/>
  <c r="G2551" i="1"/>
  <c r="F2551" i="1"/>
  <c r="E2551" i="1"/>
  <c r="D2551" i="1"/>
  <c r="C2551" i="1"/>
  <c r="I2550" i="1"/>
  <c r="H2550" i="1"/>
  <c r="G2550" i="1"/>
  <c r="F2550" i="1"/>
  <c r="E2550" i="1"/>
  <c r="D2550" i="1"/>
  <c r="C2550" i="1"/>
  <c r="I2549" i="1"/>
  <c r="H2549" i="1"/>
  <c r="G2549" i="1"/>
  <c r="F2549" i="1"/>
  <c r="E2549" i="1"/>
  <c r="D2549" i="1"/>
  <c r="C2549" i="1"/>
  <c r="I2548" i="1"/>
  <c r="H2548" i="1"/>
  <c r="G2548" i="1"/>
  <c r="F2548" i="1"/>
  <c r="E2548" i="1"/>
  <c r="D2548" i="1"/>
  <c r="C2548" i="1"/>
  <c r="I2547" i="1"/>
  <c r="H2547" i="1"/>
  <c r="G2547" i="1"/>
  <c r="F2547" i="1"/>
  <c r="E2547" i="1"/>
  <c r="D2547" i="1"/>
  <c r="C2547" i="1"/>
  <c r="I2546" i="1"/>
  <c r="H2546" i="1"/>
  <c r="G2546" i="1"/>
  <c r="F2546" i="1"/>
  <c r="E2546" i="1"/>
  <c r="D2546" i="1"/>
  <c r="C2546" i="1"/>
  <c r="I2545" i="1"/>
  <c r="H2545" i="1"/>
  <c r="G2545" i="1"/>
  <c r="F2545" i="1"/>
  <c r="E2545" i="1"/>
  <c r="D2545" i="1"/>
  <c r="C2545" i="1"/>
  <c r="I2544" i="1"/>
  <c r="H2544" i="1"/>
  <c r="G2544" i="1"/>
  <c r="F2544" i="1"/>
  <c r="E2544" i="1"/>
  <c r="D2544" i="1"/>
  <c r="C2544" i="1"/>
  <c r="I2543" i="1"/>
  <c r="H2543" i="1"/>
  <c r="G2543" i="1"/>
  <c r="F2543" i="1"/>
  <c r="E2543" i="1"/>
  <c r="D2543" i="1"/>
  <c r="C2543" i="1"/>
  <c r="I2542" i="1"/>
  <c r="H2542" i="1"/>
  <c r="G2542" i="1"/>
  <c r="F2542" i="1"/>
  <c r="E2542" i="1"/>
  <c r="D2542" i="1"/>
  <c r="C2542" i="1"/>
  <c r="I2541" i="1"/>
  <c r="H2541" i="1"/>
  <c r="G2541" i="1"/>
  <c r="F2541" i="1"/>
  <c r="E2541" i="1"/>
  <c r="D2541" i="1"/>
  <c r="C2541" i="1"/>
  <c r="I2540" i="1"/>
  <c r="H2540" i="1"/>
  <c r="G2540" i="1"/>
  <c r="F2540" i="1"/>
  <c r="E2540" i="1"/>
  <c r="D2540" i="1"/>
  <c r="C2540" i="1"/>
  <c r="I2539" i="1"/>
  <c r="H2539" i="1"/>
  <c r="G2539" i="1"/>
  <c r="F2539" i="1"/>
  <c r="E2539" i="1"/>
  <c r="D2539" i="1"/>
  <c r="C2539" i="1"/>
  <c r="I2538" i="1"/>
  <c r="H2538" i="1"/>
  <c r="G2538" i="1"/>
  <c r="F2538" i="1"/>
  <c r="E2538" i="1"/>
  <c r="D2538" i="1"/>
  <c r="C2538" i="1"/>
  <c r="I2537" i="1"/>
  <c r="H2537" i="1"/>
  <c r="G2537" i="1"/>
  <c r="F2537" i="1"/>
  <c r="E2537" i="1"/>
  <c r="D2537" i="1"/>
  <c r="C2537" i="1"/>
  <c r="I2536" i="1"/>
  <c r="H2536" i="1"/>
  <c r="G2536" i="1"/>
  <c r="F2536" i="1"/>
  <c r="E2536" i="1"/>
  <c r="D2536" i="1"/>
  <c r="C2536" i="1"/>
  <c r="I2535" i="1"/>
  <c r="H2535" i="1"/>
  <c r="G2535" i="1"/>
  <c r="F2535" i="1"/>
  <c r="E2535" i="1"/>
  <c r="D2535" i="1"/>
  <c r="C2535" i="1"/>
  <c r="I2534" i="1"/>
  <c r="H2534" i="1"/>
  <c r="G2534" i="1"/>
  <c r="F2534" i="1"/>
  <c r="E2534" i="1"/>
  <c r="D2534" i="1"/>
  <c r="C2534" i="1"/>
  <c r="I2533" i="1"/>
  <c r="H2533" i="1"/>
  <c r="G2533" i="1"/>
  <c r="F2533" i="1"/>
  <c r="E2533" i="1"/>
  <c r="D2533" i="1"/>
  <c r="C2533" i="1"/>
  <c r="I2532" i="1"/>
  <c r="H2532" i="1"/>
  <c r="G2532" i="1"/>
  <c r="F2532" i="1"/>
  <c r="E2532" i="1"/>
  <c r="D2532" i="1"/>
  <c r="C2532" i="1"/>
  <c r="I2531" i="1"/>
  <c r="H2531" i="1"/>
  <c r="G2531" i="1"/>
  <c r="F2531" i="1"/>
  <c r="E2531" i="1"/>
  <c r="D2531" i="1"/>
  <c r="C2531" i="1"/>
  <c r="I2530" i="1"/>
  <c r="H2530" i="1"/>
  <c r="G2530" i="1"/>
  <c r="F2530" i="1"/>
  <c r="E2530" i="1"/>
  <c r="D2530" i="1"/>
  <c r="C2530" i="1"/>
  <c r="I2529" i="1"/>
  <c r="H2529" i="1"/>
  <c r="G2529" i="1"/>
  <c r="F2529" i="1"/>
  <c r="E2529" i="1"/>
  <c r="D2529" i="1"/>
  <c r="C2529" i="1"/>
  <c r="I2528" i="1"/>
  <c r="H2528" i="1"/>
  <c r="G2528" i="1"/>
  <c r="F2528" i="1"/>
  <c r="E2528" i="1"/>
  <c r="D2528" i="1"/>
  <c r="C2528" i="1"/>
  <c r="I2527" i="1"/>
  <c r="H2527" i="1"/>
  <c r="G2527" i="1"/>
  <c r="F2527" i="1"/>
  <c r="E2527" i="1"/>
  <c r="D2527" i="1"/>
  <c r="C2527" i="1"/>
  <c r="I2526" i="1"/>
  <c r="H2526" i="1"/>
  <c r="G2526" i="1"/>
  <c r="F2526" i="1"/>
  <c r="E2526" i="1"/>
  <c r="D2526" i="1"/>
  <c r="C2526" i="1"/>
  <c r="I2525" i="1"/>
  <c r="H2525" i="1"/>
  <c r="G2525" i="1"/>
  <c r="F2525" i="1"/>
  <c r="E2525" i="1"/>
  <c r="D2525" i="1"/>
  <c r="C2525" i="1"/>
  <c r="I2524" i="1"/>
  <c r="H2524" i="1"/>
  <c r="G2524" i="1"/>
  <c r="F2524" i="1"/>
  <c r="E2524" i="1"/>
  <c r="D2524" i="1"/>
  <c r="C2524" i="1"/>
  <c r="I2523" i="1"/>
  <c r="H2523" i="1"/>
  <c r="G2523" i="1"/>
  <c r="F2523" i="1"/>
  <c r="E2523" i="1"/>
  <c r="D2523" i="1"/>
  <c r="C2523" i="1"/>
  <c r="I2522" i="1"/>
  <c r="H2522" i="1"/>
  <c r="G2522" i="1"/>
  <c r="F2522" i="1"/>
  <c r="E2522" i="1"/>
  <c r="D2522" i="1"/>
  <c r="C2522" i="1"/>
  <c r="I2521" i="1"/>
  <c r="H2521" i="1"/>
  <c r="G2521" i="1"/>
  <c r="F2521" i="1"/>
  <c r="E2521" i="1"/>
  <c r="D2521" i="1"/>
  <c r="C2521" i="1"/>
  <c r="I2520" i="1"/>
  <c r="H2520" i="1"/>
  <c r="G2520" i="1"/>
  <c r="F2520" i="1"/>
  <c r="E2520" i="1"/>
  <c r="D2520" i="1"/>
  <c r="C2520" i="1"/>
  <c r="I2519" i="1"/>
  <c r="H2519" i="1"/>
  <c r="G2519" i="1"/>
  <c r="F2519" i="1"/>
  <c r="E2519" i="1"/>
  <c r="D2519" i="1"/>
  <c r="C2519" i="1"/>
  <c r="I2518" i="1"/>
  <c r="H2518" i="1"/>
  <c r="G2518" i="1"/>
  <c r="F2518" i="1"/>
  <c r="E2518" i="1"/>
  <c r="D2518" i="1"/>
  <c r="C2518" i="1"/>
  <c r="I2517" i="1"/>
  <c r="H2517" i="1"/>
  <c r="G2517" i="1"/>
  <c r="F2517" i="1"/>
  <c r="E2517" i="1"/>
  <c r="D2517" i="1"/>
  <c r="C2517" i="1"/>
  <c r="I2516" i="1"/>
  <c r="H2516" i="1"/>
  <c r="G2516" i="1"/>
  <c r="F2516" i="1"/>
  <c r="E2516" i="1"/>
  <c r="D2516" i="1"/>
  <c r="C2516" i="1"/>
  <c r="I2515" i="1"/>
  <c r="H2515" i="1"/>
  <c r="G2515" i="1"/>
  <c r="F2515" i="1"/>
  <c r="E2515" i="1"/>
  <c r="D2515" i="1"/>
  <c r="C2515" i="1"/>
  <c r="I2514" i="1"/>
  <c r="H2514" i="1"/>
  <c r="G2514" i="1"/>
  <c r="F2514" i="1"/>
  <c r="E2514" i="1"/>
  <c r="D2514" i="1"/>
  <c r="C2514" i="1"/>
  <c r="I2513" i="1"/>
  <c r="H2513" i="1"/>
  <c r="G2513" i="1"/>
  <c r="F2513" i="1"/>
  <c r="E2513" i="1"/>
  <c r="D2513" i="1"/>
  <c r="C2513" i="1"/>
  <c r="I2512" i="1"/>
  <c r="H2512" i="1"/>
  <c r="G2512" i="1"/>
  <c r="F2512" i="1"/>
  <c r="E2512" i="1"/>
  <c r="D2512" i="1"/>
  <c r="C2512" i="1"/>
  <c r="I2511" i="1"/>
  <c r="H2511" i="1"/>
  <c r="G2511" i="1"/>
  <c r="F2511" i="1"/>
  <c r="E2511" i="1"/>
  <c r="D2511" i="1"/>
  <c r="C2511" i="1"/>
  <c r="I2510" i="1"/>
  <c r="H2510" i="1"/>
  <c r="G2510" i="1"/>
  <c r="F2510" i="1"/>
  <c r="E2510" i="1"/>
  <c r="D2510" i="1"/>
  <c r="C2510" i="1"/>
  <c r="I2509" i="1"/>
  <c r="H2509" i="1"/>
  <c r="G2509" i="1"/>
  <c r="F2509" i="1"/>
  <c r="E2509" i="1"/>
  <c r="D2509" i="1"/>
  <c r="C2509" i="1"/>
  <c r="I2508" i="1"/>
  <c r="H2508" i="1"/>
  <c r="G2508" i="1"/>
  <c r="F2508" i="1"/>
  <c r="E2508" i="1"/>
  <c r="D2508" i="1"/>
  <c r="C2508" i="1"/>
  <c r="I2507" i="1"/>
  <c r="H2507" i="1"/>
  <c r="G2507" i="1"/>
  <c r="F2507" i="1"/>
  <c r="E2507" i="1"/>
  <c r="D2507" i="1"/>
  <c r="C2507" i="1"/>
  <c r="I2506" i="1"/>
  <c r="H2506" i="1"/>
  <c r="G2506" i="1"/>
  <c r="F2506" i="1"/>
  <c r="E2506" i="1"/>
  <c r="D2506" i="1"/>
  <c r="C2506" i="1"/>
  <c r="I2505" i="1"/>
  <c r="H2505" i="1"/>
  <c r="G2505" i="1"/>
  <c r="F2505" i="1"/>
  <c r="E2505" i="1"/>
  <c r="D2505" i="1"/>
  <c r="C2505" i="1"/>
  <c r="I2504" i="1"/>
  <c r="H2504" i="1"/>
  <c r="G2504" i="1"/>
  <c r="F2504" i="1"/>
  <c r="E2504" i="1"/>
  <c r="D2504" i="1"/>
  <c r="C2504" i="1"/>
  <c r="I2503" i="1"/>
  <c r="H2503" i="1"/>
  <c r="G2503" i="1"/>
  <c r="F2503" i="1"/>
  <c r="E2503" i="1"/>
  <c r="D2503" i="1"/>
  <c r="C2503" i="1"/>
  <c r="I2502" i="1"/>
  <c r="H2502" i="1"/>
  <c r="G2502" i="1"/>
  <c r="F2502" i="1"/>
  <c r="E2502" i="1"/>
  <c r="D2502" i="1"/>
  <c r="C2502" i="1"/>
  <c r="I2501" i="1"/>
  <c r="H2501" i="1"/>
  <c r="G2501" i="1"/>
  <c r="F2501" i="1"/>
  <c r="E2501" i="1"/>
  <c r="D2501" i="1"/>
  <c r="C2501" i="1"/>
  <c r="I2500" i="1"/>
  <c r="H2500" i="1"/>
  <c r="G2500" i="1"/>
  <c r="F2500" i="1"/>
  <c r="E2500" i="1"/>
  <c r="D2500" i="1"/>
  <c r="C2500" i="1"/>
  <c r="I2499" i="1"/>
  <c r="H2499" i="1"/>
  <c r="G2499" i="1"/>
  <c r="F2499" i="1"/>
  <c r="E2499" i="1"/>
  <c r="D2499" i="1"/>
  <c r="C2499" i="1"/>
  <c r="I2498" i="1"/>
  <c r="H2498" i="1"/>
  <c r="G2498" i="1"/>
  <c r="F2498" i="1"/>
  <c r="E2498" i="1"/>
  <c r="D2498" i="1"/>
  <c r="C2498" i="1"/>
  <c r="I2497" i="1"/>
  <c r="H2497" i="1"/>
  <c r="G2497" i="1"/>
  <c r="F2497" i="1"/>
  <c r="E2497" i="1"/>
  <c r="D2497" i="1"/>
  <c r="C2497" i="1"/>
  <c r="I2496" i="1"/>
  <c r="H2496" i="1"/>
  <c r="G2496" i="1"/>
  <c r="F2496" i="1"/>
  <c r="E2496" i="1"/>
  <c r="D2496" i="1"/>
  <c r="C2496" i="1"/>
  <c r="I2495" i="1"/>
  <c r="H2495" i="1"/>
  <c r="G2495" i="1"/>
  <c r="F2495" i="1"/>
  <c r="E2495" i="1"/>
  <c r="D2495" i="1"/>
  <c r="C2495" i="1"/>
  <c r="I2494" i="1"/>
  <c r="H2494" i="1"/>
  <c r="G2494" i="1"/>
  <c r="F2494" i="1"/>
  <c r="E2494" i="1"/>
  <c r="D2494" i="1"/>
  <c r="C2494" i="1"/>
  <c r="I2493" i="1"/>
  <c r="H2493" i="1"/>
  <c r="G2493" i="1"/>
  <c r="F2493" i="1"/>
  <c r="E2493" i="1"/>
  <c r="D2493" i="1"/>
  <c r="C2493" i="1"/>
  <c r="I2492" i="1"/>
  <c r="H2492" i="1"/>
  <c r="G2492" i="1"/>
  <c r="F2492" i="1"/>
  <c r="E2492" i="1"/>
  <c r="D2492" i="1"/>
  <c r="C2492" i="1"/>
  <c r="I2491" i="1"/>
  <c r="H2491" i="1"/>
  <c r="G2491" i="1"/>
  <c r="F2491" i="1"/>
  <c r="E2491" i="1"/>
  <c r="D2491" i="1"/>
  <c r="C2491" i="1"/>
  <c r="I2490" i="1"/>
  <c r="H2490" i="1"/>
  <c r="G2490" i="1"/>
  <c r="F2490" i="1"/>
  <c r="E2490" i="1"/>
  <c r="D2490" i="1"/>
  <c r="C2490" i="1"/>
  <c r="I2489" i="1"/>
  <c r="H2489" i="1"/>
  <c r="G2489" i="1"/>
  <c r="F2489" i="1"/>
  <c r="E2489" i="1"/>
  <c r="D2489" i="1"/>
  <c r="C2489" i="1"/>
  <c r="I2488" i="1"/>
  <c r="H2488" i="1"/>
  <c r="G2488" i="1"/>
  <c r="F2488" i="1"/>
  <c r="E2488" i="1"/>
  <c r="D2488" i="1"/>
  <c r="C2488" i="1"/>
  <c r="I2487" i="1"/>
  <c r="H2487" i="1"/>
  <c r="G2487" i="1"/>
  <c r="F2487" i="1"/>
  <c r="E2487" i="1"/>
  <c r="D2487" i="1"/>
  <c r="C2487" i="1"/>
  <c r="I2486" i="1"/>
  <c r="H2486" i="1"/>
  <c r="G2486" i="1"/>
  <c r="F2486" i="1"/>
  <c r="E2486" i="1"/>
  <c r="D2486" i="1"/>
  <c r="C2486" i="1"/>
  <c r="I2485" i="1"/>
  <c r="H2485" i="1"/>
  <c r="G2485" i="1"/>
  <c r="F2485" i="1"/>
  <c r="E2485" i="1"/>
  <c r="D2485" i="1"/>
  <c r="C2485" i="1"/>
  <c r="I2484" i="1"/>
  <c r="H2484" i="1"/>
  <c r="G2484" i="1"/>
  <c r="F2484" i="1"/>
  <c r="E2484" i="1"/>
  <c r="D2484" i="1"/>
  <c r="C2484" i="1"/>
  <c r="I2483" i="1"/>
  <c r="H2483" i="1"/>
  <c r="G2483" i="1"/>
  <c r="F2483" i="1"/>
  <c r="E2483" i="1"/>
  <c r="D2483" i="1"/>
  <c r="C2483" i="1"/>
  <c r="I2482" i="1"/>
  <c r="H2482" i="1"/>
  <c r="G2482" i="1"/>
  <c r="F2482" i="1"/>
  <c r="E2482" i="1"/>
  <c r="D2482" i="1"/>
  <c r="C2482" i="1"/>
  <c r="I2481" i="1"/>
  <c r="H2481" i="1"/>
  <c r="G2481" i="1"/>
  <c r="F2481" i="1"/>
  <c r="E2481" i="1"/>
  <c r="D2481" i="1"/>
  <c r="C2481" i="1"/>
  <c r="I2480" i="1"/>
  <c r="H2480" i="1"/>
  <c r="G2480" i="1"/>
  <c r="F2480" i="1"/>
  <c r="E2480" i="1"/>
  <c r="D2480" i="1"/>
  <c r="C2480" i="1"/>
  <c r="I2479" i="1"/>
  <c r="H2479" i="1"/>
  <c r="G2479" i="1"/>
  <c r="F2479" i="1"/>
  <c r="E2479" i="1"/>
  <c r="D2479" i="1"/>
  <c r="C2479" i="1"/>
  <c r="I2478" i="1"/>
  <c r="H2478" i="1"/>
  <c r="G2478" i="1"/>
  <c r="F2478" i="1"/>
  <c r="E2478" i="1"/>
  <c r="D2478" i="1"/>
  <c r="C2478" i="1"/>
  <c r="I2477" i="1"/>
  <c r="H2477" i="1"/>
  <c r="G2477" i="1"/>
  <c r="F2477" i="1"/>
  <c r="E2477" i="1"/>
  <c r="D2477" i="1"/>
  <c r="C2477" i="1"/>
  <c r="I2476" i="1"/>
  <c r="H2476" i="1"/>
  <c r="G2476" i="1"/>
  <c r="F2476" i="1"/>
  <c r="E2476" i="1"/>
  <c r="D2476" i="1"/>
  <c r="C2476" i="1"/>
  <c r="I2475" i="1"/>
  <c r="H2475" i="1"/>
  <c r="G2475" i="1"/>
  <c r="F2475" i="1"/>
  <c r="E2475" i="1"/>
  <c r="D2475" i="1"/>
  <c r="C2475" i="1"/>
  <c r="I2474" i="1"/>
  <c r="H2474" i="1"/>
  <c r="G2474" i="1"/>
  <c r="F2474" i="1"/>
  <c r="E2474" i="1"/>
  <c r="D2474" i="1"/>
  <c r="C2474" i="1"/>
  <c r="I2473" i="1"/>
  <c r="H2473" i="1"/>
  <c r="G2473" i="1"/>
  <c r="F2473" i="1"/>
  <c r="E2473" i="1"/>
  <c r="D2473" i="1"/>
  <c r="C2473" i="1"/>
  <c r="I2472" i="1"/>
  <c r="H2472" i="1"/>
  <c r="G2472" i="1"/>
  <c r="F2472" i="1"/>
  <c r="E2472" i="1"/>
  <c r="D2472" i="1"/>
  <c r="C2472" i="1"/>
  <c r="I2471" i="1"/>
  <c r="H2471" i="1"/>
  <c r="G2471" i="1"/>
  <c r="F2471" i="1"/>
  <c r="E2471" i="1"/>
  <c r="D2471" i="1"/>
  <c r="C2471" i="1"/>
  <c r="I2470" i="1"/>
  <c r="H2470" i="1"/>
  <c r="G2470" i="1"/>
  <c r="F2470" i="1"/>
  <c r="E2470" i="1"/>
  <c r="D2470" i="1"/>
  <c r="C2470" i="1"/>
  <c r="I2469" i="1"/>
  <c r="H2469" i="1"/>
  <c r="G2469" i="1"/>
  <c r="F2469" i="1"/>
  <c r="E2469" i="1"/>
  <c r="D2469" i="1"/>
  <c r="C2469" i="1"/>
  <c r="I2468" i="1"/>
  <c r="H2468" i="1"/>
  <c r="G2468" i="1"/>
  <c r="F2468" i="1"/>
  <c r="E2468" i="1"/>
  <c r="D2468" i="1"/>
  <c r="C2468" i="1"/>
  <c r="I2467" i="1"/>
  <c r="H2467" i="1"/>
  <c r="G2467" i="1"/>
  <c r="F2467" i="1"/>
  <c r="E2467" i="1"/>
  <c r="D2467" i="1"/>
  <c r="C2467" i="1"/>
  <c r="I2466" i="1"/>
  <c r="H2466" i="1"/>
  <c r="G2466" i="1"/>
  <c r="F2466" i="1"/>
  <c r="E2466" i="1"/>
  <c r="D2466" i="1"/>
  <c r="C2466" i="1"/>
  <c r="I2465" i="1"/>
  <c r="H2465" i="1"/>
  <c r="G2465" i="1"/>
  <c r="F2465" i="1"/>
  <c r="E2465" i="1"/>
  <c r="D2465" i="1"/>
  <c r="C2465" i="1"/>
  <c r="I2464" i="1"/>
  <c r="H2464" i="1"/>
  <c r="G2464" i="1"/>
  <c r="F2464" i="1"/>
  <c r="E2464" i="1"/>
  <c r="D2464" i="1"/>
  <c r="C2464" i="1"/>
  <c r="I2463" i="1"/>
  <c r="H2463" i="1"/>
  <c r="G2463" i="1"/>
  <c r="F2463" i="1"/>
  <c r="E2463" i="1"/>
  <c r="D2463" i="1"/>
  <c r="C2463" i="1"/>
  <c r="I2462" i="1"/>
  <c r="H2462" i="1"/>
  <c r="G2462" i="1"/>
  <c r="F2462" i="1"/>
  <c r="E2462" i="1"/>
  <c r="D2462" i="1"/>
  <c r="C2462" i="1"/>
  <c r="I2461" i="1"/>
  <c r="H2461" i="1"/>
  <c r="G2461" i="1"/>
  <c r="F2461" i="1"/>
  <c r="E2461" i="1"/>
  <c r="D2461" i="1"/>
  <c r="C2461" i="1"/>
  <c r="I2460" i="1"/>
  <c r="H2460" i="1"/>
  <c r="G2460" i="1"/>
  <c r="F2460" i="1"/>
  <c r="E2460" i="1"/>
  <c r="D2460" i="1"/>
  <c r="C2460" i="1"/>
  <c r="I2459" i="1"/>
  <c r="H2459" i="1"/>
  <c r="G2459" i="1"/>
  <c r="F2459" i="1"/>
  <c r="E2459" i="1"/>
  <c r="D2459" i="1"/>
  <c r="C2459" i="1"/>
  <c r="I2458" i="1"/>
  <c r="H2458" i="1"/>
  <c r="G2458" i="1"/>
  <c r="F2458" i="1"/>
  <c r="E2458" i="1"/>
  <c r="D2458" i="1"/>
  <c r="C2458" i="1"/>
  <c r="I2457" i="1"/>
  <c r="H2457" i="1"/>
  <c r="G2457" i="1"/>
  <c r="F2457" i="1"/>
  <c r="E2457" i="1"/>
  <c r="D2457" i="1"/>
  <c r="C2457" i="1"/>
  <c r="I2456" i="1"/>
  <c r="H2456" i="1"/>
  <c r="G2456" i="1"/>
  <c r="F2456" i="1"/>
  <c r="E2456" i="1"/>
  <c r="D2456" i="1"/>
  <c r="C2456" i="1"/>
  <c r="I2455" i="1"/>
  <c r="H2455" i="1"/>
  <c r="G2455" i="1"/>
  <c r="F2455" i="1"/>
  <c r="E2455" i="1"/>
  <c r="D2455" i="1"/>
  <c r="C2455" i="1"/>
  <c r="I2454" i="1"/>
  <c r="H2454" i="1"/>
  <c r="G2454" i="1"/>
  <c r="F2454" i="1"/>
  <c r="E2454" i="1"/>
  <c r="D2454" i="1"/>
  <c r="C2454" i="1"/>
  <c r="I2453" i="1"/>
  <c r="H2453" i="1"/>
  <c r="G2453" i="1"/>
  <c r="F2453" i="1"/>
  <c r="E2453" i="1"/>
  <c r="D2453" i="1"/>
  <c r="C2453" i="1"/>
  <c r="I2452" i="1"/>
  <c r="H2452" i="1"/>
  <c r="G2452" i="1"/>
  <c r="F2452" i="1"/>
  <c r="E2452" i="1"/>
  <c r="D2452" i="1"/>
  <c r="C2452" i="1"/>
  <c r="I2451" i="1"/>
  <c r="H2451" i="1"/>
  <c r="G2451" i="1"/>
  <c r="F2451" i="1"/>
  <c r="E2451" i="1"/>
  <c r="D2451" i="1"/>
  <c r="C2451" i="1"/>
  <c r="I2450" i="1"/>
  <c r="H2450" i="1"/>
  <c r="G2450" i="1"/>
  <c r="F2450" i="1"/>
  <c r="E2450" i="1"/>
  <c r="D2450" i="1"/>
  <c r="C2450" i="1"/>
  <c r="I2449" i="1"/>
  <c r="H2449" i="1"/>
  <c r="G2449" i="1"/>
  <c r="F2449" i="1"/>
  <c r="E2449" i="1"/>
  <c r="D2449" i="1"/>
  <c r="C2449" i="1"/>
  <c r="I2448" i="1"/>
  <c r="H2448" i="1"/>
  <c r="G2448" i="1"/>
  <c r="F2448" i="1"/>
  <c r="E2448" i="1"/>
  <c r="D2448" i="1"/>
  <c r="C2448" i="1"/>
  <c r="I2447" i="1"/>
  <c r="H2447" i="1"/>
  <c r="G2447" i="1"/>
  <c r="F2447" i="1"/>
  <c r="E2447" i="1"/>
  <c r="D2447" i="1"/>
  <c r="C2447" i="1"/>
  <c r="I2446" i="1"/>
  <c r="H2446" i="1"/>
  <c r="G2446" i="1"/>
  <c r="F2446" i="1"/>
  <c r="E2446" i="1"/>
  <c r="D2446" i="1"/>
  <c r="C2446" i="1"/>
  <c r="I2445" i="1"/>
  <c r="H2445" i="1"/>
  <c r="G2445" i="1"/>
  <c r="F2445" i="1"/>
  <c r="E2445" i="1"/>
  <c r="D2445" i="1"/>
  <c r="C2445" i="1"/>
  <c r="I2444" i="1"/>
  <c r="H2444" i="1"/>
  <c r="G2444" i="1"/>
  <c r="F2444" i="1"/>
  <c r="E2444" i="1"/>
  <c r="D2444" i="1"/>
  <c r="C2444" i="1"/>
  <c r="I2443" i="1"/>
  <c r="H2443" i="1"/>
  <c r="G2443" i="1"/>
  <c r="F2443" i="1"/>
  <c r="E2443" i="1"/>
  <c r="D2443" i="1"/>
  <c r="C2443" i="1"/>
  <c r="I2442" i="1"/>
  <c r="H2442" i="1"/>
  <c r="G2442" i="1"/>
  <c r="F2442" i="1"/>
  <c r="E2442" i="1"/>
  <c r="D2442" i="1"/>
  <c r="C2442" i="1"/>
  <c r="I2441" i="1"/>
  <c r="H2441" i="1"/>
  <c r="G2441" i="1"/>
  <c r="F2441" i="1"/>
  <c r="E2441" i="1"/>
  <c r="D2441" i="1"/>
  <c r="C2441" i="1"/>
  <c r="I2440" i="1"/>
  <c r="H2440" i="1"/>
  <c r="G2440" i="1"/>
  <c r="F2440" i="1"/>
  <c r="E2440" i="1"/>
  <c r="D2440" i="1"/>
  <c r="C2440" i="1"/>
  <c r="I2439" i="1"/>
  <c r="H2439" i="1"/>
  <c r="G2439" i="1"/>
  <c r="F2439" i="1"/>
  <c r="E2439" i="1"/>
  <c r="D2439" i="1"/>
  <c r="C2439" i="1"/>
  <c r="I2438" i="1"/>
  <c r="H2438" i="1"/>
  <c r="G2438" i="1"/>
  <c r="F2438" i="1"/>
  <c r="E2438" i="1"/>
  <c r="D2438" i="1"/>
  <c r="C2438" i="1"/>
  <c r="I2437" i="1"/>
  <c r="H2437" i="1"/>
  <c r="G2437" i="1"/>
  <c r="F2437" i="1"/>
  <c r="E2437" i="1"/>
  <c r="D2437" i="1"/>
  <c r="C2437" i="1"/>
  <c r="I2436" i="1"/>
  <c r="H2436" i="1"/>
  <c r="G2436" i="1"/>
  <c r="F2436" i="1"/>
  <c r="E2436" i="1"/>
  <c r="D2436" i="1"/>
  <c r="C2436" i="1"/>
  <c r="I2435" i="1"/>
  <c r="H2435" i="1"/>
  <c r="G2435" i="1"/>
  <c r="F2435" i="1"/>
  <c r="E2435" i="1"/>
  <c r="D2435" i="1"/>
  <c r="C2435" i="1"/>
  <c r="I2434" i="1"/>
  <c r="H2434" i="1"/>
  <c r="G2434" i="1"/>
  <c r="F2434" i="1"/>
  <c r="E2434" i="1"/>
  <c r="D2434" i="1"/>
  <c r="C2434" i="1"/>
  <c r="I2433" i="1"/>
  <c r="H2433" i="1"/>
  <c r="G2433" i="1"/>
  <c r="F2433" i="1"/>
  <c r="E2433" i="1"/>
  <c r="D2433" i="1"/>
  <c r="C2433" i="1"/>
  <c r="I2432" i="1"/>
  <c r="H2432" i="1"/>
  <c r="G2432" i="1"/>
  <c r="F2432" i="1"/>
  <c r="E2432" i="1"/>
  <c r="D2432" i="1"/>
  <c r="C2432" i="1"/>
  <c r="I2431" i="1"/>
  <c r="H2431" i="1"/>
  <c r="G2431" i="1"/>
  <c r="F2431" i="1"/>
  <c r="E2431" i="1"/>
  <c r="D2431" i="1"/>
  <c r="C2431" i="1"/>
  <c r="I2430" i="1"/>
  <c r="H2430" i="1"/>
  <c r="G2430" i="1"/>
  <c r="F2430" i="1"/>
  <c r="E2430" i="1"/>
  <c r="D2430" i="1"/>
  <c r="C2430" i="1"/>
  <c r="I2429" i="1"/>
  <c r="H2429" i="1"/>
  <c r="G2429" i="1"/>
  <c r="F2429" i="1"/>
  <c r="E2429" i="1"/>
  <c r="D2429" i="1"/>
  <c r="C2429" i="1"/>
  <c r="I2428" i="1"/>
  <c r="H2428" i="1"/>
  <c r="G2428" i="1"/>
  <c r="F2428" i="1"/>
  <c r="E2428" i="1"/>
  <c r="D2428" i="1"/>
  <c r="C2428" i="1"/>
  <c r="I2427" i="1"/>
  <c r="H2427" i="1"/>
  <c r="G2427" i="1"/>
  <c r="F2427" i="1"/>
  <c r="E2427" i="1"/>
  <c r="D2427" i="1"/>
  <c r="C2427" i="1"/>
  <c r="I2426" i="1"/>
  <c r="H2426" i="1"/>
  <c r="G2426" i="1"/>
  <c r="F2426" i="1"/>
  <c r="E2426" i="1"/>
  <c r="D2426" i="1"/>
  <c r="C2426" i="1"/>
  <c r="I2425" i="1"/>
  <c r="H2425" i="1"/>
  <c r="G2425" i="1"/>
  <c r="F2425" i="1"/>
  <c r="E2425" i="1"/>
  <c r="D2425" i="1"/>
  <c r="C2425" i="1"/>
  <c r="I2424" i="1"/>
  <c r="H2424" i="1"/>
  <c r="G2424" i="1"/>
  <c r="F2424" i="1"/>
  <c r="E2424" i="1"/>
  <c r="D2424" i="1"/>
  <c r="C2424" i="1"/>
  <c r="I2423" i="1"/>
  <c r="H2423" i="1"/>
  <c r="G2423" i="1"/>
  <c r="F2423" i="1"/>
  <c r="E2423" i="1"/>
  <c r="D2423" i="1"/>
  <c r="C2423" i="1"/>
  <c r="I2422" i="1"/>
  <c r="H2422" i="1"/>
  <c r="G2422" i="1"/>
  <c r="F2422" i="1"/>
  <c r="E2422" i="1"/>
  <c r="D2422" i="1"/>
  <c r="C2422" i="1"/>
  <c r="I2421" i="1"/>
  <c r="H2421" i="1"/>
  <c r="G2421" i="1"/>
  <c r="F2421" i="1"/>
  <c r="E2421" i="1"/>
  <c r="D2421" i="1"/>
  <c r="C2421" i="1"/>
  <c r="I2420" i="1"/>
  <c r="H2420" i="1"/>
  <c r="G2420" i="1"/>
  <c r="F2420" i="1"/>
  <c r="E2420" i="1"/>
  <c r="D2420" i="1"/>
  <c r="C2420" i="1"/>
  <c r="I2419" i="1"/>
  <c r="H2419" i="1"/>
  <c r="G2419" i="1"/>
  <c r="F2419" i="1"/>
  <c r="E2419" i="1"/>
  <c r="D2419" i="1"/>
  <c r="C2419" i="1"/>
  <c r="I2418" i="1"/>
  <c r="H2418" i="1"/>
  <c r="G2418" i="1"/>
  <c r="F2418" i="1"/>
  <c r="E2418" i="1"/>
  <c r="D2418" i="1"/>
  <c r="C2418" i="1"/>
  <c r="I2417" i="1"/>
  <c r="H2417" i="1"/>
  <c r="G2417" i="1"/>
  <c r="F2417" i="1"/>
  <c r="E2417" i="1"/>
  <c r="D2417" i="1"/>
  <c r="C2417" i="1"/>
  <c r="I2416" i="1"/>
  <c r="H2416" i="1"/>
  <c r="G2416" i="1"/>
  <c r="F2416" i="1"/>
  <c r="E2416" i="1"/>
  <c r="D2416" i="1"/>
  <c r="C2416" i="1"/>
  <c r="I2415" i="1"/>
  <c r="H2415" i="1"/>
  <c r="G2415" i="1"/>
  <c r="F2415" i="1"/>
  <c r="E2415" i="1"/>
  <c r="D2415" i="1"/>
  <c r="C2415" i="1"/>
  <c r="I2414" i="1"/>
  <c r="H2414" i="1"/>
  <c r="G2414" i="1"/>
  <c r="F2414" i="1"/>
  <c r="E2414" i="1"/>
  <c r="D2414" i="1"/>
  <c r="C2414" i="1"/>
  <c r="I2413" i="1"/>
  <c r="H2413" i="1"/>
  <c r="G2413" i="1"/>
  <c r="F2413" i="1"/>
  <c r="E2413" i="1"/>
  <c r="D2413" i="1"/>
  <c r="C2413" i="1"/>
  <c r="I2412" i="1"/>
  <c r="H2412" i="1"/>
  <c r="G2412" i="1"/>
  <c r="F2412" i="1"/>
  <c r="E2412" i="1"/>
  <c r="D2412" i="1"/>
  <c r="C2412" i="1"/>
  <c r="I2411" i="1"/>
  <c r="H2411" i="1"/>
  <c r="G2411" i="1"/>
  <c r="F2411" i="1"/>
  <c r="E2411" i="1"/>
  <c r="D2411" i="1"/>
  <c r="C2411" i="1"/>
  <c r="I2410" i="1"/>
  <c r="H2410" i="1"/>
  <c r="G2410" i="1"/>
  <c r="F2410" i="1"/>
  <c r="E2410" i="1"/>
  <c r="D2410" i="1"/>
  <c r="C2410" i="1"/>
  <c r="I2409" i="1"/>
  <c r="H2409" i="1"/>
  <c r="G2409" i="1"/>
  <c r="F2409" i="1"/>
  <c r="E2409" i="1"/>
  <c r="D2409" i="1"/>
  <c r="C2409" i="1"/>
  <c r="I2408" i="1"/>
  <c r="H2408" i="1"/>
  <c r="G2408" i="1"/>
  <c r="F2408" i="1"/>
  <c r="E2408" i="1"/>
  <c r="D2408" i="1"/>
  <c r="C2408" i="1"/>
  <c r="I2407" i="1"/>
  <c r="H2407" i="1"/>
  <c r="G2407" i="1"/>
  <c r="F2407" i="1"/>
  <c r="E2407" i="1"/>
  <c r="D2407" i="1"/>
  <c r="C2407" i="1"/>
  <c r="I2406" i="1"/>
  <c r="H2406" i="1"/>
  <c r="G2406" i="1"/>
  <c r="F2406" i="1"/>
  <c r="E2406" i="1"/>
  <c r="D2406" i="1"/>
  <c r="C2406" i="1"/>
  <c r="I2405" i="1"/>
  <c r="H2405" i="1"/>
  <c r="G2405" i="1"/>
  <c r="F2405" i="1"/>
  <c r="E2405" i="1"/>
  <c r="D2405" i="1"/>
  <c r="C2405" i="1"/>
  <c r="I2404" i="1"/>
  <c r="H2404" i="1"/>
  <c r="G2404" i="1"/>
  <c r="F2404" i="1"/>
  <c r="E2404" i="1"/>
  <c r="D2404" i="1"/>
  <c r="C2404" i="1"/>
  <c r="I2403" i="1"/>
  <c r="H2403" i="1"/>
  <c r="G2403" i="1"/>
  <c r="F2403" i="1"/>
  <c r="E2403" i="1"/>
  <c r="D2403" i="1"/>
  <c r="C2403" i="1"/>
  <c r="I2402" i="1"/>
  <c r="H2402" i="1"/>
  <c r="G2402" i="1"/>
  <c r="F2402" i="1"/>
  <c r="E2402" i="1"/>
  <c r="D2402" i="1"/>
  <c r="C2402" i="1"/>
  <c r="I2401" i="1"/>
  <c r="H2401" i="1"/>
  <c r="G2401" i="1"/>
  <c r="F2401" i="1"/>
  <c r="E2401" i="1"/>
  <c r="D2401" i="1"/>
  <c r="C2401" i="1"/>
  <c r="I2400" i="1"/>
  <c r="H2400" i="1"/>
  <c r="G2400" i="1"/>
  <c r="F2400" i="1"/>
  <c r="E2400" i="1"/>
  <c r="D2400" i="1"/>
  <c r="C2400" i="1"/>
  <c r="I2399" i="1"/>
  <c r="H2399" i="1"/>
  <c r="G2399" i="1"/>
  <c r="F2399" i="1"/>
  <c r="E2399" i="1"/>
  <c r="D2399" i="1"/>
  <c r="C2399" i="1"/>
  <c r="I2398" i="1"/>
  <c r="H2398" i="1"/>
  <c r="G2398" i="1"/>
  <c r="F2398" i="1"/>
  <c r="E2398" i="1"/>
  <c r="D2398" i="1"/>
  <c r="C2398" i="1"/>
  <c r="I2397" i="1"/>
  <c r="H2397" i="1"/>
  <c r="G2397" i="1"/>
  <c r="F2397" i="1"/>
  <c r="E2397" i="1"/>
  <c r="D2397" i="1"/>
  <c r="C2397" i="1"/>
  <c r="I2396" i="1"/>
  <c r="H2396" i="1"/>
  <c r="G2396" i="1"/>
  <c r="F2396" i="1"/>
  <c r="E2396" i="1"/>
  <c r="D2396" i="1"/>
  <c r="C2396" i="1"/>
  <c r="I2395" i="1"/>
  <c r="H2395" i="1"/>
  <c r="G2395" i="1"/>
  <c r="F2395" i="1"/>
  <c r="E2395" i="1"/>
  <c r="D2395" i="1"/>
  <c r="C2395" i="1"/>
  <c r="I2394" i="1"/>
  <c r="H2394" i="1"/>
  <c r="G2394" i="1"/>
  <c r="F2394" i="1"/>
  <c r="E2394" i="1"/>
  <c r="D2394" i="1"/>
  <c r="C2394" i="1"/>
  <c r="I2393" i="1"/>
  <c r="H2393" i="1"/>
  <c r="G2393" i="1"/>
  <c r="F2393" i="1"/>
  <c r="E2393" i="1"/>
  <c r="D2393" i="1"/>
  <c r="C2393" i="1"/>
  <c r="I2392" i="1"/>
  <c r="H2392" i="1"/>
  <c r="G2392" i="1"/>
  <c r="F2392" i="1"/>
  <c r="E2392" i="1"/>
  <c r="D2392" i="1"/>
  <c r="C2392" i="1"/>
  <c r="I2391" i="1"/>
  <c r="H2391" i="1"/>
  <c r="G2391" i="1"/>
  <c r="F2391" i="1"/>
  <c r="E2391" i="1"/>
  <c r="D2391" i="1"/>
  <c r="C2391" i="1"/>
  <c r="I2390" i="1"/>
  <c r="H2390" i="1"/>
  <c r="G2390" i="1"/>
  <c r="F2390" i="1"/>
  <c r="E2390" i="1"/>
  <c r="D2390" i="1"/>
  <c r="C2390" i="1"/>
  <c r="I2389" i="1"/>
  <c r="H2389" i="1"/>
  <c r="G2389" i="1"/>
  <c r="F2389" i="1"/>
  <c r="E2389" i="1"/>
  <c r="D2389" i="1"/>
  <c r="C2389" i="1"/>
  <c r="I2388" i="1"/>
  <c r="H2388" i="1"/>
  <c r="G2388" i="1"/>
  <c r="F2388" i="1"/>
  <c r="E2388" i="1"/>
  <c r="D2388" i="1"/>
  <c r="C2388" i="1"/>
  <c r="I2387" i="1"/>
  <c r="H2387" i="1"/>
  <c r="G2387" i="1"/>
  <c r="F2387" i="1"/>
  <c r="E2387" i="1"/>
  <c r="D2387" i="1"/>
  <c r="C2387" i="1"/>
  <c r="I2386" i="1"/>
  <c r="H2386" i="1"/>
  <c r="G2386" i="1"/>
  <c r="F2386" i="1"/>
  <c r="E2386" i="1"/>
  <c r="D2386" i="1"/>
  <c r="C2386" i="1"/>
  <c r="I2385" i="1"/>
  <c r="H2385" i="1"/>
  <c r="G2385" i="1"/>
  <c r="F2385" i="1"/>
  <c r="E2385" i="1"/>
  <c r="D2385" i="1"/>
  <c r="C2385" i="1"/>
  <c r="I2384" i="1"/>
  <c r="H2384" i="1"/>
  <c r="G2384" i="1"/>
  <c r="F2384" i="1"/>
  <c r="E2384" i="1"/>
  <c r="D2384" i="1"/>
  <c r="C2384" i="1"/>
  <c r="I2383" i="1"/>
  <c r="H2383" i="1"/>
  <c r="G2383" i="1"/>
  <c r="F2383" i="1"/>
  <c r="E2383" i="1"/>
  <c r="D2383" i="1"/>
  <c r="C2383" i="1"/>
  <c r="I2382" i="1"/>
  <c r="H2382" i="1"/>
  <c r="G2382" i="1"/>
  <c r="F2382" i="1"/>
  <c r="E2382" i="1"/>
  <c r="D2382" i="1"/>
  <c r="C2382" i="1"/>
  <c r="I2381" i="1"/>
  <c r="H2381" i="1"/>
  <c r="G2381" i="1"/>
  <c r="F2381" i="1"/>
  <c r="E2381" i="1"/>
  <c r="D2381" i="1"/>
  <c r="C2381" i="1"/>
  <c r="I2380" i="1"/>
  <c r="H2380" i="1"/>
  <c r="G2380" i="1"/>
  <c r="F2380" i="1"/>
  <c r="E2380" i="1"/>
  <c r="D2380" i="1"/>
  <c r="C2380" i="1"/>
  <c r="I2379" i="1"/>
  <c r="H2379" i="1"/>
  <c r="G2379" i="1"/>
  <c r="F2379" i="1"/>
  <c r="E2379" i="1"/>
  <c r="D2379" i="1"/>
  <c r="C2379" i="1"/>
  <c r="I2378" i="1"/>
  <c r="H2378" i="1"/>
  <c r="G2378" i="1"/>
  <c r="F2378" i="1"/>
  <c r="E2378" i="1"/>
  <c r="D2378" i="1"/>
  <c r="C2378" i="1"/>
  <c r="I2377" i="1"/>
  <c r="H2377" i="1"/>
  <c r="G2377" i="1"/>
  <c r="F2377" i="1"/>
  <c r="E2377" i="1"/>
  <c r="D2377" i="1"/>
  <c r="C2377" i="1"/>
  <c r="I2376" i="1"/>
  <c r="H2376" i="1"/>
  <c r="G2376" i="1"/>
  <c r="F2376" i="1"/>
  <c r="E2376" i="1"/>
  <c r="D2376" i="1"/>
  <c r="C2376" i="1"/>
  <c r="I2375" i="1"/>
  <c r="H2375" i="1"/>
  <c r="G2375" i="1"/>
  <c r="F2375" i="1"/>
  <c r="E2375" i="1"/>
  <c r="D2375" i="1"/>
  <c r="C2375" i="1"/>
  <c r="I2374" i="1"/>
  <c r="H2374" i="1"/>
  <c r="G2374" i="1"/>
  <c r="F2374" i="1"/>
  <c r="E2374" i="1"/>
  <c r="D2374" i="1"/>
  <c r="C2374" i="1"/>
  <c r="I2373" i="1"/>
  <c r="H2373" i="1"/>
  <c r="G2373" i="1"/>
  <c r="F2373" i="1"/>
  <c r="E2373" i="1"/>
  <c r="D2373" i="1"/>
  <c r="C2373" i="1"/>
  <c r="I2372" i="1"/>
  <c r="H2372" i="1"/>
  <c r="G2372" i="1"/>
  <c r="F2372" i="1"/>
  <c r="E2372" i="1"/>
  <c r="D2372" i="1"/>
  <c r="C2372" i="1"/>
  <c r="I2371" i="1"/>
  <c r="H2371" i="1"/>
  <c r="G2371" i="1"/>
  <c r="F2371" i="1"/>
  <c r="E2371" i="1"/>
  <c r="D2371" i="1"/>
  <c r="C2371" i="1"/>
  <c r="I2370" i="1"/>
  <c r="H2370" i="1"/>
  <c r="G2370" i="1"/>
  <c r="F2370" i="1"/>
  <c r="E2370" i="1"/>
  <c r="D2370" i="1"/>
  <c r="C2370" i="1"/>
  <c r="I2369" i="1"/>
  <c r="H2369" i="1"/>
  <c r="G2369" i="1"/>
  <c r="F2369" i="1"/>
  <c r="E2369" i="1"/>
  <c r="D2369" i="1"/>
  <c r="C2369" i="1"/>
  <c r="I2368" i="1"/>
  <c r="H2368" i="1"/>
  <c r="G2368" i="1"/>
  <c r="F2368" i="1"/>
  <c r="E2368" i="1"/>
  <c r="D2368" i="1"/>
  <c r="C2368" i="1"/>
  <c r="I2367" i="1"/>
  <c r="H2367" i="1"/>
  <c r="G2367" i="1"/>
  <c r="F2367" i="1"/>
  <c r="E2367" i="1"/>
  <c r="D2367" i="1"/>
  <c r="C2367" i="1"/>
  <c r="I2366" i="1"/>
  <c r="H2366" i="1"/>
  <c r="G2366" i="1"/>
  <c r="F2366" i="1"/>
  <c r="E2366" i="1"/>
  <c r="D2366" i="1"/>
  <c r="C2366" i="1"/>
  <c r="I2365" i="1"/>
  <c r="H2365" i="1"/>
  <c r="G2365" i="1"/>
  <c r="F2365" i="1"/>
  <c r="E2365" i="1"/>
  <c r="D2365" i="1"/>
  <c r="C2365" i="1"/>
  <c r="I2364" i="1"/>
  <c r="H2364" i="1"/>
  <c r="G2364" i="1"/>
  <c r="F2364" i="1"/>
  <c r="E2364" i="1"/>
  <c r="D2364" i="1"/>
  <c r="C2364" i="1"/>
  <c r="I2363" i="1"/>
  <c r="H2363" i="1"/>
  <c r="G2363" i="1"/>
  <c r="F2363" i="1"/>
  <c r="E2363" i="1"/>
  <c r="D2363" i="1"/>
  <c r="C2363" i="1"/>
  <c r="I2362" i="1"/>
  <c r="H2362" i="1"/>
  <c r="G2362" i="1"/>
  <c r="F2362" i="1"/>
  <c r="E2362" i="1"/>
  <c r="D2362" i="1"/>
  <c r="C2362" i="1"/>
  <c r="I2361" i="1"/>
  <c r="H2361" i="1"/>
  <c r="G2361" i="1"/>
  <c r="F2361" i="1"/>
  <c r="E2361" i="1"/>
  <c r="D2361" i="1"/>
  <c r="C2361" i="1"/>
  <c r="I2360" i="1"/>
  <c r="H2360" i="1"/>
  <c r="G2360" i="1"/>
  <c r="F2360" i="1"/>
  <c r="E2360" i="1"/>
  <c r="D2360" i="1"/>
  <c r="C2360" i="1"/>
  <c r="I2359" i="1"/>
  <c r="H2359" i="1"/>
  <c r="G2359" i="1"/>
  <c r="F2359" i="1"/>
  <c r="E2359" i="1"/>
  <c r="D2359" i="1"/>
  <c r="C2359" i="1"/>
  <c r="I2358" i="1"/>
  <c r="H2358" i="1"/>
  <c r="G2358" i="1"/>
  <c r="F2358" i="1"/>
  <c r="E2358" i="1"/>
  <c r="D2358" i="1"/>
  <c r="C2358" i="1"/>
  <c r="I2357" i="1"/>
  <c r="H2357" i="1"/>
  <c r="G2357" i="1"/>
  <c r="F2357" i="1"/>
  <c r="E2357" i="1"/>
  <c r="D2357" i="1"/>
  <c r="C2357" i="1"/>
  <c r="I2356" i="1"/>
  <c r="H2356" i="1"/>
  <c r="G2356" i="1"/>
  <c r="F2356" i="1"/>
  <c r="E2356" i="1"/>
  <c r="D2356" i="1"/>
  <c r="C2356" i="1"/>
  <c r="I2355" i="1"/>
  <c r="H2355" i="1"/>
  <c r="G2355" i="1"/>
  <c r="F2355" i="1"/>
  <c r="E2355" i="1"/>
  <c r="D2355" i="1"/>
  <c r="C2355" i="1"/>
  <c r="I2354" i="1"/>
  <c r="H2354" i="1"/>
  <c r="G2354" i="1"/>
  <c r="F2354" i="1"/>
  <c r="E2354" i="1"/>
  <c r="D2354" i="1"/>
  <c r="C2354" i="1"/>
  <c r="I2353" i="1"/>
  <c r="H2353" i="1"/>
  <c r="G2353" i="1"/>
  <c r="F2353" i="1"/>
  <c r="E2353" i="1"/>
  <c r="D2353" i="1"/>
  <c r="C2353" i="1"/>
  <c r="I2352" i="1"/>
  <c r="H2352" i="1"/>
  <c r="G2352" i="1"/>
  <c r="F2352" i="1"/>
  <c r="E2352" i="1"/>
  <c r="D2352" i="1"/>
  <c r="C2352" i="1"/>
  <c r="I2351" i="1"/>
  <c r="H2351" i="1"/>
  <c r="G2351" i="1"/>
  <c r="F2351" i="1"/>
  <c r="E2351" i="1"/>
  <c r="D2351" i="1"/>
  <c r="C2351" i="1"/>
  <c r="I2350" i="1"/>
  <c r="H2350" i="1"/>
  <c r="G2350" i="1"/>
  <c r="F2350" i="1"/>
  <c r="E2350" i="1"/>
  <c r="D2350" i="1"/>
  <c r="C2350" i="1"/>
  <c r="I2349" i="1"/>
  <c r="H2349" i="1"/>
  <c r="G2349" i="1"/>
  <c r="F2349" i="1"/>
  <c r="E2349" i="1"/>
  <c r="D2349" i="1"/>
  <c r="C2349" i="1"/>
  <c r="I2348" i="1"/>
  <c r="H2348" i="1"/>
  <c r="G2348" i="1"/>
  <c r="F2348" i="1"/>
  <c r="E2348" i="1"/>
  <c r="D2348" i="1"/>
  <c r="C2348" i="1"/>
  <c r="I2347" i="1"/>
  <c r="H2347" i="1"/>
  <c r="G2347" i="1"/>
  <c r="F2347" i="1"/>
  <c r="E2347" i="1"/>
  <c r="D2347" i="1"/>
  <c r="C2347" i="1"/>
  <c r="I2346" i="1"/>
  <c r="H2346" i="1"/>
  <c r="G2346" i="1"/>
  <c r="F2346" i="1"/>
  <c r="E2346" i="1"/>
  <c r="D2346" i="1"/>
  <c r="C2346" i="1"/>
  <c r="I2345" i="1"/>
  <c r="H2345" i="1"/>
  <c r="G2345" i="1"/>
  <c r="F2345" i="1"/>
  <c r="E2345" i="1"/>
  <c r="D2345" i="1"/>
  <c r="C2345" i="1"/>
  <c r="I2344" i="1"/>
  <c r="H2344" i="1"/>
  <c r="G2344" i="1"/>
  <c r="F2344" i="1"/>
  <c r="E2344" i="1"/>
  <c r="D2344" i="1"/>
  <c r="C2344" i="1"/>
  <c r="I2343" i="1"/>
  <c r="H2343" i="1"/>
  <c r="G2343" i="1"/>
  <c r="F2343" i="1"/>
  <c r="E2343" i="1"/>
  <c r="D2343" i="1"/>
  <c r="C2343" i="1"/>
  <c r="I2342" i="1"/>
  <c r="H2342" i="1"/>
  <c r="G2342" i="1"/>
  <c r="F2342" i="1"/>
  <c r="E2342" i="1"/>
  <c r="D2342" i="1"/>
  <c r="C2342" i="1"/>
  <c r="I2341" i="1"/>
  <c r="H2341" i="1"/>
  <c r="G2341" i="1"/>
  <c r="F2341" i="1"/>
  <c r="E2341" i="1"/>
  <c r="D2341" i="1"/>
  <c r="C2341" i="1"/>
  <c r="I2340" i="1"/>
  <c r="H2340" i="1"/>
  <c r="G2340" i="1"/>
  <c r="F2340" i="1"/>
  <c r="E2340" i="1"/>
  <c r="D2340" i="1"/>
  <c r="C2340" i="1"/>
  <c r="I2339" i="1"/>
  <c r="H2339" i="1"/>
  <c r="G2339" i="1"/>
  <c r="F2339" i="1"/>
  <c r="E2339" i="1"/>
  <c r="D2339" i="1"/>
  <c r="C2339" i="1"/>
  <c r="I2338" i="1"/>
  <c r="H2338" i="1"/>
  <c r="G2338" i="1"/>
  <c r="F2338" i="1"/>
  <c r="E2338" i="1"/>
  <c r="D2338" i="1"/>
  <c r="C2338" i="1"/>
  <c r="I2337" i="1"/>
  <c r="H2337" i="1"/>
  <c r="G2337" i="1"/>
  <c r="F2337" i="1"/>
  <c r="E2337" i="1"/>
  <c r="D2337" i="1"/>
  <c r="C2337" i="1"/>
  <c r="I2336" i="1"/>
  <c r="H2336" i="1"/>
  <c r="G2336" i="1"/>
  <c r="F2336" i="1"/>
  <c r="E2336" i="1"/>
  <c r="D2336" i="1"/>
  <c r="C2336" i="1"/>
  <c r="I2335" i="1"/>
  <c r="H2335" i="1"/>
  <c r="G2335" i="1"/>
  <c r="F2335" i="1"/>
  <c r="E2335" i="1"/>
  <c r="D2335" i="1"/>
  <c r="C2335" i="1"/>
  <c r="I2334" i="1"/>
  <c r="H2334" i="1"/>
  <c r="G2334" i="1"/>
  <c r="F2334" i="1"/>
  <c r="E2334" i="1"/>
  <c r="D2334" i="1"/>
  <c r="C2334" i="1"/>
  <c r="I2333" i="1"/>
  <c r="H2333" i="1"/>
  <c r="G2333" i="1"/>
  <c r="F2333" i="1"/>
  <c r="E2333" i="1"/>
  <c r="D2333" i="1"/>
  <c r="C2333" i="1"/>
  <c r="I2332" i="1"/>
  <c r="H2332" i="1"/>
  <c r="G2332" i="1"/>
  <c r="F2332" i="1"/>
  <c r="E2332" i="1"/>
  <c r="D2332" i="1"/>
  <c r="C2332" i="1"/>
  <c r="I2331" i="1"/>
  <c r="H2331" i="1"/>
  <c r="G2331" i="1"/>
  <c r="F2331" i="1"/>
  <c r="E2331" i="1"/>
  <c r="D2331" i="1"/>
  <c r="C2331" i="1"/>
  <c r="I2330" i="1"/>
  <c r="H2330" i="1"/>
  <c r="G2330" i="1"/>
  <c r="F2330" i="1"/>
  <c r="E2330" i="1"/>
  <c r="D2330" i="1"/>
  <c r="C2330" i="1"/>
  <c r="I2329" i="1"/>
  <c r="H2329" i="1"/>
  <c r="G2329" i="1"/>
  <c r="F2329" i="1"/>
  <c r="E2329" i="1"/>
  <c r="D2329" i="1"/>
  <c r="C2329" i="1"/>
  <c r="I2328" i="1"/>
  <c r="H2328" i="1"/>
  <c r="G2328" i="1"/>
  <c r="F2328" i="1"/>
  <c r="E2328" i="1"/>
  <c r="D2328" i="1"/>
  <c r="C2328" i="1"/>
  <c r="I2327" i="1"/>
  <c r="H2327" i="1"/>
  <c r="G2327" i="1"/>
  <c r="F2327" i="1"/>
  <c r="E2327" i="1"/>
  <c r="D2327" i="1"/>
  <c r="C2327" i="1"/>
  <c r="I2326" i="1"/>
  <c r="H2326" i="1"/>
  <c r="G2326" i="1"/>
  <c r="F2326" i="1"/>
  <c r="E2326" i="1"/>
  <c r="D2326" i="1"/>
  <c r="C2326" i="1"/>
  <c r="I2325" i="1"/>
  <c r="H2325" i="1"/>
  <c r="G2325" i="1"/>
  <c r="F2325" i="1"/>
  <c r="E2325" i="1"/>
  <c r="D2325" i="1"/>
  <c r="C2325" i="1"/>
  <c r="I2324" i="1"/>
  <c r="H2324" i="1"/>
  <c r="G2324" i="1"/>
  <c r="F2324" i="1"/>
  <c r="E2324" i="1"/>
  <c r="D2324" i="1"/>
  <c r="C2324" i="1"/>
  <c r="I2323" i="1"/>
  <c r="H2323" i="1"/>
  <c r="G2323" i="1"/>
  <c r="F2323" i="1"/>
  <c r="E2323" i="1"/>
  <c r="D2323" i="1"/>
  <c r="C2323" i="1"/>
  <c r="I2322" i="1"/>
  <c r="H2322" i="1"/>
  <c r="G2322" i="1"/>
  <c r="F2322" i="1"/>
  <c r="E2322" i="1"/>
  <c r="D2322" i="1"/>
  <c r="C2322" i="1"/>
  <c r="I2321" i="1"/>
  <c r="H2321" i="1"/>
  <c r="G2321" i="1"/>
  <c r="F2321" i="1"/>
  <c r="E2321" i="1"/>
  <c r="D2321" i="1"/>
  <c r="C2321" i="1"/>
  <c r="I2320" i="1"/>
  <c r="H2320" i="1"/>
  <c r="G2320" i="1"/>
  <c r="F2320" i="1"/>
  <c r="E2320" i="1"/>
  <c r="D2320" i="1"/>
  <c r="C2320" i="1"/>
  <c r="I2319" i="1"/>
  <c r="H2319" i="1"/>
  <c r="G2319" i="1"/>
  <c r="F2319" i="1"/>
  <c r="E2319" i="1"/>
  <c r="D2319" i="1"/>
  <c r="C2319" i="1"/>
  <c r="I2318" i="1"/>
  <c r="H2318" i="1"/>
  <c r="G2318" i="1"/>
  <c r="F2318" i="1"/>
  <c r="E2318" i="1"/>
  <c r="D2318" i="1"/>
  <c r="C2318" i="1"/>
  <c r="I2317" i="1"/>
  <c r="H2317" i="1"/>
  <c r="G2317" i="1"/>
  <c r="F2317" i="1"/>
  <c r="E2317" i="1"/>
  <c r="D2317" i="1"/>
  <c r="C2317" i="1"/>
  <c r="I2316" i="1"/>
  <c r="H2316" i="1"/>
  <c r="G2316" i="1"/>
  <c r="F2316" i="1"/>
  <c r="E2316" i="1"/>
  <c r="D2316" i="1"/>
  <c r="C2316" i="1"/>
  <c r="I2315" i="1"/>
  <c r="H2315" i="1"/>
  <c r="G2315" i="1"/>
  <c r="F2315" i="1"/>
  <c r="E2315" i="1"/>
  <c r="D2315" i="1"/>
  <c r="C2315" i="1"/>
  <c r="I2314" i="1"/>
  <c r="H2314" i="1"/>
  <c r="G2314" i="1"/>
  <c r="F2314" i="1"/>
  <c r="E2314" i="1"/>
  <c r="D2314" i="1"/>
  <c r="C2314" i="1"/>
  <c r="I2313" i="1"/>
  <c r="H2313" i="1"/>
  <c r="G2313" i="1"/>
  <c r="F2313" i="1"/>
  <c r="E2313" i="1"/>
  <c r="D2313" i="1"/>
  <c r="C2313" i="1"/>
  <c r="I2312" i="1"/>
  <c r="H2312" i="1"/>
  <c r="G2312" i="1"/>
  <c r="F2312" i="1"/>
  <c r="E2312" i="1"/>
  <c r="D2312" i="1"/>
  <c r="C2312" i="1"/>
  <c r="I2311" i="1"/>
  <c r="H2311" i="1"/>
  <c r="G2311" i="1"/>
  <c r="F2311" i="1"/>
  <c r="E2311" i="1"/>
  <c r="D2311" i="1"/>
  <c r="C2311" i="1"/>
  <c r="I2310" i="1"/>
  <c r="H2310" i="1"/>
  <c r="G2310" i="1"/>
  <c r="F2310" i="1"/>
  <c r="E2310" i="1"/>
  <c r="D2310" i="1"/>
  <c r="C2310" i="1"/>
  <c r="I2309" i="1"/>
  <c r="H2309" i="1"/>
  <c r="G2309" i="1"/>
  <c r="F2309" i="1"/>
  <c r="E2309" i="1"/>
  <c r="D2309" i="1"/>
  <c r="C2309" i="1"/>
  <c r="I2308" i="1"/>
  <c r="H2308" i="1"/>
  <c r="G2308" i="1"/>
  <c r="F2308" i="1"/>
  <c r="E2308" i="1"/>
  <c r="D2308" i="1"/>
  <c r="C2308" i="1"/>
  <c r="I2307" i="1"/>
  <c r="H2307" i="1"/>
  <c r="G2307" i="1"/>
  <c r="F2307" i="1"/>
  <c r="E2307" i="1"/>
  <c r="D2307" i="1"/>
  <c r="C2307" i="1"/>
  <c r="I2306" i="1"/>
  <c r="H2306" i="1"/>
  <c r="G2306" i="1"/>
  <c r="F2306" i="1"/>
  <c r="E2306" i="1"/>
  <c r="D2306" i="1"/>
  <c r="C2306" i="1"/>
  <c r="I2305" i="1"/>
  <c r="H2305" i="1"/>
  <c r="G2305" i="1"/>
  <c r="F2305" i="1"/>
  <c r="E2305" i="1"/>
  <c r="D2305" i="1"/>
  <c r="C2305" i="1"/>
  <c r="I2304" i="1"/>
  <c r="H2304" i="1"/>
  <c r="G2304" i="1"/>
  <c r="F2304" i="1"/>
  <c r="E2304" i="1"/>
  <c r="D2304" i="1"/>
  <c r="C2304" i="1"/>
  <c r="I2303" i="1"/>
  <c r="H2303" i="1"/>
  <c r="G2303" i="1"/>
  <c r="F2303" i="1"/>
  <c r="E2303" i="1"/>
  <c r="D2303" i="1"/>
  <c r="C2303" i="1"/>
  <c r="I2302" i="1"/>
  <c r="H2302" i="1"/>
  <c r="G2302" i="1"/>
  <c r="F2302" i="1"/>
  <c r="E2302" i="1"/>
  <c r="D2302" i="1"/>
  <c r="C2302" i="1"/>
  <c r="I2301" i="1"/>
  <c r="H2301" i="1"/>
  <c r="G2301" i="1"/>
  <c r="F2301" i="1"/>
  <c r="E2301" i="1"/>
  <c r="D2301" i="1"/>
  <c r="C2301" i="1"/>
  <c r="I2300" i="1"/>
  <c r="H2300" i="1"/>
  <c r="G2300" i="1"/>
  <c r="F2300" i="1"/>
  <c r="E2300" i="1"/>
  <c r="D2300" i="1"/>
  <c r="C2300" i="1"/>
  <c r="I2299" i="1"/>
  <c r="H2299" i="1"/>
  <c r="G2299" i="1"/>
  <c r="F2299" i="1"/>
  <c r="E2299" i="1"/>
  <c r="D2299" i="1"/>
  <c r="C2299" i="1"/>
  <c r="I2298" i="1"/>
  <c r="H2298" i="1"/>
  <c r="G2298" i="1"/>
  <c r="F2298" i="1"/>
  <c r="E2298" i="1"/>
  <c r="D2298" i="1"/>
  <c r="C2298" i="1"/>
  <c r="I2297" i="1"/>
  <c r="H2297" i="1"/>
  <c r="G2297" i="1"/>
  <c r="F2297" i="1"/>
  <c r="E2297" i="1"/>
  <c r="D2297" i="1"/>
  <c r="C2297" i="1"/>
  <c r="I2296" i="1"/>
  <c r="H2296" i="1"/>
  <c r="G2296" i="1"/>
  <c r="F2296" i="1"/>
  <c r="E2296" i="1"/>
  <c r="D2296" i="1"/>
  <c r="C2296" i="1"/>
  <c r="I2295" i="1"/>
  <c r="H2295" i="1"/>
  <c r="G2295" i="1"/>
  <c r="F2295" i="1"/>
  <c r="E2295" i="1"/>
  <c r="D2295" i="1"/>
  <c r="C2295" i="1"/>
  <c r="I2294" i="1"/>
  <c r="H2294" i="1"/>
  <c r="G2294" i="1"/>
  <c r="F2294" i="1"/>
  <c r="E2294" i="1"/>
  <c r="D2294" i="1"/>
  <c r="C2294" i="1"/>
  <c r="I2293" i="1"/>
  <c r="H2293" i="1"/>
  <c r="G2293" i="1"/>
  <c r="F2293" i="1"/>
  <c r="E2293" i="1"/>
  <c r="D2293" i="1"/>
  <c r="C2293" i="1"/>
  <c r="I2292" i="1"/>
  <c r="H2292" i="1"/>
  <c r="G2292" i="1"/>
  <c r="F2292" i="1"/>
  <c r="E2292" i="1"/>
  <c r="D2292" i="1"/>
  <c r="C2292" i="1"/>
  <c r="I2291" i="1"/>
  <c r="H2291" i="1"/>
  <c r="G2291" i="1"/>
  <c r="F2291" i="1"/>
  <c r="E2291" i="1"/>
  <c r="D2291" i="1"/>
  <c r="C2291" i="1"/>
  <c r="I2290" i="1"/>
  <c r="H2290" i="1"/>
  <c r="G2290" i="1"/>
  <c r="F2290" i="1"/>
  <c r="E2290" i="1"/>
  <c r="D2290" i="1"/>
  <c r="C2290" i="1"/>
  <c r="I2289" i="1"/>
  <c r="H2289" i="1"/>
  <c r="G2289" i="1"/>
  <c r="F2289" i="1"/>
  <c r="E2289" i="1"/>
  <c r="D2289" i="1"/>
  <c r="C2289" i="1"/>
  <c r="I2288" i="1"/>
  <c r="H2288" i="1"/>
  <c r="G2288" i="1"/>
  <c r="F2288" i="1"/>
  <c r="E2288" i="1"/>
  <c r="D2288" i="1"/>
  <c r="C2288" i="1"/>
  <c r="I2287" i="1"/>
  <c r="H2287" i="1"/>
  <c r="G2287" i="1"/>
  <c r="F2287" i="1"/>
  <c r="E2287" i="1"/>
  <c r="D2287" i="1"/>
  <c r="C2287" i="1"/>
  <c r="I2286" i="1"/>
  <c r="H2286" i="1"/>
  <c r="G2286" i="1"/>
  <c r="F2286" i="1"/>
  <c r="E2286" i="1"/>
  <c r="D2286" i="1"/>
  <c r="C2286" i="1"/>
  <c r="I2285" i="1"/>
  <c r="H2285" i="1"/>
  <c r="G2285" i="1"/>
  <c r="F2285" i="1"/>
  <c r="E2285" i="1"/>
  <c r="D2285" i="1"/>
  <c r="C2285" i="1"/>
  <c r="I2284" i="1"/>
  <c r="H2284" i="1"/>
  <c r="G2284" i="1"/>
  <c r="F2284" i="1"/>
  <c r="E2284" i="1"/>
  <c r="D2284" i="1"/>
  <c r="C2284" i="1"/>
  <c r="I2283" i="1"/>
  <c r="H2283" i="1"/>
  <c r="G2283" i="1"/>
  <c r="F2283" i="1"/>
  <c r="E2283" i="1"/>
  <c r="D2283" i="1"/>
  <c r="C2283" i="1"/>
  <c r="I2282" i="1"/>
  <c r="H2282" i="1"/>
  <c r="G2282" i="1"/>
  <c r="F2282" i="1"/>
  <c r="E2282" i="1"/>
  <c r="D2282" i="1"/>
  <c r="C2282" i="1"/>
  <c r="I2281" i="1"/>
  <c r="H2281" i="1"/>
  <c r="G2281" i="1"/>
  <c r="F2281" i="1"/>
  <c r="E2281" i="1"/>
  <c r="D2281" i="1"/>
  <c r="C2281" i="1"/>
  <c r="I2280" i="1"/>
  <c r="H2280" i="1"/>
  <c r="G2280" i="1"/>
  <c r="F2280" i="1"/>
  <c r="E2280" i="1"/>
  <c r="D2280" i="1"/>
  <c r="C2280" i="1"/>
  <c r="I2279" i="1"/>
  <c r="H2279" i="1"/>
  <c r="G2279" i="1"/>
  <c r="F2279" i="1"/>
  <c r="E2279" i="1"/>
  <c r="D2279" i="1"/>
  <c r="C2279" i="1"/>
  <c r="I2278" i="1"/>
  <c r="H2278" i="1"/>
  <c r="G2278" i="1"/>
  <c r="F2278" i="1"/>
  <c r="E2278" i="1"/>
  <c r="D2278" i="1"/>
  <c r="C2278" i="1"/>
  <c r="I2277" i="1"/>
  <c r="H2277" i="1"/>
  <c r="G2277" i="1"/>
  <c r="F2277" i="1"/>
  <c r="E2277" i="1"/>
  <c r="D2277" i="1"/>
  <c r="C2277" i="1"/>
  <c r="I2276" i="1"/>
  <c r="H2276" i="1"/>
  <c r="G2276" i="1"/>
  <c r="F2276" i="1"/>
  <c r="E2276" i="1"/>
  <c r="D2276" i="1"/>
  <c r="C2276" i="1"/>
  <c r="I2275" i="1"/>
  <c r="H2275" i="1"/>
  <c r="G2275" i="1"/>
  <c r="F2275" i="1"/>
  <c r="E2275" i="1"/>
  <c r="D2275" i="1"/>
  <c r="C2275" i="1"/>
  <c r="I2274" i="1"/>
  <c r="H2274" i="1"/>
  <c r="G2274" i="1"/>
  <c r="F2274" i="1"/>
  <c r="E2274" i="1"/>
  <c r="D2274" i="1"/>
  <c r="C2274" i="1"/>
  <c r="I2273" i="1"/>
  <c r="H2273" i="1"/>
  <c r="G2273" i="1"/>
  <c r="F2273" i="1"/>
  <c r="E2273" i="1"/>
  <c r="D2273" i="1"/>
  <c r="C2273" i="1"/>
  <c r="I2272" i="1"/>
  <c r="H2272" i="1"/>
  <c r="G2272" i="1"/>
  <c r="F2272" i="1"/>
  <c r="E2272" i="1"/>
  <c r="D2272" i="1"/>
  <c r="C2272" i="1"/>
  <c r="I2271" i="1"/>
  <c r="H2271" i="1"/>
  <c r="G2271" i="1"/>
  <c r="F2271" i="1"/>
  <c r="E2271" i="1"/>
  <c r="D2271" i="1"/>
  <c r="C2271" i="1"/>
  <c r="I2270" i="1"/>
  <c r="H2270" i="1"/>
  <c r="G2270" i="1"/>
  <c r="F2270" i="1"/>
  <c r="E2270" i="1"/>
  <c r="D2270" i="1"/>
  <c r="C2270" i="1"/>
  <c r="I2269" i="1"/>
  <c r="H2269" i="1"/>
  <c r="G2269" i="1"/>
  <c r="F2269" i="1"/>
  <c r="E2269" i="1"/>
  <c r="D2269" i="1"/>
  <c r="C2269" i="1"/>
  <c r="I2268" i="1"/>
  <c r="H2268" i="1"/>
  <c r="G2268" i="1"/>
  <c r="F2268" i="1"/>
  <c r="E2268" i="1"/>
  <c r="D2268" i="1"/>
  <c r="C2268" i="1"/>
  <c r="I2267" i="1"/>
  <c r="H2267" i="1"/>
  <c r="G2267" i="1"/>
  <c r="F2267" i="1"/>
  <c r="E2267" i="1"/>
  <c r="D2267" i="1"/>
  <c r="C2267" i="1"/>
  <c r="I2266" i="1"/>
  <c r="H2266" i="1"/>
  <c r="G2266" i="1"/>
  <c r="F2266" i="1"/>
  <c r="E2266" i="1"/>
  <c r="D2266" i="1"/>
  <c r="C2266" i="1"/>
  <c r="I2265" i="1"/>
  <c r="H2265" i="1"/>
  <c r="G2265" i="1"/>
  <c r="F2265" i="1"/>
  <c r="E2265" i="1"/>
  <c r="D2265" i="1"/>
  <c r="C2265" i="1"/>
  <c r="I2264" i="1"/>
  <c r="H2264" i="1"/>
  <c r="G2264" i="1"/>
  <c r="F2264" i="1"/>
  <c r="E2264" i="1"/>
  <c r="D2264" i="1"/>
  <c r="C2264" i="1"/>
  <c r="I2263" i="1"/>
  <c r="H2263" i="1"/>
  <c r="G2263" i="1"/>
  <c r="F2263" i="1"/>
  <c r="E2263" i="1"/>
  <c r="D2263" i="1"/>
  <c r="C2263" i="1"/>
  <c r="I2262" i="1"/>
  <c r="H2262" i="1"/>
  <c r="G2262" i="1"/>
  <c r="F2262" i="1"/>
  <c r="E2262" i="1"/>
  <c r="D2262" i="1"/>
  <c r="C2262" i="1"/>
  <c r="I2261" i="1"/>
  <c r="H2261" i="1"/>
  <c r="G2261" i="1"/>
  <c r="F2261" i="1"/>
  <c r="E2261" i="1"/>
  <c r="D2261" i="1"/>
  <c r="C2261" i="1"/>
  <c r="I2260" i="1"/>
  <c r="H2260" i="1"/>
  <c r="G2260" i="1"/>
  <c r="F2260" i="1"/>
  <c r="E2260" i="1"/>
  <c r="D2260" i="1"/>
  <c r="C2260" i="1"/>
  <c r="I2259" i="1"/>
  <c r="H2259" i="1"/>
  <c r="G2259" i="1"/>
  <c r="F2259" i="1"/>
  <c r="E2259" i="1"/>
  <c r="D2259" i="1"/>
  <c r="C2259" i="1"/>
  <c r="I2258" i="1"/>
  <c r="H2258" i="1"/>
  <c r="G2258" i="1"/>
  <c r="F2258" i="1"/>
  <c r="E2258" i="1"/>
  <c r="D2258" i="1"/>
  <c r="C2258" i="1"/>
  <c r="I2257" i="1"/>
  <c r="H2257" i="1"/>
  <c r="G2257" i="1"/>
  <c r="F2257" i="1"/>
  <c r="E2257" i="1"/>
  <c r="D2257" i="1"/>
  <c r="C2257" i="1"/>
  <c r="I2256" i="1"/>
  <c r="H2256" i="1"/>
  <c r="G2256" i="1"/>
  <c r="F2256" i="1"/>
  <c r="E2256" i="1"/>
  <c r="D2256" i="1"/>
  <c r="C2256" i="1"/>
  <c r="I2255" i="1"/>
  <c r="H2255" i="1"/>
  <c r="G2255" i="1"/>
  <c r="F2255" i="1"/>
  <c r="E2255" i="1"/>
  <c r="D2255" i="1"/>
  <c r="C2255" i="1"/>
  <c r="I2254" i="1"/>
  <c r="H2254" i="1"/>
  <c r="G2254" i="1"/>
  <c r="F2254" i="1"/>
  <c r="E2254" i="1"/>
  <c r="D2254" i="1"/>
  <c r="C2254" i="1"/>
  <c r="I2253" i="1"/>
  <c r="H2253" i="1"/>
  <c r="G2253" i="1"/>
  <c r="F2253" i="1"/>
  <c r="E2253" i="1"/>
  <c r="D2253" i="1"/>
  <c r="C2253" i="1"/>
  <c r="I2252" i="1"/>
  <c r="H2252" i="1"/>
  <c r="G2252" i="1"/>
  <c r="F2252" i="1"/>
  <c r="E2252" i="1"/>
  <c r="D2252" i="1"/>
  <c r="C2252" i="1"/>
  <c r="I2251" i="1"/>
  <c r="H2251" i="1"/>
  <c r="G2251" i="1"/>
  <c r="F2251" i="1"/>
  <c r="E2251" i="1"/>
  <c r="D2251" i="1"/>
  <c r="C2251" i="1"/>
  <c r="I2250" i="1"/>
  <c r="H2250" i="1"/>
  <c r="G2250" i="1"/>
  <c r="F2250" i="1"/>
  <c r="E2250" i="1"/>
  <c r="D2250" i="1"/>
  <c r="C2250" i="1"/>
  <c r="I2249" i="1"/>
  <c r="H2249" i="1"/>
  <c r="G2249" i="1"/>
  <c r="F2249" i="1"/>
  <c r="E2249" i="1"/>
  <c r="D2249" i="1"/>
  <c r="C2249" i="1"/>
  <c r="I2248" i="1"/>
  <c r="H2248" i="1"/>
  <c r="G2248" i="1"/>
  <c r="F2248" i="1"/>
  <c r="E2248" i="1"/>
  <c r="D2248" i="1"/>
  <c r="C2248" i="1"/>
  <c r="I2247" i="1"/>
  <c r="H2247" i="1"/>
  <c r="G2247" i="1"/>
  <c r="F2247" i="1"/>
  <c r="E2247" i="1"/>
  <c r="D2247" i="1"/>
  <c r="C2247" i="1"/>
  <c r="I2246" i="1"/>
  <c r="H2246" i="1"/>
  <c r="G2246" i="1"/>
  <c r="F2246" i="1"/>
  <c r="E2246" i="1"/>
  <c r="D2246" i="1"/>
  <c r="C2246" i="1"/>
  <c r="I2245" i="1"/>
  <c r="H2245" i="1"/>
  <c r="G2245" i="1"/>
  <c r="F2245" i="1"/>
  <c r="E2245" i="1"/>
  <c r="D2245" i="1"/>
  <c r="C2245" i="1"/>
  <c r="I2244" i="1"/>
  <c r="H2244" i="1"/>
  <c r="G2244" i="1"/>
  <c r="F2244" i="1"/>
  <c r="E2244" i="1"/>
  <c r="D2244" i="1"/>
  <c r="C2244" i="1"/>
  <c r="I2243" i="1"/>
  <c r="H2243" i="1"/>
  <c r="G2243" i="1"/>
  <c r="F2243" i="1"/>
  <c r="E2243" i="1"/>
  <c r="D2243" i="1"/>
  <c r="C2243" i="1"/>
  <c r="I2242" i="1"/>
  <c r="H2242" i="1"/>
  <c r="G2242" i="1"/>
  <c r="F2242" i="1"/>
  <c r="E2242" i="1"/>
  <c r="D2242" i="1"/>
  <c r="C2242" i="1"/>
  <c r="I2241" i="1"/>
  <c r="H2241" i="1"/>
  <c r="G2241" i="1"/>
  <c r="F2241" i="1"/>
  <c r="E2241" i="1"/>
  <c r="D2241" i="1"/>
  <c r="C2241" i="1"/>
  <c r="I2240" i="1"/>
  <c r="H2240" i="1"/>
  <c r="G2240" i="1"/>
  <c r="F2240" i="1"/>
  <c r="E2240" i="1"/>
  <c r="D2240" i="1"/>
  <c r="C2240" i="1"/>
  <c r="I2239" i="1"/>
  <c r="H2239" i="1"/>
  <c r="G2239" i="1"/>
  <c r="F2239" i="1"/>
  <c r="E2239" i="1"/>
  <c r="D2239" i="1"/>
  <c r="C2239" i="1"/>
  <c r="I2238" i="1"/>
  <c r="H2238" i="1"/>
  <c r="G2238" i="1"/>
  <c r="F2238" i="1"/>
  <c r="E2238" i="1"/>
  <c r="D2238" i="1"/>
  <c r="C2238" i="1"/>
  <c r="I2237" i="1"/>
  <c r="H2237" i="1"/>
  <c r="G2237" i="1"/>
  <c r="F2237" i="1"/>
  <c r="E2237" i="1"/>
  <c r="D2237" i="1"/>
  <c r="C2237" i="1"/>
  <c r="I2236" i="1"/>
  <c r="H2236" i="1"/>
  <c r="G2236" i="1"/>
  <c r="F2236" i="1"/>
  <c r="E2236" i="1"/>
  <c r="D2236" i="1"/>
  <c r="C2236" i="1"/>
  <c r="I2235" i="1"/>
  <c r="H2235" i="1"/>
  <c r="G2235" i="1"/>
  <c r="F2235" i="1"/>
  <c r="E2235" i="1"/>
  <c r="D2235" i="1"/>
  <c r="C2235" i="1"/>
  <c r="I2234" i="1"/>
  <c r="H2234" i="1"/>
  <c r="G2234" i="1"/>
  <c r="F2234" i="1"/>
  <c r="E2234" i="1"/>
  <c r="D2234" i="1"/>
  <c r="C2234" i="1"/>
  <c r="I2233" i="1"/>
  <c r="H2233" i="1"/>
  <c r="G2233" i="1"/>
  <c r="F2233" i="1"/>
  <c r="E2233" i="1"/>
  <c r="D2233" i="1"/>
  <c r="C2233" i="1"/>
  <c r="I2232" i="1"/>
  <c r="H2232" i="1"/>
  <c r="G2232" i="1"/>
  <c r="F2232" i="1"/>
  <c r="E2232" i="1"/>
  <c r="D2232" i="1"/>
  <c r="C2232" i="1"/>
  <c r="I2231" i="1"/>
  <c r="H2231" i="1"/>
  <c r="G2231" i="1"/>
  <c r="F2231" i="1"/>
  <c r="E2231" i="1"/>
  <c r="D2231" i="1"/>
  <c r="C2231" i="1"/>
  <c r="I2230" i="1"/>
  <c r="H2230" i="1"/>
  <c r="G2230" i="1"/>
  <c r="F2230" i="1"/>
  <c r="E2230" i="1"/>
  <c r="D2230" i="1"/>
  <c r="C2230" i="1"/>
  <c r="I2229" i="1"/>
  <c r="H2229" i="1"/>
  <c r="G2229" i="1"/>
  <c r="F2229" i="1"/>
  <c r="E2229" i="1"/>
  <c r="D2229" i="1"/>
  <c r="C2229" i="1"/>
  <c r="I2228" i="1"/>
  <c r="H2228" i="1"/>
  <c r="G2228" i="1"/>
  <c r="F2228" i="1"/>
  <c r="E2228" i="1"/>
  <c r="D2228" i="1"/>
  <c r="C2228" i="1"/>
  <c r="I2227" i="1"/>
  <c r="H2227" i="1"/>
  <c r="G2227" i="1"/>
  <c r="F2227" i="1"/>
  <c r="E2227" i="1"/>
  <c r="D2227" i="1"/>
  <c r="C2227" i="1"/>
  <c r="I2226" i="1"/>
  <c r="H2226" i="1"/>
  <c r="G2226" i="1"/>
  <c r="F2226" i="1"/>
  <c r="E2226" i="1"/>
  <c r="D2226" i="1"/>
  <c r="C2226" i="1"/>
  <c r="I2225" i="1"/>
  <c r="H2225" i="1"/>
  <c r="G2225" i="1"/>
  <c r="F2225" i="1"/>
  <c r="E2225" i="1"/>
  <c r="D2225" i="1"/>
  <c r="C2225" i="1"/>
  <c r="I2224" i="1"/>
  <c r="H2224" i="1"/>
  <c r="G2224" i="1"/>
  <c r="F2224" i="1"/>
  <c r="E2224" i="1"/>
  <c r="D2224" i="1"/>
  <c r="C2224" i="1"/>
  <c r="I2223" i="1"/>
  <c r="H2223" i="1"/>
  <c r="G2223" i="1"/>
  <c r="F2223" i="1"/>
  <c r="E2223" i="1"/>
  <c r="D2223" i="1"/>
  <c r="C2223" i="1"/>
  <c r="I2222" i="1"/>
  <c r="H2222" i="1"/>
  <c r="G2222" i="1"/>
  <c r="F2222" i="1"/>
  <c r="E2222" i="1"/>
  <c r="D2222" i="1"/>
  <c r="C2222" i="1"/>
  <c r="I2221" i="1"/>
  <c r="H2221" i="1"/>
  <c r="G2221" i="1"/>
  <c r="F2221" i="1"/>
  <c r="E2221" i="1"/>
  <c r="D2221" i="1"/>
  <c r="C2221" i="1"/>
  <c r="I2220" i="1"/>
  <c r="H2220" i="1"/>
  <c r="G2220" i="1"/>
  <c r="F2220" i="1"/>
  <c r="E2220" i="1"/>
  <c r="D2220" i="1"/>
  <c r="C2220" i="1"/>
  <c r="I2219" i="1"/>
  <c r="H2219" i="1"/>
  <c r="G2219" i="1"/>
  <c r="F2219" i="1"/>
  <c r="E2219" i="1"/>
  <c r="D2219" i="1"/>
  <c r="C2219" i="1"/>
  <c r="I2218" i="1"/>
  <c r="H2218" i="1"/>
  <c r="G2218" i="1"/>
  <c r="F2218" i="1"/>
  <c r="E2218" i="1"/>
  <c r="D2218" i="1"/>
  <c r="C2218" i="1"/>
  <c r="I2217" i="1"/>
  <c r="H2217" i="1"/>
  <c r="G2217" i="1"/>
  <c r="F2217" i="1"/>
  <c r="E2217" i="1"/>
  <c r="D2217" i="1"/>
  <c r="C2217" i="1"/>
  <c r="I2216" i="1"/>
  <c r="H2216" i="1"/>
  <c r="G2216" i="1"/>
  <c r="F2216" i="1"/>
  <c r="E2216" i="1"/>
  <c r="D2216" i="1"/>
  <c r="C2216" i="1"/>
  <c r="I2215" i="1"/>
  <c r="H2215" i="1"/>
  <c r="G2215" i="1"/>
  <c r="F2215" i="1"/>
  <c r="E2215" i="1"/>
  <c r="D2215" i="1"/>
  <c r="C2215" i="1"/>
  <c r="I2214" i="1"/>
  <c r="H2214" i="1"/>
  <c r="G2214" i="1"/>
  <c r="F2214" i="1"/>
  <c r="E2214" i="1"/>
  <c r="D2214" i="1"/>
  <c r="C2214" i="1"/>
  <c r="I2213" i="1"/>
  <c r="H2213" i="1"/>
  <c r="G2213" i="1"/>
  <c r="F2213" i="1"/>
  <c r="E2213" i="1"/>
  <c r="D2213" i="1"/>
  <c r="C2213" i="1"/>
  <c r="I2212" i="1"/>
  <c r="H2212" i="1"/>
  <c r="G2212" i="1"/>
  <c r="F2212" i="1"/>
  <c r="E2212" i="1"/>
  <c r="D2212" i="1"/>
  <c r="C2212" i="1"/>
  <c r="I2211" i="1"/>
  <c r="H2211" i="1"/>
  <c r="G2211" i="1"/>
  <c r="F2211" i="1"/>
  <c r="E2211" i="1"/>
  <c r="D2211" i="1"/>
  <c r="C2211" i="1"/>
  <c r="I2210" i="1"/>
  <c r="H2210" i="1"/>
  <c r="G2210" i="1"/>
  <c r="F2210" i="1"/>
  <c r="E2210" i="1"/>
  <c r="D2210" i="1"/>
  <c r="C2210" i="1"/>
  <c r="I2209" i="1"/>
  <c r="H2209" i="1"/>
  <c r="G2209" i="1"/>
  <c r="F2209" i="1"/>
  <c r="E2209" i="1"/>
  <c r="D2209" i="1"/>
  <c r="C2209" i="1"/>
  <c r="I2208" i="1"/>
  <c r="H2208" i="1"/>
  <c r="G2208" i="1"/>
  <c r="F2208" i="1"/>
  <c r="E2208" i="1"/>
  <c r="D2208" i="1"/>
  <c r="C2208" i="1"/>
  <c r="I2207" i="1"/>
  <c r="H2207" i="1"/>
  <c r="G2207" i="1"/>
  <c r="F2207" i="1"/>
  <c r="E2207" i="1"/>
  <c r="D2207" i="1"/>
  <c r="C2207" i="1"/>
  <c r="I2206" i="1"/>
  <c r="H2206" i="1"/>
  <c r="G2206" i="1"/>
  <c r="F2206" i="1"/>
  <c r="E2206" i="1"/>
  <c r="D2206" i="1"/>
  <c r="C2206" i="1"/>
  <c r="I2205" i="1"/>
  <c r="H2205" i="1"/>
  <c r="G2205" i="1"/>
  <c r="F2205" i="1"/>
  <c r="E2205" i="1"/>
  <c r="D2205" i="1"/>
  <c r="C2205" i="1"/>
  <c r="I2204" i="1"/>
  <c r="H2204" i="1"/>
  <c r="G2204" i="1"/>
  <c r="F2204" i="1"/>
  <c r="E2204" i="1"/>
  <c r="D2204" i="1"/>
  <c r="C2204" i="1"/>
  <c r="I2203" i="1"/>
  <c r="H2203" i="1"/>
  <c r="G2203" i="1"/>
  <c r="F2203" i="1"/>
  <c r="E2203" i="1"/>
  <c r="D2203" i="1"/>
  <c r="C2203" i="1"/>
  <c r="I2202" i="1"/>
  <c r="H2202" i="1"/>
  <c r="G2202" i="1"/>
  <c r="F2202" i="1"/>
  <c r="E2202" i="1"/>
  <c r="D2202" i="1"/>
  <c r="C2202" i="1"/>
  <c r="I2201" i="1"/>
  <c r="H2201" i="1"/>
  <c r="G2201" i="1"/>
  <c r="F2201" i="1"/>
  <c r="E2201" i="1"/>
  <c r="D2201" i="1"/>
  <c r="C2201" i="1"/>
  <c r="I2200" i="1"/>
  <c r="H2200" i="1"/>
  <c r="G2200" i="1"/>
  <c r="F2200" i="1"/>
  <c r="E2200" i="1"/>
  <c r="D2200" i="1"/>
  <c r="C2200" i="1"/>
  <c r="I2199" i="1"/>
  <c r="H2199" i="1"/>
  <c r="G2199" i="1"/>
  <c r="F2199" i="1"/>
  <c r="E2199" i="1"/>
  <c r="D2199" i="1"/>
  <c r="C2199" i="1"/>
  <c r="I2198" i="1"/>
  <c r="H2198" i="1"/>
  <c r="G2198" i="1"/>
  <c r="F2198" i="1"/>
  <c r="E2198" i="1"/>
  <c r="D2198" i="1"/>
  <c r="C2198" i="1"/>
  <c r="I2197" i="1"/>
  <c r="H2197" i="1"/>
  <c r="G2197" i="1"/>
  <c r="F2197" i="1"/>
  <c r="E2197" i="1"/>
  <c r="D2197" i="1"/>
  <c r="C2197" i="1"/>
  <c r="I2196" i="1"/>
  <c r="H2196" i="1"/>
  <c r="G2196" i="1"/>
  <c r="F2196" i="1"/>
  <c r="E2196" i="1"/>
  <c r="D2196" i="1"/>
  <c r="C2196" i="1"/>
  <c r="I2195" i="1"/>
  <c r="H2195" i="1"/>
  <c r="G2195" i="1"/>
  <c r="F2195" i="1"/>
  <c r="E2195" i="1"/>
  <c r="D2195" i="1"/>
  <c r="C2195" i="1"/>
  <c r="I2194" i="1"/>
  <c r="H2194" i="1"/>
  <c r="G2194" i="1"/>
  <c r="F2194" i="1"/>
  <c r="E2194" i="1"/>
  <c r="D2194" i="1"/>
  <c r="C2194" i="1"/>
  <c r="I2193" i="1"/>
  <c r="H2193" i="1"/>
  <c r="G2193" i="1"/>
  <c r="F2193" i="1"/>
  <c r="E2193" i="1"/>
  <c r="D2193" i="1"/>
  <c r="C2193" i="1"/>
  <c r="I2192" i="1"/>
  <c r="H2192" i="1"/>
  <c r="G2192" i="1"/>
  <c r="F2192" i="1"/>
  <c r="E2192" i="1"/>
  <c r="D2192" i="1"/>
  <c r="C2192" i="1"/>
  <c r="I2191" i="1"/>
  <c r="H2191" i="1"/>
  <c r="G2191" i="1"/>
  <c r="F2191" i="1"/>
  <c r="E2191" i="1"/>
  <c r="D2191" i="1"/>
  <c r="C2191" i="1"/>
  <c r="I2190" i="1"/>
  <c r="H2190" i="1"/>
  <c r="G2190" i="1"/>
  <c r="F2190" i="1"/>
  <c r="E2190" i="1"/>
  <c r="D2190" i="1"/>
  <c r="C2190" i="1"/>
  <c r="I2189" i="1"/>
  <c r="H2189" i="1"/>
  <c r="G2189" i="1"/>
  <c r="F2189" i="1"/>
  <c r="E2189" i="1"/>
  <c r="D2189" i="1"/>
  <c r="C2189" i="1"/>
  <c r="I2188" i="1"/>
  <c r="H2188" i="1"/>
  <c r="G2188" i="1"/>
  <c r="F2188" i="1"/>
  <c r="E2188" i="1"/>
  <c r="D2188" i="1"/>
  <c r="C2188" i="1"/>
  <c r="I2187" i="1"/>
  <c r="H2187" i="1"/>
  <c r="G2187" i="1"/>
  <c r="F2187" i="1"/>
  <c r="E2187" i="1"/>
  <c r="D2187" i="1"/>
  <c r="C2187" i="1"/>
  <c r="I2186" i="1"/>
  <c r="H2186" i="1"/>
  <c r="G2186" i="1"/>
  <c r="F2186" i="1"/>
  <c r="E2186" i="1"/>
  <c r="D2186" i="1"/>
  <c r="C2186" i="1"/>
  <c r="I2185" i="1"/>
  <c r="H2185" i="1"/>
  <c r="G2185" i="1"/>
  <c r="F2185" i="1"/>
  <c r="E2185" i="1"/>
  <c r="D2185" i="1"/>
  <c r="C2185" i="1"/>
  <c r="I2184" i="1"/>
  <c r="H2184" i="1"/>
  <c r="G2184" i="1"/>
  <c r="F2184" i="1"/>
  <c r="E2184" i="1"/>
  <c r="D2184" i="1"/>
  <c r="C2184" i="1"/>
  <c r="I2183" i="1"/>
  <c r="H2183" i="1"/>
  <c r="G2183" i="1"/>
  <c r="F2183" i="1"/>
  <c r="E2183" i="1"/>
  <c r="D2183" i="1"/>
  <c r="C2183" i="1"/>
  <c r="I2182" i="1"/>
  <c r="H2182" i="1"/>
  <c r="G2182" i="1"/>
  <c r="F2182" i="1"/>
  <c r="E2182" i="1"/>
  <c r="D2182" i="1"/>
  <c r="C2182" i="1"/>
  <c r="I2181" i="1"/>
  <c r="H2181" i="1"/>
  <c r="G2181" i="1"/>
  <c r="F2181" i="1"/>
  <c r="E2181" i="1"/>
  <c r="D2181" i="1"/>
  <c r="C2181" i="1"/>
  <c r="I2180" i="1"/>
  <c r="H2180" i="1"/>
  <c r="G2180" i="1"/>
  <c r="F2180" i="1"/>
  <c r="E2180" i="1"/>
  <c r="D2180" i="1"/>
  <c r="C2180" i="1"/>
  <c r="I2179" i="1"/>
  <c r="H2179" i="1"/>
  <c r="G2179" i="1"/>
  <c r="F2179" i="1"/>
  <c r="E2179" i="1"/>
  <c r="D2179" i="1"/>
  <c r="C2179" i="1"/>
  <c r="I2178" i="1"/>
  <c r="H2178" i="1"/>
  <c r="G2178" i="1"/>
  <c r="F2178" i="1"/>
  <c r="E2178" i="1"/>
  <c r="D2178" i="1"/>
  <c r="C2178" i="1"/>
  <c r="I2177" i="1"/>
  <c r="H2177" i="1"/>
  <c r="G2177" i="1"/>
  <c r="F2177" i="1"/>
  <c r="E2177" i="1"/>
  <c r="D2177" i="1"/>
  <c r="C2177" i="1"/>
  <c r="I2176" i="1"/>
  <c r="H2176" i="1"/>
  <c r="G2176" i="1"/>
  <c r="F2176" i="1"/>
  <c r="E2176" i="1"/>
  <c r="D2176" i="1"/>
  <c r="C2176" i="1"/>
  <c r="I2175" i="1"/>
  <c r="H2175" i="1"/>
  <c r="G2175" i="1"/>
  <c r="F2175" i="1"/>
  <c r="E2175" i="1"/>
  <c r="D2175" i="1"/>
  <c r="C2175" i="1"/>
  <c r="I2174" i="1"/>
  <c r="H2174" i="1"/>
  <c r="G2174" i="1"/>
  <c r="F2174" i="1"/>
  <c r="E2174" i="1"/>
  <c r="D2174" i="1"/>
  <c r="C2174" i="1"/>
  <c r="I2173" i="1"/>
  <c r="H2173" i="1"/>
  <c r="G2173" i="1"/>
  <c r="F2173" i="1"/>
  <c r="E2173" i="1"/>
  <c r="D2173" i="1"/>
  <c r="C2173" i="1"/>
  <c r="I2172" i="1"/>
  <c r="H2172" i="1"/>
  <c r="G2172" i="1"/>
  <c r="F2172" i="1"/>
  <c r="E2172" i="1"/>
  <c r="D2172" i="1"/>
  <c r="C2172" i="1"/>
  <c r="I2171" i="1"/>
  <c r="H2171" i="1"/>
  <c r="G2171" i="1"/>
  <c r="F2171" i="1"/>
  <c r="E2171" i="1"/>
  <c r="D2171" i="1"/>
  <c r="C2171" i="1"/>
  <c r="I2170" i="1"/>
  <c r="H2170" i="1"/>
  <c r="G2170" i="1"/>
  <c r="F2170" i="1"/>
  <c r="E2170" i="1"/>
  <c r="D2170" i="1"/>
  <c r="C2170" i="1"/>
  <c r="I2169" i="1"/>
  <c r="H2169" i="1"/>
  <c r="G2169" i="1"/>
  <c r="F2169" i="1"/>
  <c r="E2169" i="1"/>
  <c r="D2169" i="1"/>
  <c r="C2169" i="1"/>
  <c r="I2168" i="1"/>
  <c r="H2168" i="1"/>
  <c r="G2168" i="1"/>
  <c r="F2168" i="1"/>
  <c r="E2168" i="1"/>
  <c r="D2168" i="1"/>
  <c r="C2168" i="1"/>
  <c r="I2167" i="1"/>
  <c r="H2167" i="1"/>
  <c r="G2167" i="1"/>
  <c r="F2167" i="1"/>
  <c r="E2167" i="1"/>
  <c r="D2167" i="1"/>
  <c r="C2167" i="1"/>
  <c r="I2166" i="1"/>
  <c r="H2166" i="1"/>
  <c r="G2166" i="1"/>
  <c r="F2166" i="1"/>
  <c r="E2166" i="1"/>
  <c r="D2166" i="1"/>
  <c r="C2166" i="1"/>
  <c r="I2165" i="1"/>
  <c r="H2165" i="1"/>
  <c r="G2165" i="1"/>
  <c r="F2165" i="1"/>
  <c r="E2165" i="1"/>
  <c r="D2165" i="1"/>
  <c r="C2165" i="1"/>
  <c r="I2164" i="1"/>
  <c r="H2164" i="1"/>
  <c r="G2164" i="1"/>
  <c r="F2164" i="1"/>
  <c r="E2164" i="1"/>
  <c r="D2164" i="1"/>
  <c r="C2164" i="1"/>
  <c r="I2163" i="1"/>
  <c r="H2163" i="1"/>
  <c r="G2163" i="1"/>
  <c r="F2163" i="1"/>
  <c r="E2163" i="1"/>
  <c r="D2163" i="1"/>
  <c r="C2163" i="1"/>
  <c r="I2162" i="1"/>
  <c r="H2162" i="1"/>
  <c r="G2162" i="1"/>
  <c r="F2162" i="1"/>
  <c r="E2162" i="1"/>
  <c r="D2162" i="1"/>
  <c r="C2162" i="1"/>
  <c r="I2161" i="1"/>
  <c r="H2161" i="1"/>
  <c r="G2161" i="1"/>
  <c r="F2161" i="1"/>
  <c r="E2161" i="1"/>
  <c r="D2161" i="1"/>
  <c r="C2161" i="1"/>
  <c r="I2160" i="1"/>
  <c r="H2160" i="1"/>
  <c r="G2160" i="1"/>
  <c r="F2160" i="1"/>
  <c r="E2160" i="1"/>
  <c r="D2160" i="1"/>
  <c r="C2160" i="1"/>
  <c r="I2159" i="1"/>
  <c r="H2159" i="1"/>
  <c r="G2159" i="1"/>
  <c r="F2159" i="1"/>
  <c r="E2159" i="1"/>
  <c r="D2159" i="1"/>
  <c r="C2159" i="1"/>
  <c r="I2158" i="1"/>
  <c r="H2158" i="1"/>
  <c r="G2158" i="1"/>
  <c r="F2158" i="1"/>
  <c r="E2158" i="1"/>
  <c r="D2158" i="1"/>
  <c r="C2158" i="1"/>
  <c r="I2157" i="1"/>
  <c r="H2157" i="1"/>
  <c r="G2157" i="1"/>
  <c r="F2157" i="1"/>
  <c r="E2157" i="1"/>
  <c r="D2157" i="1"/>
  <c r="C2157" i="1"/>
  <c r="I2156" i="1"/>
  <c r="H2156" i="1"/>
  <c r="G2156" i="1"/>
  <c r="F2156" i="1"/>
  <c r="E2156" i="1"/>
  <c r="D2156" i="1"/>
  <c r="C2156" i="1"/>
  <c r="I2155" i="1"/>
  <c r="H2155" i="1"/>
  <c r="G2155" i="1"/>
  <c r="F2155" i="1"/>
  <c r="E2155" i="1"/>
  <c r="D2155" i="1"/>
  <c r="C2155" i="1"/>
  <c r="I2154" i="1"/>
  <c r="H2154" i="1"/>
  <c r="G2154" i="1"/>
  <c r="F2154" i="1"/>
  <c r="E2154" i="1"/>
  <c r="D2154" i="1"/>
  <c r="C2154" i="1"/>
  <c r="I2153" i="1"/>
  <c r="H2153" i="1"/>
  <c r="G2153" i="1"/>
  <c r="F2153" i="1"/>
  <c r="E2153" i="1"/>
  <c r="D2153" i="1"/>
  <c r="C2153" i="1"/>
  <c r="I2152" i="1"/>
  <c r="H2152" i="1"/>
  <c r="G2152" i="1"/>
  <c r="F2152" i="1"/>
  <c r="E2152" i="1"/>
  <c r="D2152" i="1"/>
  <c r="C2152" i="1"/>
  <c r="I2151" i="1"/>
  <c r="H2151" i="1"/>
  <c r="G2151" i="1"/>
  <c r="F2151" i="1"/>
  <c r="E2151" i="1"/>
  <c r="D2151" i="1"/>
  <c r="C2151" i="1"/>
  <c r="I2150" i="1"/>
  <c r="H2150" i="1"/>
  <c r="G2150" i="1"/>
  <c r="F2150" i="1"/>
  <c r="E2150" i="1"/>
  <c r="D2150" i="1"/>
  <c r="C2150" i="1"/>
  <c r="I2149" i="1"/>
  <c r="H2149" i="1"/>
  <c r="G2149" i="1"/>
  <c r="F2149" i="1"/>
  <c r="E2149" i="1"/>
  <c r="D2149" i="1"/>
  <c r="C2149" i="1"/>
  <c r="I2148" i="1"/>
  <c r="H2148" i="1"/>
  <c r="G2148" i="1"/>
  <c r="F2148" i="1"/>
  <c r="E2148" i="1"/>
  <c r="D2148" i="1"/>
  <c r="C2148" i="1"/>
  <c r="I2147" i="1"/>
  <c r="H2147" i="1"/>
  <c r="G2147" i="1"/>
  <c r="F2147" i="1"/>
  <c r="E2147" i="1"/>
  <c r="D2147" i="1"/>
  <c r="C2147" i="1"/>
  <c r="I2146" i="1"/>
  <c r="H2146" i="1"/>
  <c r="G2146" i="1"/>
  <c r="F2146" i="1"/>
  <c r="E2146" i="1"/>
  <c r="D2146" i="1"/>
  <c r="C2146" i="1"/>
  <c r="I2145" i="1"/>
  <c r="H2145" i="1"/>
  <c r="G2145" i="1"/>
  <c r="F2145" i="1"/>
  <c r="E2145" i="1"/>
  <c r="D2145" i="1"/>
  <c r="C2145" i="1"/>
  <c r="I2144" i="1"/>
  <c r="H2144" i="1"/>
  <c r="G2144" i="1"/>
  <c r="F2144" i="1"/>
  <c r="E2144" i="1"/>
  <c r="D2144" i="1"/>
  <c r="C2144" i="1"/>
  <c r="I2143" i="1"/>
  <c r="H2143" i="1"/>
  <c r="G2143" i="1"/>
  <c r="F2143" i="1"/>
  <c r="E2143" i="1"/>
  <c r="D2143" i="1"/>
  <c r="C2143" i="1"/>
  <c r="I2142" i="1"/>
  <c r="H2142" i="1"/>
  <c r="G2142" i="1"/>
  <c r="F2142" i="1"/>
  <c r="E2142" i="1"/>
  <c r="D2142" i="1"/>
  <c r="C2142" i="1"/>
  <c r="I2141" i="1"/>
  <c r="H2141" i="1"/>
  <c r="G2141" i="1"/>
  <c r="F2141" i="1"/>
  <c r="E2141" i="1"/>
  <c r="D2141" i="1"/>
  <c r="C2141" i="1"/>
  <c r="I2140" i="1"/>
  <c r="H2140" i="1"/>
  <c r="G2140" i="1"/>
  <c r="F2140" i="1"/>
  <c r="E2140" i="1"/>
  <c r="D2140" i="1"/>
  <c r="C2140" i="1"/>
  <c r="I2139" i="1"/>
  <c r="H2139" i="1"/>
  <c r="G2139" i="1"/>
  <c r="F2139" i="1"/>
  <c r="E2139" i="1"/>
  <c r="D2139" i="1"/>
  <c r="C2139" i="1"/>
  <c r="I2138" i="1"/>
  <c r="H2138" i="1"/>
  <c r="G2138" i="1"/>
  <c r="F2138" i="1"/>
  <c r="E2138" i="1"/>
  <c r="D2138" i="1"/>
  <c r="C2138" i="1"/>
  <c r="I2137" i="1"/>
  <c r="H2137" i="1"/>
  <c r="G2137" i="1"/>
  <c r="F2137" i="1"/>
  <c r="E2137" i="1"/>
  <c r="D2137" i="1"/>
  <c r="C2137" i="1"/>
  <c r="I2136" i="1"/>
  <c r="H2136" i="1"/>
  <c r="G2136" i="1"/>
  <c r="F2136" i="1"/>
  <c r="E2136" i="1"/>
  <c r="D2136" i="1"/>
  <c r="C2136" i="1"/>
  <c r="I2135" i="1"/>
  <c r="H2135" i="1"/>
  <c r="G2135" i="1"/>
  <c r="F2135" i="1"/>
  <c r="E2135" i="1"/>
  <c r="D2135" i="1"/>
  <c r="C2135" i="1"/>
  <c r="I2134" i="1"/>
  <c r="H2134" i="1"/>
  <c r="G2134" i="1"/>
  <c r="F2134" i="1"/>
  <c r="E2134" i="1"/>
  <c r="D2134" i="1"/>
  <c r="C2134" i="1"/>
  <c r="I2133" i="1"/>
  <c r="H2133" i="1"/>
  <c r="G2133" i="1"/>
  <c r="F2133" i="1"/>
  <c r="E2133" i="1"/>
  <c r="D2133" i="1"/>
  <c r="C2133" i="1"/>
  <c r="I2132" i="1"/>
  <c r="H2132" i="1"/>
  <c r="G2132" i="1"/>
  <c r="F2132" i="1"/>
  <c r="E2132" i="1"/>
  <c r="D2132" i="1"/>
  <c r="C2132" i="1"/>
  <c r="I2131" i="1"/>
  <c r="H2131" i="1"/>
  <c r="G2131" i="1"/>
  <c r="F2131" i="1"/>
  <c r="E2131" i="1"/>
  <c r="D2131" i="1"/>
  <c r="C2131" i="1"/>
  <c r="I2130" i="1"/>
  <c r="H2130" i="1"/>
  <c r="G2130" i="1"/>
  <c r="F2130" i="1"/>
  <c r="E2130" i="1"/>
  <c r="D2130" i="1"/>
  <c r="C2130" i="1"/>
  <c r="I2129" i="1"/>
  <c r="H2129" i="1"/>
  <c r="G2129" i="1"/>
  <c r="F2129" i="1"/>
  <c r="E2129" i="1"/>
  <c r="D2129" i="1"/>
  <c r="C2129" i="1"/>
  <c r="I2128" i="1"/>
  <c r="H2128" i="1"/>
  <c r="G2128" i="1"/>
  <c r="F2128" i="1"/>
  <c r="E2128" i="1"/>
  <c r="D2128" i="1"/>
  <c r="C2128" i="1"/>
  <c r="I2127" i="1"/>
  <c r="H2127" i="1"/>
  <c r="G2127" i="1"/>
  <c r="F2127" i="1"/>
  <c r="E2127" i="1"/>
  <c r="D2127" i="1"/>
  <c r="C2127" i="1"/>
  <c r="I2126" i="1"/>
  <c r="H2126" i="1"/>
  <c r="G2126" i="1"/>
  <c r="F2126" i="1"/>
  <c r="E2126" i="1"/>
  <c r="D2126" i="1"/>
  <c r="C2126" i="1"/>
  <c r="I2125" i="1"/>
  <c r="H2125" i="1"/>
  <c r="G2125" i="1"/>
  <c r="F2125" i="1"/>
  <c r="E2125" i="1"/>
  <c r="D2125" i="1"/>
  <c r="C2125" i="1"/>
  <c r="I2124" i="1"/>
  <c r="H2124" i="1"/>
  <c r="G2124" i="1"/>
  <c r="F2124" i="1"/>
  <c r="E2124" i="1"/>
  <c r="D2124" i="1"/>
  <c r="C2124" i="1"/>
  <c r="I2123" i="1"/>
  <c r="H2123" i="1"/>
  <c r="G2123" i="1"/>
  <c r="F2123" i="1"/>
  <c r="E2123" i="1"/>
  <c r="D2123" i="1"/>
  <c r="C2123" i="1"/>
  <c r="I2122" i="1"/>
  <c r="H2122" i="1"/>
  <c r="G2122" i="1"/>
  <c r="F2122" i="1"/>
  <c r="E2122" i="1"/>
  <c r="D2122" i="1"/>
  <c r="C2122" i="1"/>
  <c r="I2121" i="1"/>
  <c r="H2121" i="1"/>
  <c r="G2121" i="1"/>
  <c r="F2121" i="1"/>
  <c r="E2121" i="1"/>
  <c r="D2121" i="1"/>
  <c r="C2121" i="1"/>
  <c r="I2120" i="1"/>
  <c r="H2120" i="1"/>
  <c r="G2120" i="1"/>
  <c r="F2120" i="1"/>
  <c r="E2120" i="1"/>
  <c r="D2120" i="1"/>
  <c r="C2120" i="1"/>
  <c r="I2119" i="1"/>
  <c r="H2119" i="1"/>
  <c r="G2119" i="1"/>
  <c r="F2119" i="1"/>
  <c r="E2119" i="1"/>
  <c r="D2119" i="1"/>
  <c r="C2119" i="1"/>
  <c r="I2118" i="1"/>
  <c r="H2118" i="1"/>
  <c r="G2118" i="1"/>
  <c r="F2118" i="1"/>
  <c r="E2118" i="1"/>
  <c r="D2118" i="1"/>
  <c r="C2118" i="1"/>
  <c r="I2117" i="1"/>
  <c r="H2117" i="1"/>
  <c r="G2117" i="1"/>
  <c r="F2117" i="1"/>
  <c r="E2117" i="1"/>
  <c r="D2117" i="1"/>
  <c r="C2117" i="1"/>
  <c r="I2116" i="1"/>
  <c r="H2116" i="1"/>
  <c r="G2116" i="1"/>
  <c r="F2116" i="1"/>
  <c r="E2116" i="1"/>
  <c r="D2116" i="1"/>
  <c r="C2116" i="1"/>
  <c r="I2115" i="1"/>
  <c r="H2115" i="1"/>
  <c r="G2115" i="1"/>
  <c r="F2115" i="1"/>
  <c r="E2115" i="1"/>
  <c r="D2115" i="1"/>
  <c r="C2115" i="1"/>
  <c r="I2114" i="1"/>
  <c r="H2114" i="1"/>
  <c r="G2114" i="1"/>
  <c r="F2114" i="1"/>
  <c r="E2114" i="1"/>
  <c r="D2114" i="1"/>
  <c r="C2114" i="1"/>
  <c r="I2113" i="1"/>
  <c r="H2113" i="1"/>
  <c r="G2113" i="1"/>
  <c r="F2113" i="1"/>
  <c r="E2113" i="1"/>
  <c r="D2113" i="1"/>
  <c r="C2113" i="1"/>
  <c r="I2112" i="1"/>
  <c r="H2112" i="1"/>
  <c r="G2112" i="1"/>
  <c r="F2112" i="1"/>
  <c r="E2112" i="1"/>
  <c r="D2112" i="1"/>
  <c r="C2112" i="1"/>
  <c r="I2111" i="1"/>
  <c r="H2111" i="1"/>
  <c r="G2111" i="1"/>
  <c r="F2111" i="1"/>
  <c r="E2111" i="1"/>
  <c r="D2111" i="1"/>
  <c r="C2111" i="1"/>
  <c r="I2110" i="1"/>
  <c r="H2110" i="1"/>
  <c r="G2110" i="1"/>
  <c r="F2110" i="1"/>
  <c r="E2110" i="1"/>
  <c r="D2110" i="1"/>
  <c r="C2110" i="1"/>
  <c r="I2109" i="1"/>
  <c r="H2109" i="1"/>
  <c r="G2109" i="1"/>
  <c r="F2109" i="1"/>
  <c r="E2109" i="1"/>
  <c r="D2109" i="1"/>
  <c r="C2109" i="1"/>
  <c r="I2108" i="1"/>
  <c r="H2108" i="1"/>
  <c r="G2108" i="1"/>
  <c r="F2108" i="1"/>
  <c r="E2108" i="1"/>
  <c r="D2108" i="1"/>
  <c r="C2108" i="1"/>
  <c r="I2107" i="1"/>
  <c r="H2107" i="1"/>
  <c r="G2107" i="1"/>
  <c r="F2107" i="1"/>
  <c r="E2107" i="1"/>
  <c r="D2107" i="1"/>
  <c r="C2107" i="1"/>
  <c r="I2106" i="1"/>
  <c r="H2106" i="1"/>
  <c r="G2106" i="1"/>
  <c r="F2106" i="1"/>
  <c r="E2106" i="1"/>
  <c r="D2106" i="1"/>
  <c r="C2106" i="1"/>
  <c r="I2105" i="1"/>
  <c r="H2105" i="1"/>
  <c r="G2105" i="1"/>
  <c r="F2105" i="1"/>
  <c r="E2105" i="1"/>
  <c r="D2105" i="1"/>
  <c r="C2105" i="1"/>
  <c r="I2104" i="1"/>
  <c r="H2104" i="1"/>
  <c r="G2104" i="1"/>
  <c r="F2104" i="1"/>
  <c r="E2104" i="1"/>
  <c r="D2104" i="1"/>
  <c r="C2104" i="1"/>
  <c r="I2103" i="1"/>
  <c r="H2103" i="1"/>
  <c r="G2103" i="1"/>
  <c r="F2103" i="1"/>
  <c r="E2103" i="1"/>
  <c r="D2103" i="1"/>
  <c r="C2103" i="1"/>
  <c r="I2102" i="1"/>
  <c r="H2102" i="1"/>
  <c r="G2102" i="1"/>
  <c r="F2102" i="1"/>
  <c r="E2102" i="1"/>
  <c r="D2102" i="1"/>
  <c r="C2102" i="1"/>
  <c r="I2101" i="1"/>
  <c r="H2101" i="1"/>
  <c r="G2101" i="1"/>
  <c r="F2101" i="1"/>
  <c r="E2101" i="1"/>
  <c r="D2101" i="1"/>
  <c r="C2101" i="1"/>
  <c r="I2100" i="1"/>
  <c r="H2100" i="1"/>
  <c r="G2100" i="1"/>
  <c r="F2100" i="1"/>
  <c r="E2100" i="1"/>
  <c r="D2100" i="1"/>
  <c r="C2100" i="1"/>
  <c r="I2099" i="1"/>
  <c r="H2099" i="1"/>
  <c r="G2099" i="1"/>
  <c r="F2099" i="1"/>
  <c r="E2099" i="1"/>
  <c r="D2099" i="1"/>
  <c r="C2099" i="1"/>
  <c r="I2098" i="1"/>
  <c r="H2098" i="1"/>
  <c r="G2098" i="1"/>
  <c r="F2098" i="1"/>
  <c r="E2098" i="1"/>
  <c r="D2098" i="1"/>
  <c r="C2098" i="1"/>
  <c r="I2097" i="1"/>
  <c r="H2097" i="1"/>
  <c r="G2097" i="1"/>
  <c r="F2097" i="1"/>
  <c r="E2097" i="1"/>
  <c r="D2097" i="1"/>
  <c r="C2097" i="1"/>
  <c r="I2096" i="1"/>
  <c r="H2096" i="1"/>
  <c r="G2096" i="1"/>
  <c r="F2096" i="1"/>
  <c r="E2096" i="1"/>
  <c r="D2096" i="1"/>
  <c r="C2096" i="1"/>
  <c r="I2095" i="1"/>
  <c r="H2095" i="1"/>
  <c r="G2095" i="1"/>
  <c r="F2095" i="1"/>
  <c r="E2095" i="1"/>
  <c r="D2095" i="1"/>
  <c r="C2095" i="1"/>
  <c r="I2094" i="1"/>
  <c r="H2094" i="1"/>
  <c r="G2094" i="1"/>
  <c r="F2094" i="1"/>
  <c r="E2094" i="1"/>
  <c r="D2094" i="1"/>
  <c r="C2094" i="1"/>
  <c r="I2093" i="1"/>
  <c r="H2093" i="1"/>
  <c r="G2093" i="1"/>
  <c r="F2093" i="1"/>
  <c r="E2093" i="1"/>
  <c r="D2093" i="1"/>
  <c r="C2093" i="1"/>
  <c r="I2092" i="1"/>
  <c r="H2092" i="1"/>
  <c r="G2092" i="1"/>
  <c r="F2092" i="1"/>
  <c r="E2092" i="1"/>
  <c r="D2092" i="1"/>
  <c r="C2092" i="1"/>
  <c r="I2091" i="1"/>
  <c r="H2091" i="1"/>
  <c r="G2091" i="1"/>
  <c r="F2091" i="1"/>
  <c r="E2091" i="1"/>
  <c r="D2091" i="1"/>
  <c r="C2091" i="1"/>
  <c r="I2090" i="1"/>
  <c r="H2090" i="1"/>
  <c r="G2090" i="1"/>
  <c r="F2090" i="1"/>
  <c r="E2090" i="1"/>
  <c r="D2090" i="1"/>
  <c r="C2090" i="1"/>
  <c r="I2089" i="1"/>
  <c r="H2089" i="1"/>
  <c r="G2089" i="1"/>
  <c r="F2089" i="1"/>
  <c r="E2089" i="1"/>
  <c r="D2089" i="1"/>
  <c r="C2089" i="1"/>
  <c r="I2088" i="1"/>
  <c r="H2088" i="1"/>
  <c r="G2088" i="1"/>
  <c r="F2088" i="1"/>
  <c r="E2088" i="1"/>
  <c r="D2088" i="1"/>
  <c r="C2088" i="1"/>
  <c r="I2087" i="1"/>
  <c r="H2087" i="1"/>
  <c r="G2087" i="1"/>
  <c r="F2087" i="1"/>
  <c r="E2087" i="1"/>
  <c r="D2087" i="1"/>
  <c r="C2087" i="1"/>
  <c r="I2086" i="1"/>
  <c r="H2086" i="1"/>
  <c r="G2086" i="1"/>
  <c r="F2086" i="1"/>
  <c r="E2086" i="1"/>
  <c r="D2086" i="1"/>
  <c r="C2086" i="1"/>
  <c r="I2085" i="1"/>
  <c r="H2085" i="1"/>
  <c r="G2085" i="1"/>
  <c r="F2085" i="1"/>
  <c r="E2085" i="1"/>
  <c r="D2085" i="1"/>
  <c r="C2085" i="1"/>
  <c r="I2084" i="1"/>
  <c r="H2084" i="1"/>
  <c r="G2084" i="1"/>
  <c r="F2084" i="1"/>
  <c r="E2084" i="1"/>
  <c r="D2084" i="1"/>
  <c r="C2084" i="1"/>
  <c r="I2083" i="1"/>
  <c r="H2083" i="1"/>
  <c r="G2083" i="1"/>
  <c r="F2083" i="1"/>
  <c r="E2083" i="1"/>
  <c r="D2083" i="1"/>
  <c r="C2083" i="1"/>
  <c r="I2082" i="1"/>
  <c r="H2082" i="1"/>
  <c r="G2082" i="1"/>
  <c r="F2082" i="1"/>
  <c r="E2082" i="1"/>
  <c r="D2082" i="1"/>
  <c r="C2082" i="1"/>
  <c r="I2081" i="1"/>
  <c r="H2081" i="1"/>
  <c r="G2081" i="1"/>
  <c r="F2081" i="1"/>
  <c r="E2081" i="1"/>
  <c r="D2081" i="1"/>
  <c r="C2081" i="1"/>
  <c r="I2080" i="1"/>
  <c r="H2080" i="1"/>
  <c r="G2080" i="1"/>
  <c r="F2080" i="1"/>
  <c r="E2080" i="1"/>
  <c r="D2080" i="1"/>
  <c r="C2080" i="1"/>
  <c r="I2079" i="1"/>
  <c r="H2079" i="1"/>
  <c r="G2079" i="1"/>
  <c r="F2079" i="1"/>
  <c r="E2079" i="1"/>
  <c r="D2079" i="1"/>
  <c r="C2079" i="1"/>
  <c r="I2078" i="1"/>
  <c r="H2078" i="1"/>
  <c r="G2078" i="1"/>
  <c r="F2078" i="1"/>
  <c r="E2078" i="1"/>
  <c r="D2078" i="1"/>
  <c r="C2078" i="1"/>
  <c r="I2077" i="1"/>
  <c r="H2077" i="1"/>
  <c r="G2077" i="1"/>
  <c r="F2077" i="1"/>
  <c r="E2077" i="1"/>
  <c r="D2077" i="1"/>
  <c r="C2077" i="1"/>
  <c r="I2076" i="1"/>
  <c r="H2076" i="1"/>
  <c r="G2076" i="1"/>
  <c r="F2076" i="1"/>
  <c r="E2076" i="1"/>
  <c r="D2076" i="1"/>
  <c r="C2076" i="1"/>
  <c r="I2075" i="1"/>
  <c r="H2075" i="1"/>
  <c r="G2075" i="1"/>
  <c r="F2075" i="1"/>
  <c r="E2075" i="1"/>
  <c r="D2075" i="1"/>
  <c r="C2075" i="1"/>
  <c r="I2074" i="1"/>
  <c r="H2074" i="1"/>
  <c r="G2074" i="1"/>
  <c r="F2074" i="1"/>
  <c r="E2074" i="1"/>
  <c r="D2074" i="1"/>
  <c r="C2074" i="1"/>
  <c r="I2073" i="1"/>
  <c r="H2073" i="1"/>
  <c r="G2073" i="1"/>
  <c r="F2073" i="1"/>
  <c r="E2073" i="1"/>
  <c r="D2073" i="1"/>
  <c r="C2073" i="1"/>
  <c r="I2072" i="1"/>
  <c r="H2072" i="1"/>
  <c r="G2072" i="1"/>
  <c r="F2072" i="1"/>
  <c r="E2072" i="1"/>
  <c r="D2072" i="1"/>
  <c r="C2072" i="1"/>
  <c r="I2071" i="1"/>
  <c r="H2071" i="1"/>
  <c r="G2071" i="1"/>
  <c r="F2071" i="1"/>
  <c r="E2071" i="1"/>
  <c r="D2071" i="1"/>
  <c r="C2071" i="1"/>
  <c r="I2070" i="1"/>
  <c r="H2070" i="1"/>
  <c r="G2070" i="1"/>
  <c r="F2070" i="1"/>
  <c r="E2070" i="1"/>
  <c r="D2070" i="1"/>
  <c r="C2070" i="1"/>
  <c r="I2069" i="1"/>
  <c r="H2069" i="1"/>
  <c r="G2069" i="1"/>
  <c r="F2069" i="1"/>
  <c r="E2069" i="1"/>
  <c r="D2069" i="1"/>
  <c r="C2069" i="1"/>
  <c r="I2068" i="1"/>
  <c r="H2068" i="1"/>
  <c r="G2068" i="1"/>
  <c r="F2068" i="1"/>
  <c r="E2068" i="1"/>
  <c r="D2068" i="1"/>
  <c r="C2068" i="1"/>
  <c r="I2067" i="1"/>
  <c r="H2067" i="1"/>
  <c r="G2067" i="1"/>
  <c r="F2067" i="1"/>
  <c r="E2067" i="1"/>
  <c r="D2067" i="1"/>
  <c r="C2067" i="1"/>
  <c r="I2066" i="1"/>
  <c r="H2066" i="1"/>
  <c r="G2066" i="1"/>
  <c r="F2066" i="1"/>
  <c r="E2066" i="1"/>
  <c r="D2066" i="1"/>
  <c r="C2066" i="1"/>
  <c r="I2065" i="1"/>
  <c r="H2065" i="1"/>
  <c r="G2065" i="1"/>
  <c r="F2065" i="1"/>
  <c r="E2065" i="1"/>
  <c r="D2065" i="1"/>
  <c r="C2065" i="1"/>
  <c r="I2064" i="1"/>
  <c r="H2064" i="1"/>
  <c r="G2064" i="1"/>
  <c r="F2064" i="1"/>
  <c r="E2064" i="1"/>
  <c r="D2064" i="1"/>
  <c r="C2064" i="1"/>
  <c r="I2063" i="1"/>
  <c r="H2063" i="1"/>
  <c r="G2063" i="1"/>
  <c r="F2063" i="1"/>
  <c r="E2063" i="1"/>
  <c r="D2063" i="1"/>
  <c r="C2063" i="1"/>
  <c r="I2062" i="1"/>
  <c r="H2062" i="1"/>
  <c r="G2062" i="1"/>
  <c r="F2062" i="1"/>
  <c r="E2062" i="1"/>
  <c r="D2062" i="1"/>
  <c r="C2062" i="1"/>
  <c r="I2061" i="1"/>
  <c r="H2061" i="1"/>
  <c r="G2061" i="1"/>
  <c r="F2061" i="1"/>
  <c r="E2061" i="1"/>
  <c r="D2061" i="1"/>
  <c r="C2061" i="1"/>
  <c r="I2060" i="1"/>
  <c r="H2060" i="1"/>
  <c r="G2060" i="1"/>
  <c r="F2060" i="1"/>
  <c r="E2060" i="1"/>
  <c r="D2060" i="1"/>
  <c r="C2060" i="1"/>
  <c r="I2059" i="1"/>
  <c r="H2059" i="1"/>
  <c r="G2059" i="1"/>
  <c r="F2059" i="1"/>
  <c r="E2059" i="1"/>
  <c r="D2059" i="1"/>
  <c r="C2059" i="1"/>
  <c r="I2058" i="1"/>
  <c r="H2058" i="1"/>
  <c r="G2058" i="1"/>
  <c r="F2058" i="1"/>
  <c r="E2058" i="1"/>
  <c r="D2058" i="1"/>
  <c r="C2058" i="1"/>
  <c r="I2057" i="1"/>
  <c r="H2057" i="1"/>
  <c r="G2057" i="1"/>
  <c r="F2057" i="1"/>
  <c r="E2057" i="1"/>
  <c r="D2057" i="1"/>
  <c r="C2057" i="1"/>
  <c r="I2056" i="1"/>
  <c r="H2056" i="1"/>
  <c r="G2056" i="1"/>
  <c r="F2056" i="1"/>
  <c r="E2056" i="1"/>
  <c r="D2056" i="1"/>
  <c r="C2056" i="1"/>
  <c r="I2055" i="1"/>
  <c r="H2055" i="1"/>
  <c r="G2055" i="1"/>
  <c r="F2055" i="1"/>
  <c r="E2055" i="1"/>
  <c r="D2055" i="1"/>
  <c r="C2055" i="1"/>
  <c r="I2054" i="1"/>
  <c r="H2054" i="1"/>
  <c r="G2054" i="1"/>
  <c r="F2054" i="1"/>
  <c r="E2054" i="1"/>
  <c r="D2054" i="1"/>
  <c r="C2054" i="1"/>
  <c r="I2053" i="1"/>
  <c r="H2053" i="1"/>
  <c r="G2053" i="1"/>
  <c r="F2053" i="1"/>
  <c r="E2053" i="1"/>
  <c r="D2053" i="1"/>
  <c r="C2053" i="1"/>
  <c r="I2052" i="1"/>
  <c r="H2052" i="1"/>
  <c r="G2052" i="1"/>
  <c r="F2052" i="1"/>
  <c r="E2052" i="1"/>
  <c r="D2052" i="1"/>
  <c r="C2052" i="1"/>
  <c r="I2051" i="1"/>
  <c r="H2051" i="1"/>
  <c r="G2051" i="1"/>
  <c r="F2051" i="1"/>
  <c r="E2051" i="1"/>
  <c r="D2051" i="1"/>
  <c r="C2051" i="1"/>
  <c r="I2050" i="1"/>
  <c r="H2050" i="1"/>
  <c r="G2050" i="1"/>
  <c r="F2050" i="1"/>
  <c r="E2050" i="1"/>
  <c r="D2050" i="1"/>
  <c r="C2050" i="1"/>
  <c r="I2049" i="1"/>
  <c r="H2049" i="1"/>
  <c r="G2049" i="1"/>
  <c r="F2049" i="1"/>
  <c r="E2049" i="1"/>
  <c r="D2049" i="1"/>
  <c r="C2049" i="1"/>
  <c r="I2048" i="1"/>
  <c r="H2048" i="1"/>
  <c r="G2048" i="1"/>
  <c r="F2048" i="1"/>
  <c r="E2048" i="1"/>
  <c r="D2048" i="1"/>
  <c r="C2048" i="1"/>
  <c r="I2047" i="1"/>
  <c r="H2047" i="1"/>
  <c r="G2047" i="1"/>
  <c r="F2047" i="1"/>
  <c r="E2047" i="1"/>
  <c r="D2047" i="1"/>
  <c r="C2047" i="1"/>
  <c r="I2046" i="1"/>
  <c r="H2046" i="1"/>
  <c r="G2046" i="1"/>
  <c r="F2046" i="1"/>
  <c r="E2046" i="1"/>
  <c r="D2046" i="1"/>
  <c r="C2046" i="1"/>
  <c r="I2045" i="1"/>
  <c r="H2045" i="1"/>
  <c r="G2045" i="1"/>
  <c r="F2045" i="1"/>
  <c r="E2045" i="1"/>
  <c r="D2045" i="1"/>
  <c r="C2045" i="1"/>
  <c r="I2044" i="1"/>
  <c r="H2044" i="1"/>
  <c r="G2044" i="1"/>
  <c r="F2044" i="1"/>
  <c r="E2044" i="1"/>
  <c r="D2044" i="1"/>
  <c r="C2044" i="1"/>
  <c r="I2043" i="1"/>
  <c r="H2043" i="1"/>
  <c r="G2043" i="1"/>
  <c r="F2043" i="1"/>
  <c r="E2043" i="1"/>
  <c r="D2043" i="1"/>
  <c r="C2043" i="1"/>
  <c r="I2042" i="1"/>
  <c r="H2042" i="1"/>
  <c r="G2042" i="1"/>
  <c r="F2042" i="1"/>
  <c r="E2042" i="1"/>
  <c r="D2042" i="1"/>
  <c r="C2042" i="1"/>
  <c r="I2041" i="1"/>
  <c r="H2041" i="1"/>
  <c r="G2041" i="1"/>
  <c r="F2041" i="1"/>
  <c r="E2041" i="1"/>
  <c r="D2041" i="1"/>
  <c r="C2041" i="1"/>
  <c r="I2040" i="1"/>
  <c r="H2040" i="1"/>
  <c r="G2040" i="1"/>
  <c r="F2040" i="1"/>
  <c r="E2040" i="1"/>
  <c r="D2040" i="1"/>
  <c r="C2040" i="1"/>
  <c r="I2039" i="1"/>
  <c r="H2039" i="1"/>
  <c r="G2039" i="1"/>
  <c r="F2039" i="1"/>
  <c r="E2039" i="1"/>
  <c r="D2039" i="1"/>
  <c r="C2039" i="1"/>
  <c r="I2038" i="1"/>
  <c r="H2038" i="1"/>
  <c r="G2038" i="1"/>
  <c r="F2038" i="1"/>
  <c r="E2038" i="1"/>
  <c r="D2038" i="1"/>
  <c r="C2038" i="1"/>
  <c r="I2037" i="1"/>
  <c r="H2037" i="1"/>
  <c r="G2037" i="1"/>
  <c r="F2037" i="1"/>
  <c r="E2037" i="1"/>
  <c r="D2037" i="1"/>
  <c r="C2037" i="1"/>
  <c r="I2036" i="1"/>
  <c r="H2036" i="1"/>
  <c r="G2036" i="1"/>
  <c r="F2036" i="1"/>
  <c r="E2036" i="1"/>
  <c r="D2036" i="1"/>
  <c r="C2036" i="1"/>
  <c r="I2035" i="1"/>
  <c r="H2035" i="1"/>
  <c r="G2035" i="1"/>
  <c r="F2035" i="1"/>
  <c r="E2035" i="1"/>
  <c r="D2035" i="1"/>
  <c r="C2035" i="1"/>
  <c r="I2034" i="1"/>
  <c r="H2034" i="1"/>
  <c r="G2034" i="1"/>
  <c r="F2034" i="1"/>
  <c r="E2034" i="1"/>
  <c r="D2034" i="1"/>
  <c r="C2034" i="1"/>
  <c r="I2033" i="1"/>
  <c r="H2033" i="1"/>
  <c r="G2033" i="1"/>
  <c r="F2033" i="1"/>
  <c r="E2033" i="1"/>
  <c r="D2033" i="1"/>
  <c r="C2033" i="1"/>
  <c r="I2032" i="1"/>
  <c r="H2032" i="1"/>
  <c r="G2032" i="1"/>
  <c r="F2032" i="1"/>
  <c r="E2032" i="1"/>
  <c r="D2032" i="1"/>
  <c r="C2032" i="1"/>
  <c r="I2031" i="1"/>
  <c r="H2031" i="1"/>
  <c r="G2031" i="1"/>
  <c r="F2031" i="1"/>
  <c r="E2031" i="1"/>
  <c r="D2031" i="1"/>
  <c r="C2031" i="1"/>
  <c r="I2030" i="1"/>
  <c r="H2030" i="1"/>
  <c r="G2030" i="1"/>
  <c r="F2030" i="1"/>
  <c r="E2030" i="1"/>
  <c r="D2030" i="1"/>
  <c r="C2030" i="1"/>
  <c r="I2029" i="1"/>
  <c r="H2029" i="1"/>
  <c r="G2029" i="1"/>
  <c r="F2029" i="1"/>
  <c r="E2029" i="1"/>
  <c r="D2029" i="1"/>
  <c r="C2029" i="1"/>
  <c r="I2028" i="1"/>
  <c r="H2028" i="1"/>
  <c r="G2028" i="1"/>
  <c r="F2028" i="1"/>
  <c r="E2028" i="1"/>
  <c r="D2028" i="1"/>
  <c r="C2028" i="1"/>
  <c r="I2027" i="1"/>
  <c r="H2027" i="1"/>
  <c r="G2027" i="1"/>
  <c r="F2027" i="1"/>
  <c r="E2027" i="1"/>
  <c r="D2027" i="1"/>
  <c r="C2027" i="1"/>
  <c r="I2026" i="1"/>
  <c r="H2026" i="1"/>
  <c r="G2026" i="1"/>
  <c r="F2026" i="1"/>
  <c r="E2026" i="1"/>
  <c r="D2026" i="1"/>
  <c r="C2026" i="1"/>
  <c r="I2025" i="1"/>
  <c r="H2025" i="1"/>
  <c r="G2025" i="1"/>
  <c r="F2025" i="1"/>
  <c r="E2025" i="1"/>
  <c r="D2025" i="1"/>
  <c r="C2025" i="1"/>
  <c r="I2024" i="1"/>
  <c r="H2024" i="1"/>
  <c r="G2024" i="1"/>
  <c r="F2024" i="1"/>
  <c r="E2024" i="1"/>
  <c r="D2024" i="1"/>
  <c r="C2024" i="1"/>
  <c r="I2023" i="1"/>
  <c r="H2023" i="1"/>
  <c r="G2023" i="1"/>
  <c r="F2023" i="1"/>
  <c r="E2023" i="1"/>
  <c r="D2023" i="1"/>
  <c r="C2023" i="1"/>
  <c r="I2022" i="1"/>
  <c r="H2022" i="1"/>
  <c r="G2022" i="1"/>
  <c r="F2022" i="1"/>
  <c r="E2022" i="1"/>
  <c r="D2022" i="1"/>
  <c r="C2022" i="1"/>
  <c r="I2021" i="1"/>
  <c r="H2021" i="1"/>
  <c r="G2021" i="1"/>
  <c r="F2021" i="1"/>
  <c r="E2021" i="1"/>
  <c r="D2021" i="1"/>
  <c r="C2021" i="1"/>
  <c r="I2020" i="1"/>
  <c r="H2020" i="1"/>
  <c r="G2020" i="1"/>
  <c r="F2020" i="1"/>
  <c r="E2020" i="1"/>
  <c r="D2020" i="1"/>
  <c r="C2020" i="1"/>
  <c r="I2019" i="1"/>
  <c r="H2019" i="1"/>
  <c r="G2019" i="1"/>
  <c r="F2019" i="1"/>
  <c r="E2019" i="1"/>
  <c r="D2019" i="1"/>
  <c r="C2019" i="1"/>
  <c r="I2018" i="1"/>
  <c r="H2018" i="1"/>
  <c r="G2018" i="1"/>
  <c r="F2018" i="1"/>
  <c r="E2018" i="1"/>
  <c r="D2018" i="1"/>
  <c r="C2018" i="1"/>
  <c r="I2017" i="1"/>
  <c r="H2017" i="1"/>
  <c r="G2017" i="1"/>
  <c r="F2017" i="1"/>
  <c r="E2017" i="1"/>
  <c r="D2017" i="1"/>
  <c r="C2017" i="1"/>
  <c r="I2016" i="1"/>
  <c r="H2016" i="1"/>
  <c r="G2016" i="1"/>
  <c r="F2016" i="1"/>
  <c r="E2016" i="1"/>
  <c r="D2016" i="1"/>
  <c r="C2016" i="1"/>
  <c r="I2015" i="1"/>
  <c r="H2015" i="1"/>
  <c r="G2015" i="1"/>
  <c r="F2015" i="1"/>
  <c r="E2015" i="1"/>
  <c r="D2015" i="1"/>
  <c r="C2015" i="1"/>
  <c r="I2014" i="1"/>
  <c r="H2014" i="1"/>
  <c r="G2014" i="1"/>
  <c r="F2014" i="1"/>
  <c r="E2014" i="1"/>
  <c r="D2014" i="1"/>
  <c r="C2014" i="1"/>
  <c r="I2013" i="1"/>
  <c r="H2013" i="1"/>
  <c r="G2013" i="1"/>
  <c r="F2013" i="1"/>
  <c r="E2013" i="1"/>
  <c r="D2013" i="1"/>
  <c r="C2013" i="1"/>
  <c r="I2012" i="1"/>
  <c r="H2012" i="1"/>
  <c r="G2012" i="1"/>
  <c r="F2012" i="1"/>
  <c r="E2012" i="1"/>
  <c r="D2012" i="1"/>
  <c r="C2012" i="1"/>
  <c r="I2011" i="1"/>
  <c r="H2011" i="1"/>
  <c r="G2011" i="1"/>
  <c r="F2011" i="1"/>
  <c r="E2011" i="1"/>
  <c r="D2011" i="1"/>
  <c r="C2011" i="1"/>
  <c r="I2010" i="1"/>
  <c r="H2010" i="1"/>
  <c r="G2010" i="1"/>
  <c r="F2010" i="1"/>
  <c r="E2010" i="1"/>
  <c r="D2010" i="1"/>
  <c r="C2010" i="1"/>
  <c r="I2009" i="1"/>
  <c r="H2009" i="1"/>
  <c r="G2009" i="1"/>
  <c r="F2009" i="1"/>
  <c r="E2009" i="1"/>
  <c r="D2009" i="1"/>
  <c r="C2009" i="1"/>
  <c r="I2008" i="1"/>
  <c r="H2008" i="1"/>
  <c r="G2008" i="1"/>
  <c r="F2008" i="1"/>
  <c r="E2008" i="1"/>
  <c r="D2008" i="1"/>
  <c r="C2008" i="1"/>
  <c r="I2007" i="1"/>
  <c r="H2007" i="1"/>
  <c r="G2007" i="1"/>
  <c r="F2007" i="1"/>
  <c r="E2007" i="1"/>
  <c r="D2007" i="1"/>
  <c r="C2007" i="1"/>
  <c r="I2006" i="1"/>
  <c r="H2006" i="1"/>
  <c r="G2006" i="1"/>
  <c r="F2006" i="1"/>
  <c r="E2006" i="1"/>
  <c r="D2006" i="1"/>
  <c r="C2006" i="1"/>
  <c r="I2005" i="1"/>
  <c r="H2005" i="1"/>
  <c r="G2005" i="1"/>
  <c r="F2005" i="1"/>
  <c r="E2005" i="1"/>
  <c r="D2005" i="1"/>
  <c r="C2005" i="1"/>
  <c r="I2004" i="1"/>
  <c r="H2004" i="1"/>
  <c r="G2004" i="1"/>
  <c r="F2004" i="1"/>
  <c r="E2004" i="1"/>
  <c r="D2004" i="1"/>
  <c r="C2004" i="1"/>
  <c r="I2003" i="1"/>
  <c r="H2003" i="1"/>
  <c r="G2003" i="1"/>
  <c r="F2003" i="1"/>
  <c r="E2003" i="1"/>
  <c r="D2003" i="1"/>
  <c r="C2003" i="1"/>
  <c r="I2002" i="1"/>
  <c r="H2002" i="1"/>
  <c r="G2002" i="1"/>
  <c r="F2002" i="1"/>
  <c r="E2002" i="1"/>
  <c r="D2002" i="1"/>
  <c r="C2002" i="1"/>
  <c r="I2001" i="1"/>
  <c r="H2001" i="1"/>
  <c r="G2001" i="1"/>
  <c r="F2001" i="1"/>
  <c r="E2001" i="1"/>
  <c r="D2001" i="1"/>
  <c r="C2001" i="1"/>
  <c r="I2000" i="1"/>
  <c r="H2000" i="1"/>
  <c r="G2000" i="1"/>
  <c r="F2000" i="1"/>
  <c r="E2000" i="1"/>
  <c r="D2000" i="1"/>
  <c r="C2000" i="1"/>
  <c r="I1999" i="1"/>
  <c r="H1999" i="1"/>
  <c r="G1999" i="1"/>
  <c r="F1999" i="1"/>
  <c r="E1999" i="1"/>
  <c r="D1999" i="1"/>
  <c r="C1999" i="1"/>
  <c r="I1998" i="1"/>
  <c r="H1998" i="1"/>
  <c r="G1998" i="1"/>
  <c r="F1998" i="1"/>
  <c r="E1998" i="1"/>
  <c r="D1998" i="1"/>
  <c r="C1998" i="1"/>
  <c r="I1997" i="1"/>
  <c r="H1997" i="1"/>
  <c r="G1997" i="1"/>
  <c r="F1997" i="1"/>
  <c r="E1997" i="1"/>
  <c r="D1997" i="1"/>
  <c r="C1997" i="1"/>
  <c r="I1996" i="1"/>
  <c r="H1996" i="1"/>
  <c r="G1996" i="1"/>
  <c r="F1996" i="1"/>
  <c r="E1996" i="1"/>
  <c r="D1996" i="1"/>
  <c r="C1996" i="1"/>
  <c r="I1995" i="1"/>
  <c r="H1995" i="1"/>
  <c r="G1995" i="1"/>
  <c r="F1995" i="1"/>
  <c r="E1995" i="1"/>
  <c r="D1995" i="1"/>
  <c r="C1995" i="1"/>
  <c r="I1994" i="1"/>
  <c r="H1994" i="1"/>
  <c r="G1994" i="1"/>
  <c r="F1994" i="1"/>
  <c r="E1994" i="1"/>
  <c r="D1994" i="1"/>
  <c r="C1994" i="1"/>
  <c r="I1993" i="1"/>
  <c r="H1993" i="1"/>
  <c r="G1993" i="1"/>
  <c r="F1993" i="1"/>
  <c r="E1993" i="1"/>
  <c r="D1993" i="1"/>
  <c r="C1993" i="1"/>
  <c r="I1992" i="1"/>
  <c r="H1992" i="1"/>
  <c r="G1992" i="1"/>
  <c r="F1992" i="1"/>
  <c r="E1992" i="1"/>
  <c r="D1992" i="1"/>
  <c r="C1992" i="1"/>
  <c r="I1991" i="1"/>
  <c r="H1991" i="1"/>
  <c r="G1991" i="1"/>
  <c r="F1991" i="1"/>
  <c r="E1991" i="1"/>
  <c r="D1991" i="1"/>
  <c r="C1991" i="1"/>
  <c r="I1990" i="1"/>
  <c r="H1990" i="1"/>
  <c r="G1990" i="1"/>
  <c r="F1990" i="1"/>
  <c r="E1990" i="1"/>
  <c r="D1990" i="1"/>
  <c r="C1990" i="1"/>
  <c r="I1989" i="1"/>
  <c r="H1989" i="1"/>
  <c r="G1989" i="1"/>
  <c r="F1989" i="1"/>
  <c r="E1989" i="1"/>
  <c r="D1989" i="1"/>
  <c r="C1989" i="1"/>
  <c r="I1988" i="1"/>
  <c r="H1988" i="1"/>
  <c r="G1988" i="1"/>
  <c r="F1988" i="1"/>
  <c r="E1988" i="1"/>
  <c r="D1988" i="1"/>
  <c r="C1988" i="1"/>
  <c r="I1987" i="1"/>
  <c r="H1987" i="1"/>
  <c r="G1987" i="1"/>
  <c r="F1987" i="1"/>
  <c r="E1987" i="1"/>
  <c r="D1987" i="1"/>
  <c r="C1987" i="1"/>
  <c r="I1986" i="1"/>
  <c r="H1986" i="1"/>
  <c r="G1986" i="1"/>
  <c r="F1986" i="1"/>
  <c r="E1986" i="1"/>
  <c r="D1986" i="1"/>
  <c r="C1986" i="1"/>
  <c r="I1985" i="1"/>
  <c r="H1985" i="1"/>
  <c r="G1985" i="1"/>
  <c r="F1985" i="1"/>
  <c r="E1985" i="1"/>
  <c r="D1985" i="1"/>
  <c r="C1985" i="1"/>
  <c r="I1984" i="1"/>
  <c r="H1984" i="1"/>
  <c r="G1984" i="1"/>
  <c r="F1984" i="1"/>
  <c r="E1984" i="1"/>
  <c r="D1984" i="1"/>
  <c r="C1984" i="1"/>
  <c r="I1983" i="1"/>
  <c r="H1983" i="1"/>
  <c r="G1983" i="1"/>
  <c r="F1983" i="1"/>
  <c r="E1983" i="1"/>
  <c r="D1983" i="1"/>
  <c r="C1983" i="1"/>
  <c r="I1982" i="1"/>
  <c r="H1982" i="1"/>
  <c r="G1982" i="1"/>
  <c r="F1982" i="1"/>
  <c r="E1982" i="1"/>
  <c r="D1982" i="1"/>
  <c r="C1982" i="1"/>
  <c r="I1981" i="1"/>
  <c r="H1981" i="1"/>
  <c r="G1981" i="1"/>
  <c r="F1981" i="1"/>
  <c r="E1981" i="1"/>
  <c r="D1981" i="1"/>
  <c r="C1981" i="1"/>
  <c r="I1980" i="1"/>
  <c r="H1980" i="1"/>
  <c r="G1980" i="1"/>
  <c r="F1980" i="1"/>
  <c r="E1980" i="1"/>
  <c r="D1980" i="1"/>
  <c r="C1980" i="1"/>
  <c r="I1979" i="1"/>
  <c r="H1979" i="1"/>
  <c r="G1979" i="1"/>
  <c r="F1979" i="1"/>
  <c r="E1979" i="1"/>
  <c r="D1979" i="1"/>
  <c r="C1979" i="1"/>
  <c r="I1978" i="1"/>
  <c r="H1978" i="1"/>
  <c r="G1978" i="1"/>
  <c r="F1978" i="1"/>
  <c r="E1978" i="1"/>
  <c r="D1978" i="1"/>
  <c r="C1978" i="1"/>
  <c r="I1977" i="1"/>
  <c r="H1977" i="1"/>
  <c r="G1977" i="1"/>
  <c r="F1977" i="1"/>
  <c r="E1977" i="1"/>
  <c r="D1977" i="1"/>
  <c r="C1977" i="1"/>
  <c r="I1976" i="1"/>
  <c r="H1976" i="1"/>
  <c r="G1976" i="1"/>
  <c r="F1976" i="1"/>
  <c r="E1976" i="1"/>
  <c r="D1976" i="1"/>
  <c r="C1976" i="1"/>
  <c r="I1975" i="1"/>
  <c r="H1975" i="1"/>
  <c r="G1975" i="1"/>
  <c r="F1975" i="1"/>
  <c r="E1975" i="1"/>
  <c r="D1975" i="1"/>
  <c r="C1975" i="1"/>
  <c r="I1974" i="1"/>
  <c r="H1974" i="1"/>
  <c r="G1974" i="1"/>
  <c r="F1974" i="1"/>
  <c r="E1974" i="1"/>
  <c r="D1974" i="1"/>
  <c r="C1974" i="1"/>
  <c r="I1973" i="1"/>
  <c r="H1973" i="1"/>
  <c r="G1973" i="1"/>
  <c r="F1973" i="1"/>
  <c r="E1973" i="1"/>
  <c r="D1973" i="1"/>
  <c r="C1973" i="1"/>
  <c r="I1972" i="1"/>
  <c r="H1972" i="1"/>
  <c r="G1972" i="1"/>
  <c r="F1972" i="1"/>
  <c r="E1972" i="1"/>
  <c r="D1972" i="1"/>
  <c r="C1972" i="1"/>
  <c r="I1971" i="1"/>
  <c r="H1971" i="1"/>
  <c r="G1971" i="1"/>
  <c r="F1971" i="1"/>
  <c r="E1971" i="1"/>
  <c r="D1971" i="1"/>
  <c r="C1971" i="1"/>
  <c r="I1970" i="1"/>
  <c r="H1970" i="1"/>
  <c r="G1970" i="1"/>
  <c r="F1970" i="1"/>
  <c r="E1970" i="1"/>
  <c r="D1970" i="1"/>
  <c r="C1970" i="1"/>
  <c r="I1969" i="1"/>
  <c r="H1969" i="1"/>
  <c r="G1969" i="1"/>
  <c r="F1969" i="1"/>
  <c r="E1969" i="1"/>
  <c r="D1969" i="1"/>
  <c r="C1969" i="1"/>
  <c r="I1968" i="1"/>
  <c r="H1968" i="1"/>
  <c r="G1968" i="1"/>
  <c r="F1968" i="1"/>
  <c r="E1968" i="1"/>
  <c r="D1968" i="1"/>
  <c r="C1968" i="1"/>
  <c r="I1967" i="1"/>
  <c r="H1967" i="1"/>
  <c r="G1967" i="1"/>
  <c r="F1967" i="1"/>
  <c r="E1967" i="1"/>
  <c r="D1967" i="1"/>
  <c r="C1967" i="1"/>
  <c r="I1966" i="1"/>
  <c r="H1966" i="1"/>
  <c r="G1966" i="1"/>
  <c r="F1966" i="1"/>
  <c r="E1966" i="1"/>
  <c r="D1966" i="1"/>
  <c r="C1966" i="1"/>
  <c r="I1965" i="1"/>
  <c r="H1965" i="1"/>
  <c r="G1965" i="1"/>
  <c r="F1965" i="1"/>
  <c r="E1965" i="1"/>
  <c r="D1965" i="1"/>
  <c r="C1965" i="1"/>
  <c r="I1964" i="1"/>
  <c r="H1964" i="1"/>
  <c r="G1964" i="1"/>
  <c r="F1964" i="1"/>
  <c r="E1964" i="1"/>
  <c r="D1964" i="1"/>
  <c r="C1964" i="1"/>
  <c r="I1963" i="1"/>
  <c r="H1963" i="1"/>
  <c r="G1963" i="1"/>
  <c r="F1963" i="1"/>
  <c r="E1963" i="1"/>
  <c r="D1963" i="1"/>
  <c r="C1963" i="1"/>
  <c r="I1962" i="1"/>
  <c r="H1962" i="1"/>
  <c r="G1962" i="1"/>
  <c r="F1962" i="1"/>
  <c r="E1962" i="1"/>
  <c r="D1962" i="1"/>
  <c r="C1962" i="1"/>
  <c r="I1961" i="1"/>
  <c r="H1961" i="1"/>
  <c r="G1961" i="1"/>
  <c r="F1961" i="1"/>
  <c r="E1961" i="1"/>
  <c r="D1961" i="1"/>
  <c r="C1961" i="1"/>
  <c r="I1960" i="1"/>
  <c r="H1960" i="1"/>
  <c r="G1960" i="1"/>
  <c r="F1960" i="1"/>
  <c r="E1960" i="1"/>
  <c r="D1960" i="1"/>
  <c r="C1960" i="1"/>
  <c r="I1959" i="1"/>
  <c r="H1959" i="1"/>
  <c r="G1959" i="1"/>
  <c r="F1959" i="1"/>
  <c r="E1959" i="1"/>
  <c r="D1959" i="1"/>
  <c r="C1959" i="1"/>
  <c r="I1958" i="1"/>
  <c r="H1958" i="1"/>
  <c r="G1958" i="1"/>
  <c r="F1958" i="1"/>
  <c r="E1958" i="1"/>
  <c r="D1958" i="1"/>
  <c r="C1958" i="1"/>
  <c r="I1957" i="1"/>
  <c r="H1957" i="1"/>
  <c r="G1957" i="1"/>
  <c r="F1957" i="1"/>
  <c r="E1957" i="1"/>
  <c r="D1957" i="1"/>
  <c r="C1957" i="1"/>
  <c r="I1956" i="1"/>
  <c r="H1956" i="1"/>
  <c r="G1956" i="1"/>
  <c r="F1956" i="1"/>
  <c r="E1956" i="1"/>
  <c r="D1956" i="1"/>
  <c r="C1956" i="1"/>
  <c r="I1955" i="1"/>
  <c r="H1955" i="1"/>
  <c r="G1955" i="1"/>
  <c r="F1955" i="1"/>
  <c r="E1955" i="1"/>
  <c r="D1955" i="1"/>
  <c r="C1955" i="1"/>
  <c r="I1954" i="1"/>
  <c r="H1954" i="1"/>
  <c r="G1954" i="1"/>
  <c r="F1954" i="1"/>
  <c r="E1954" i="1"/>
  <c r="D1954" i="1"/>
  <c r="C1954" i="1"/>
  <c r="I1953" i="1"/>
  <c r="H1953" i="1"/>
  <c r="G1953" i="1"/>
  <c r="F1953" i="1"/>
  <c r="E1953" i="1"/>
  <c r="D1953" i="1"/>
  <c r="C1953" i="1"/>
  <c r="I1952" i="1"/>
  <c r="H1952" i="1"/>
  <c r="G1952" i="1"/>
  <c r="F1952" i="1"/>
  <c r="E1952" i="1"/>
  <c r="D1952" i="1"/>
  <c r="C1952" i="1"/>
  <c r="I1951" i="1"/>
  <c r="H1951" i="1"/>
  <c r="G1951" i="1"/>
  <c r="F1951" i="1"/>
  <c r="E1951" i="1"/>
  <c r="D1951" i="1"/>
  <c r="C1951" i="1"/>
  <c r="I1950" i="1"/>
  <c r="H1950" i="1"/>
  <c r="G1950" i="1"/>
  <c r="F1950" i="1"/>
  <c r="E1950" i="1"/>
  <c r="D1950" i="1"/>
  <c r="C1950" i="1"/>
  <c r="I1949" i="1"/>
  <c r="H1949" i="1"/>
  <c r="G1949" i="1"/>
  <c r="F1949" i="1"/>
  <c r="E1949" i="1"/>
  <c r="D1949" i="1"/>
  <c r="C1949" i="1"/>
  <c r="I1948" i="1"/>
  <c r="H1948" i="1"/>
  <c r="G1948" i="1"/>
  <c r="F1948" i="1"/>
  <c r="E1948" i="1"/>
  <c r="D1948" i="1"/>
  <c r="C1948" i="1"/>
  <c r="I1947" i="1"/>
  <c r="H1947" i="1"/>
  <c r="G1947" i="1"/>
  <c r="F1947" i="1"/>
  <c r="E1947" i="1"/>
  <c r="D1947" i="1"/>
  <c r="C1947" i="1"/>
  <c r="I1946" i="1"/>
  <c r="H1946" i="1"/>
  <c r="G1946" i="1"/>
  <c r="F1946" i="1"/>
  <c r="E1946" i="1"/>
  <c r="D1946" i="1"/>
  <c r="C1946" i="1"/>
  <c r="I1945" i="1"/>
  <c r="H1945" i="1"/>
  <c r="G1945" i="1"/>
  <c r="F1945" i="1"/>
  <c r="E1945" i="1"/>
  <c r="D1945" i="1"/>
  <c r="C1945" i="1"/>
  <c r="I1944" i="1"/>
  <c r="H1944" i="1"/>
  <c r="G1944" i="1"/>
  <c r="F1944" i="1"/>
  <c r="E1944" i="1"/>
  <c r="D1944" i="1"/>
  <c r="C1944" i="1"/>
  <c r="I1943" i="1"/>
  <c r="H1943" i="1"/>
  <c r="G1943" i="1"/>
  <c r="F1943" i="1"/>
  <c r="E1943" i="1"/>
  <c r="D1943" i="1"/>
  <c r="C1943" i="1"/>
  <c r="I1942" i="1"/>
  <c r="H1942" i="1"/>
  <c r="G1942" i="1"/>
  <c r="F1942" i="1"/>
  <c r="E1942" i="1"/>
  <c r="D1942" i="1"/>
  <c r="C1942" i="1"/>
  <c r="I1941" i="1"/>
  <c r="H1941" i="1"/>
  <c r="G1941" i="1"/>
  <c r="F1941" i="1"/>
  <c r="E1941" i="1"/>
  <c r="D1941" i="1"/>
  <c r="C1941" i="1"/>
  <c r="I1940" i="1"/>
  <c r="H1940" i="1"/>
  <c r="G1940" i="1"/>
  <c r="F1940" i="1"/>
  <c r="E1940" i="1"/>
  <c r="D1940" i="1"/>
  <c r="C1940" i="1"/>
  <c r="I1939" i="1"/>
  <c r="H1939" i="1"/>
  <c r="G1939" i="1"/>
  <c r="F1939" i="1"/>
  <c r="E1939" i="1"/>
  <c r="D1939" i="1"/>
  <c r="C1939" i="1"/>
  <c r="I1938" i="1"/>
  <c r="H1938" i="1"/>
  <c r="G1938" i="1"/>
  <c r="F1938" i="1"/>
  <c r="E1938" i="1"/>
  <c r="D1938" i="1"/>
  <c r="C1938" i="1"/>
  <c r="I1937" i="1"/>
  <c r="H1937" i="1"/>
  <c r="G1937" i="1"/>
  <c r="F1937" i="1"/>
  <c r="E1937" i="1"/>
  <c r="D1937" i="1"/>
  <c r="C1937" i="1"/>
  <c r="I1936" i="1"/>
  <c r="H1936" i="1"/>
  <c r="G1936" i="1"/>
  <c r="F1936" i="1"/>
  <c r="E1936" i="1"/>
  <c r="D1936" i="1"/>
  <c r="C1936" i="1"/>
  <c r="I1935" i="1"/>
  <c r="H1935" i="1"/>
  <c r="G1935" i="1"/>
  <c r="F1935" i="1"/>
  <c r="E1935" i="1"/>
  <c r="D1935" i="1"/>
  <c r="C1935" i="1"/>
  <c r="I1934" i="1"/>
  <c r="H1934" i="1"/>
  <c r="G1934" i="1"/>
  <c r="F1934" i="1"/>
  <c r="E1934" i="1"/>
  <c r="D1934" i="1"/>
  <c r="C1934" i="1"/>
  <c r="I1933" i="1"/>
  <c r="H1933" i="1"/>
  <c r="G1933" i="1"/>
  <c r="F1933" i="1"/>
  <c r="E1933" i="1"/>
  <c r="D1933" i="1"/>
  <c r="C1933" i="1"/>
  <c r="I1932" i="1"/>
  <c r="H1932" i="1"/>
  <c r="G1932" i="1"/>
  <c r="F1932" i="1"/>
  <c r="E1932" i="1"/>
  <c r="D1932" i="1"/>
  <c r="C1932" i="1"/>
  <c r="I1931" i="1"/>
  <c r="H1931" i="1"/>
  <c r="G1931" i="1"/>
  <c r="F1931" i="1"/>
  <c r="E1931" i="1"/>
  <c r="D1931" i="1"/>
  <c r="C1931" i="1"/>
  <c r="I1930" i="1"/>
  <c r="H1930" i="1"/>
  <c r="G1930" i="1"/>
  <c r="F1930" i="1"/>
  <c r="E1930" i="1"/>
  <c r="D1930" i="1"/>
  <c r="C1930" i="1"/>
  <c r="I1929" i="1"/>
  <c r="H1929" i="1"/>
  <c r="G1929" i="1"/>
  <c r="F1929" i="1"/>
  <c r="E1929" i="1"/>
  <c r="D1929" i="1"/>
  <c r="C1929" i="1"/>
  <c r="I1928" i="1"/>
  <c r="H1928" i="1"/>
  <c r="G1928" i="1"/>
  <c r="F1928" i="1"/>
  <c r="E1928" i="1"/>
  <c r="D1928" i="1"/>
  <c r="C1928" i="1"/>
  <c r="I1927" i="1"/>
  <c r="H1927" i="1"/>
  <c r="G1927" i="1"/>
  <c r="F1927" i="1"/>
  <c r="E1927" i="1"/>
  <c r="D1927" i="1"/>
  <c r="C1927" i="1"/>
  <c r="I1926" i="1"/>
  <c r="H1926" i="1"/>
  <c r="G1926" i="1"/>
  <c r="F1926" i="1"/>
  <c r="E1926" i="1"/>
  <c r="D1926" i="1"/>
  <c r="C1926" i="1"/>
  <c r="I1925" i="1"/>
  <c r="H1925" i="1"/>
  <c r="G1925" i="1"/>
  <c r="F1925" i="1"/>
  <c r="E1925" i="1"/>
  <c r="D1925" i="1"/>
  <c r="C1925" i="1"/>
  <c r="I1924" i="1"/>
  <c r="H1924" i="1"/>
  <c r="G1924" i="1"/>
  <c r="F1924" i="1"/>
  <c r="E1924" i="1"/>
  <c r="D1924" i="1"/>
  <c r="C1924" i="1"/>
  <c r="I1923" i="1"/>
  <c r="H1923" i="1"/>
  <c r="G1923" i="1"/>
  <c r="F1923" i="1"/>
  <c r="E1923" i="1"/>
  <c r="D1923" i="1"/>
  <c r="C1923" i="1"/>
  <c r="I1922" i="1"/>
  <c r="H1922" i="1"/>
  <c r="G1922" i="1"/>
  <c r="F1922" i="1"/>
  <c r="E1922" i="1"/>
  <c r="D1922" i="1"/>
  <c r="C1922" i="1"/>
  <c r="I1921" i="1"/>
  <c r="H1921" i="1"/>
  <c r="G1921" i="1"/>
  <c r="F1921" i="1"/>
  <c r="E1921" i="1"/>
  <c r="D1921" i="1"/>
  <c r="C1921" i="1"/>
  <c r="I1920" i="1"/>
  <c r="H1920" i="1"/>
  <c r="G1920" i="1"/>
  <c r="F1920" i="1"/>
  <c r="E1920" i="1"/>
  <c r="D1920" i="1"/>
  <c r="C1920" i="1"/>
  <c r="I1919" i="1"/>
  <c r="H1919" i="1"/>
  <c r="G1919" i="1"/>
  <c r="F1919" i="1"/>
  <c r="E1919" i="1"/>
  <c r="D1919" i="1"/>
  <c r="C1919" i="1"/>
  <c r="I1918" i="1"/>
  <c r="H1918" i="1"/>
  <c r="G1918" i="1"/>
  <c r="F1918" i="1"/>
  <c r="E1918" i="1"/>
  <c r="D1918" i="1"/>
  <c r="C1918" i="1"/>
  <c r="I1917" i="1"/>
  <c r="H1917" i="1"/>
  <c r="G1917" i="1"/>
  <c r="F1917" i="1"/>
  <c r="E1917" i="1"/>
  <c r="D1917" i="1"/>
  <c r="C1917" i="1"/>
  <c r="I1916" i="1"/>
  <c r="H1916" i="1"/>
  <c r="G1916" i="1"/>
  <c r="F1916" i="1"/>
  <c r="E1916" i="1"/>
  <c r="D1916" i="1"/>
  <c r="C1916" i="1"/>
  <c r="I1915" i="1"/>
  <c r="H1915" i="1"/>
  <c r="G1915" i="1"/>
  <c r="F1915" i="1"/>
  <c r="E1915" i="1"/>
  <c r="D1915" i="1"/>
  <c r="C1915" i="1"/>
  <c r="I1914" i="1"/>
  <c r="H1914" i="1"/>
  <c r="G1914" i="1"/>
  <c r="F1914" i="1"/>
  <c r="E1914" i="1"/>
  <c r="D1914" i="1"/>
  <c r="C1914" i="1"/>
  <c r="I1913" i="1"/>
  <c r="H1913" i="1"/>
  <c r="G1913" i="1"/>
  <c r="F1913" i="1"/>
  <c r="E1913" i="1"/>
  <c r="D1913" i="1"/>
  <c r="C1913" i="1"/>
  <c r="I1912" i="1"/>
  <c r="H1912" i="1"/>
  <c r="G1912" i="1"/>
  <c r="F1912" i="1"/>
  <c r="E1912" i="1"/>
  <c r="D1912" i="1"/>
  <c r="C1912" i="1"/>
  <c r="I1911" i="1"/>
  <c r="H1911" i="1"/>
  <c r="G1911" i="1"/>
  <c r="F1911" i="1"/>
  <c r="E1911" i="1"/>
  <c r="D1911" i="1"/>
  <c r="C1911" i="1"/>
  <c r="I1910" i="1"/>
  <c r="H1910" i="1"/>
  <c r="G1910" i="1"/>
  <c r="F1910" i="1"/>
  <c r="E1910" i="1"/>
  <c r="D1910" i="1"/>
  <c r="C1910" i="1"/>
  <c r="I1909" i="1"/>
  <c r="H1909" i="1"/>
  <c r="G1909" i="1"/>
  <c r="F1909" i="1"/>
  <c r="E1909" i="1"/>
  <c r="D1909" i="1"/>
  <c r="C1909" i="1"/>
  <c r="I1908" i="1"/>
  <c r="H1908" i="1"/>
  <c r="G1908" i="1"/>
  <c r="F1908" i="1"/>
  <c r="E1908" i="1"/>
  <c r="D1908" i="1"/>
  <c r="C1908" i="1"/>
  <c r="I1907" i="1"/>
  <c r="H1907" i="1"/>
  <c r="G1907" i="1"/>
  <c r="F1907" i="1"/>
  <c r="E1907" i="1"/>
  <c r="D1907" i="1"/>
  <c r="C1907" i="1"/>
  <c r="I1906" i="1"/>
  <c r="H1906" i="1"/>
  <c r="G1906" i="1"/>
  <c r="F1906" i="1"/>
  <c r="E1906" i="1"/>
  <c r="D1906" i="1"/>
  <c r="C1906" i="1"/>
  <c r="I1905" i="1"/>
  <c r="H1905" i="1"/>
  <c r="G1905" i="1"/>
  <c r="F1905" i="1"/>
  <c r="E1905" i="1"/>
  <c r="D1905" i="1"/>
  <c r="C1905" i="1"/>
  <c r="I1904" i="1"/>
  <c r="H1904" i="1"/>
  <c r="G1904" i="1"/>
  <c r="F1904" i="1"/>
  <c r="E1904" i="1"/>
  <c r="D1904" i="1"/>
  <c r="C1904" i="1"/>
  <c r="I1903" i="1"/>
  <c r="H1903" i="1"/>
  <c r="G1903" i="1"/>
  <c r="F1903" i="1"/>
  <c r="E1903" i="1"/>
  <c r="D1903" i="1"/>
  <c r="C1903" i="1"/>
  <c r="I1902" i="1"/>
  <c r="H1902" i="1"/>
  <c r="G1902" i="1"/>
  <c r="F1902" i="1"/>
  <c r="E1902" i="1"/>
  <c r="D1902" i="1"/>
  <c r="C1902" i="1"/>
  <c r="I1901" i="1"/>
  <c r="H1901" i="1"/>
  <c r="G1901" i="1"/>
  <c r="F1901" i="1"/>
  <c r="E1901" i="1"/>
  <c r="D1901" i="1"/>
  <c r="C1901" i="1"/>
  <c r="I1900" i="1"/>
  <c r="H1900" i="1"/>
  <c r="G1900" i="1"/>
  <c r="F1900" i="1"/>
  <c r="E1900" i="1"/>
  <c r="D1900" i="1"/>
  <c r="C1900" i="1"/>
  <c r="I1899" i="1"/>
  <c r="H1899" i="1"/>
  <c r="G1899" i="1"/>
  <c r="F1899" i="1"/>
  <c r="E1899" i="1"/>
  <c r="D1899" i="1"/>
  <c r="C1899" i="1"/>
  <c r="I1898" i="1"/>
  <c r="H1898" i="1"/>
  <c r="G1898" i="1"/>
  <c r="F1898" i="1"/>
  <c r="E1898" i="1"/>
  <c r="D1898" i="1"/>
  <c r="C1898" i="1"/>
  <c r="I1897" i="1"/>
  <c r="H1897" i="1"/>
  <c r="G1897" i="1"/>
  <c r="F1897" i="1"/>
  <c r="E1897" i="1"/>
  <c r="D1897" i="1"/>
  <c r="C1897" i="1"/>
  <c r="I1896" i="1"/>
  <c r="H1896" i="1"/>
  <c r="G1896" i="1"/>
  <c r="F1896" i="1"/>
  <c r="E1896" i="1"/>
  <c r="D1896" i="1"/>
  <c r="C1896" i="1"/>
  <c r="I1895" i="1"/>
  <c r="H1895" i="1"/>
  <c r="G1895" i="1"/>
  <c r="F1895" i="1"/>
  <c r="E1895" i="1"/>
  <c r="D1895" i="1"/>
  <c r="C1895" i="1"/>
  <c r="I1894" i="1"/>
  <c r="H1894" i="1"/>
  <c r="G1894" i="1"/>
  <c r="F1894" i="1"/>
  <c r="E1894" i="1"/>
  <c r="D1894" i="1"/>
  <c r="C1894" i="1"/>
  <c r="I1893" i="1"/>
  <c r="H1893" i="1"/>
  <c r="G1893" i="1"/>
  <c r="F1893" i="1"/>
  <c r="E1893" i="1"/>
  <c r="D1893" i="1"/>
  <c r="C1893" i="1"/>
  <c r="I1892" i="1"/>
  <c r="H1892" i="1"/>
  <c r="G1892" i="1"/>
  <c r="F1892" i="1"/>
  <c r="E1892" i="1"/>
  <c r="D1892" i="1"/>
  <c r="C1892" i="1"/>
  <c r="I1891" i="1"/>
  <c r="H1891" i="1"/>
  <c r="G1891" i="1"/>
  <c r="F1891" i="1"/>
  <c r="E1891" i="1"/>
  <c r="D1891" i="1"/>
  <c r="C1891" i="1"/>
  <c r="I1890" i="1"/>
  <c r="H1890" i="1"/>
  <c r="G1890" i="1"/>
  <c r="F1890" i="1"/>
  <c r="E1890" i="1"/>
  <c r="D1890" i="1"/>
  <c r="C1890" i="1"/>
  <c r="I1889" i="1"/>
  <c r="H1889" i="1"/>
  <c r="G1889" i="1"/>
  <c r="F1889" i="1"/>
  <c r="E1889" i="1"/>
  <c r="D1889" i="1"/>
  <c r="C1889" i="1"/>
  <c r="I1888" i="1"/>
  <c r="H1888" i="1"/>
  <c r="G1888" i="1"/>
  <c r="F1888" i="1"/>
  <c r="E1888" i="1"/>
  <c r="D1888" i="1"/>
  <c r="C1888" i="1"/>
  <c r="I1887" i="1"/>
  <c r="H1887" i="1"/>
  <c r="G1887" i="1"/>
  <c r="F1887" i="1"/>
  <c r="E1887" i="1"/>
  <c r="D1887" i="1"/>
  <c r="C1887" i="1"/>
  <c r="I1886" i="1"/>
  <c r="H1886" i="1"/>
  <c r="G1886" i="1"/>
  <c r="F1886" i="1"/>
  <c r="E1886" i="1"/>
  <c r="D1886" i="1"/>
  <c r="C1886" i="1"/>
  <c r="I1885" i="1"/>
  <c r="H1885" i="1"/>
  <c r="G1885" i="1"/>
  <c r="F1885" i="1"/>
  <c r="E1885" i="1"/>
  <c r="D1885" i="1"/>
  <c r="C1885" i="1"/>
  <c r="I1884" i="1"/>
  <c r="H1884" i="1"/>
  <c r="G1884" i="1"/>
  <c r="F1884" i="1"/>
  <c r="E1884" i="1"/>
  <c r="D1884" i="1"/>
  <c r="C1884" i="1"/>
  <c r="I1883" i="1"/>
  <c r="H1883" i="1"/>
  <c r="G1883" i="1"/>
  <c r="F1883" i="1"/>
  <c r="E1883" i="1"/>
  <c r="D1883" i="1"/>
  <c r="C1883" i="1"/>
  <c r="I1882" i="1"/>
  <c r="H1882" i="1"/>
  <c r="G1882" i="1"/>
  <c r="F1882" i="1"/>
  <c r="E1882" i="1"/>
  <c r="D1882" i="1"/>
  <c r="C1882" i="1"/>
  <c r="I1881" i="1"/>
  <c r="H1881" i="1"/>
  <c r="G1881" i="1"/>
  <c r="F1881" i="1"/>
  <c r="E1881" i="1"/>
  <c r="D1881" i="1"/>
  <c r="C1881" i="1"/>
  <c r="I1880" i="1"/>
  <c r="H1880" i="1"/>
  <c r="G1880" i="1"/>
  <c r="F1880" i="1"/>
  <c r="E1880" i="1"/>
  <c r="D1880" i="1"/>
  <c r="C1880" i="1"/>
  <c r="I1879" i="1"/>
  <c r="H1879" i="1"/>
  <c r="G1879" i="1"/>
  <c r="F1879" i="1"/>
  <c r="E1879" i="1"/>
  <c r="D1879" i="1"/>
  <c r="C1879" i="1"/>
  <c r="I1878" i="1"/>
  <c r="H1878" i="1"/>
  <c r="G1878" i="1"/>
  <c r="F1878" i="1"/>
  <c r="E1878" i="1"/>
  <c r="D1878" i="1"/>
  <c r="C1878" i="1"/>
  <c r="I1877" i="1"/>
  <c r="H1877" i="1"/>
  <c r="G1877" i="1"/>
  <c r="F1877" i="1"/>
  <c r="E1877" i="1"/>
  <c r="D1877" i="1"/>
  <c r="C1877" i="1"/>
  <c r="I1876" i="1"/>
  <c r="H1876" i="1"/>
  <c r="G1876" i="1"/>
  <c r="F1876" i="1"/>
  <c r="E1876" i="1"/>
  <c r="D1876" i="1"/>
  <c r="C1876" i="1"/>
  <c r="I1875" i="1"/>
  <c r="H1875" i="1"/>
  <c r="G1875" i="1"/>
  <c r="F1875" i="1"/>
  <c r="E1875" i="1"/>
  <c r="D1875" i="1"/>
  <c r="C1875" i="1"/>
  <c r="I1874" i="1"/>
  <c r="H1874" i="1"/>
  <c r="G1874" i="1"/>
  <c r="F1874" i="1"/>
  <c r="E1874" i="1"/>
  <c r="D1874" i="1"/>
  <c r="C1874" i="1"/>
  <c r="I1873" i="1"/>
  <c r="H1873" i="1"/>
  <c r="G1873" i="1"/>
  <c r="F1873" i="1"/>
  <c r="E1873" i="1"/>
  <c r="D1873" i="1"/>
  <c r="C1873" i="1"/>
  <c r="I1872" i="1"/>
  <c r="H1872" i="1"/>
  <c r="G1872" i="1"/>
  <c r="F1872" i="1"/>
  <c r="E1872" i="1"/>
  <c r="D1872" i="1"/>
  <c r="C1872" i="1"/>
  <c r="I1871" i="1"/>
  <c r="H1871" i="1"/>
  <c r="G1871" i="1"/>
  <c r="F1871" i="1"/>
  <c r="E1871" i="1"/>
  <c r="D1871" i="1"/>
  <c r="C1871" i="1"/>
  <c r="I1870" i="1"/>
  <c r="H1870" i="1"/>
  <c r="G1870" i="1"/>
  <c r="F1870" i="1"/>
  <c r="E1870" i="1"/>
  <c r="D1870" i="1"/>
  <c r="C1870" i="1"/>
  <c r="I1869" i="1"/>
  <c r="H1869" i="1"/>
  <c r="G1869" i="1"/>
  <c r="F1869" i="1"/>
  <c r="E1869" i="1"/>
  <c r="D1869" i="1"/>
  <c r="C1869" i="1"/>
  <c r="I1868" i="1"/>
  <c r="H1868" i="1"/>
  <c r="G1868" i="1"/>
  <c r="F1868" i="1"/>
  <c r="E1868" i="1"/>
  <c r="D1868" i="1"/>
  <c r="C1868" i="1"/>
  <c r="I1867" i="1"/>
  <c r="H1867" i="1"/>
  <c r="G1867" i="1"/>
  <c r="F1867" i="1"/>
  <c r="E1867" i="1"/>
  <c r="D1867" i="1"/>
  <c r="C1867" i="1"/>
  <c r="I1866" i="1"/>
  <c r="H1866" i="1"/>
  <c r="G1866" i="1"/>
  <c r="F1866" i="1"/>
  <c r="E1866" i="1"/>
  <c r="D1866" i="1"/>
  <c r="C1866" i="1"/>
  <c r="I1865" i="1"/>
  <c r="H1865" i="1"/>
  <c r="G1865" i="1"/>
  <c r="F1865" i="1"/>
  <c r="E1865" i="1"/>
  <c r="D1865" i="1"/>
  <c r="C1865" i="1"/>
  <c r="I1864" i="1"/>
  <c r="H1864" i="1"/>
  <c r="G1864" i="1"/>
  <c r="F1864" i="1"/>
  <c r="E1864" i="1"/>
  <c r="D1864" i="1"/>
  <c r="C1864" i="1"/>
  <c r="I1863" i="1"/>
  <c r="H1863" i="1"/>
  <c r="G1863" i="1"/>
  <c r="F1863" i="1"/>
  <c r="E1863" i="1"/>
  <c r="D1863" i="1"/>
  <c r="C1863" i="1"/>
  <c r="I1862" i="1"/>
  <c r="H1862" i="1"/>
  <c r="G1862" i="1"/>
  <c r="F1862" i="1"/>
  <c r="E1862" i="1"/>
  <c r="D1862" i="1"/>
  <c r="C1862" i="1"/>
  <c r="I1861" i="1"/>
  <c r="H1861" i="1"/>
  <c r="G1861" i="1"/>
  <c r="F1861" i="1"/>
  <c r="E1861" i="1"/>
  <c r="D1861" i="1"/>
  <c r="C1861" i="1"/>
  <c r="I1860" i="1"/>
  <c r="H1860" i="1"/>
  <c r="G1860" i="1"/>
  <c r="F1860" i="1"/>
  <c r="E1860" i="1"/>
  <c r="D1860" i="1"/>
  <c r="C1860" i="1"/>
  <c r="I1859" i="1"/>
  <c r="H1859" i="1"/>
  <c r="G1859" i="1"/>
  <c r="F1859" i="1"/>
  <c r="E1859" i="1"/>
  <c r="D1859" i="1"/>
  <c r="C1859" i="1"/>
  <c r="I1858" i="1"/>
  <c r="H1858" i="1"/>
  <c r="G1858" i="1"/>
  <c r="F1858" i="1"/>
  <c r="E1858" i="1"/>
  <c r="D1858" i="1"/>
  <c r="C1858" i="1"/>
  <c r="I1857" i="1"/>
  <c r="H1857" i="1"/>
  <c r="G1857" i="1"/>
  <c r="F1857" i="1"/>
  <c r="E1857" i="1"/>
  <c r="D1857" i="1"/>
  <c r="C1857" i="1"/>
  <c r="I1856" i="1"/>
  <c r="H1856" i="1"/>
  <c r="G1856" i="1"/>
  <c r="F1856" i="1"/>
  <c r="E1856" i="1"/>
  <c r="D1856" i="1"/>
  <c r="C1856" i="1"/>
  <c r="I1855" i="1"/>
  <c r="H1855" i="1"/>
  <c r="G1855" i="1"/>
  <c r="F1855" i="1"/>
  <c r="E1855" i="1"/>
  <c r="D1855" i="1"/>
  <c r="C1855" i="1"/>
  <c r="I1854" i="1"/>
  <c r="H1854" i="1"/>
  <c r="G1854" i="1"/>
  <c r="F1854" i="1"/>
  <c r="E1854" i="1"/>
  <c r="D1854" i="1"/>
  <c r="C1854" i="1"/>
  <c r="I1853" i="1"/>
  <c r="H1853" i="1"/>
  <c r="G1853" i="1"/>
  <c r="F1853" i="1"/>
  <c r="E1853" i="1"/>
  <c r="D1853" i="1"/>
  <c r="C1853" i="1"/>
  <c r="I1852" i="1"/>
  <c r="H1852" i="1"/>
  <c r="G1852" i="1"/>
  <c r="F1852" i="1"/>
  <c r="E1852" i="1"/>
  <c r="D1852" i="1"/>
  <c r="C1852" i="1"/>
  <c r="I1851" i="1"/>
  <c r="H1851" i="1"/>
  <c r="G1851" i="1"/>
  <c r="F1851" i="1"/>
  <c r="E1851" i="1"/>
  <c r="D1851" i="1"/>
  <c r="C1851" i="1"/>
  <c r="I1850" i="1"/>
  <c r="H1850" i="1"/>
  <c r="G1850" i="1"/>
  <c r="F1850" i="1"/>
  <c r="E1850" i="1"/>
  <c r="D1850" i="1"/>
  <c r="C1850" i="1"/>
  <c r="I1849" i="1"/>
  <c r="H1849" i="1"/>
  <c r="G1849" i="1"/>
  <c r="F1849" i="1"/>
  <c r="E1849" i="1"/>
  <c r="D1849" i="1"/>
  <c r="C1849" i="1"/>
  <c r="I1848" i="1"/>
  <c r="H1848" i="1"/>
  <c r="G1848" i="1"/>
  <c r="F1848" i="1"/>
  <c r="E1848" i="1"/>
  <c r="D1848" i="1"/>
  <c r="C1848" i="1"/>
  <c r="I1847" i="1"/>
  <c r="H1847" i="1"/>
  <c r="G1847" i="1"/>
  <c r="F1847" i="1"/>
  <c r="E1847" i="1"/>
  <c r="D1847" i="1"/>
  <c r="C1847" i="1"/>
  <c r="I1846" i="1"/>
  <c r="H1846" i="1"/>
  <c r="G1846" i="1"/>
  <c r="F1846" i="1"/>
  <c r="E1846" i="1"/>
  <c r="D1846" i="1"/>
  <c r="C1846" i="1"/>
  <c r="I1845" i="1"/>
  <c r="H1845" i="1"/>
  <c r="G1845" i="1"/>
  <c r="F1845" i="1"/>
  <c r="E1845" i="1"/>
  <c r="D1845" i="1"/>
  <c r="C1845" i="1"/>
  <c r="I1844" i="1"/>
  <c r="H1844" i="1"/>
  <c r="G1844" i="1"/>
  <c r="F1844" i="1"/>
  <c r="E1844" i="1"/>
  <c r="D1844" i="1"/>
  <c r="C1844" i="1"/>
  <c r="I1843" i="1"/>
  <c r="H1843" i="1"/>
  <c r="G1843" i="1"/>
  <c r="F1843" i="1"/>
  <c r="E1843" i="1"/>
  <c r="D1843" i="1"/>
  <c r="C1843" i="1"/>
  <c r="I1842" i="1"/>
  <c r="H1842" i="1"/>
  <c r="G1842" i="1"/>
  <c r="F1842" i="1"/>
  <c r="E1842" i="1"/>
  <c r="D1842" i="1"/>
  <c r="C1842" i="1"/>
  <c r="I1841" i="1"/>
  <c r="H1841" i="1"/>
  <c r="G1841" i="1"/>
  <c r="F1841" i="1"/>
  <c r="E1841" i="1"/>
  <c r="D1841" i="1"/>
  <c r="C1841" i="1"/>
  <c r="I1840" i="1"/>
  <c r="H1840" i="1"/>
  <c r="G1840" i="1"/>
  <c r="F1840" i="1"/>
  <c r="E1840" i="1"/>
  <c r="D1840" i="1"/>
  <c r="C1840" i="1"/>
  <c r="I1839" i="1"/>
  <c r="H1839" i="1"/>
  <c r="G1839" i="1"/>
  <c r="F1839" i="1"/>
  <c r="E1839" i="1"/>
  <c r="D1839" i="1"/>
  <c r="C1839" i="1"/>
  <c r="I1838" i="1"/>
  <c r="H1838" i="1"/>
  <c r="G1838" i="1"/>
  <c r="F1838" i="1"/>
  <c r="E1838" i="1"/>
  <c r="D1838" i="1"/>
  <c r="C1838" i="1"/>
  <c r="I1837" i="1"/>
  <c r="H1837" i="1"/>
  <c r="G1837" i="1"/>
  <c r="F1837" i="1"/>
  <c r="E1837" i="1"/>
  <c r="D1837" i="1"/>
  <c r="C1837" i="1"/>
  <c r="I1836" i="1"/>
  <c r="H1836" i="1"/>
  <c r="G1836" i="1"/>
  <c r="F1836" i="1"/>
  <c r="E1836" i="1"/>
  <c r="D1836" i="1"/>
  <c r="C1836" i="1"/>
  <c r="I1835" i="1"/>
  <c r="H1835" i="1"/>
  <c r="G1835" i="1"/>
  <c r="F1835" i="1"/>
  <c r="E1835" i="1"/>
  <c r="D1835" i="1"/>
  <c r="C1835" i="1"/>
  <c r="I1834" i="1"/>
  <c r="H1834" i="1"/>
  <c r="G1834" i="1"/>
  <c r="F1834" i="1"/>
  <c r="E1834" i="1"/>
  <c r="D1834" i="1"/>
  <c r="C1834" i="1"/>
  <c r="I1833" i="1"/>
  <c r="H1833" i="1"/>
  <c r="G1833" i="1"/>
  <c r="F1833" i="1"/>
  <c r="E1833" i="1"/>
  <c r="D1833" i="1"/>
  <c r="C1833" i="1"/>
  <c r="I1832" i="1"/>
  <c r="H1832" i="1"/>
  <c r="G1832" i="1"/>
  <c r="F1832" i="1"/>
  <c r="E1832" i="1"/>
  <c r="D1832" i="1"/>
  <c r="C1832" i="1"/>
  <c r="I1831" i="1"/>
  <c r="H1831" i="1"/>
  <c r="G1831" i="1"/>
  <c r="F1831" i="1"/>
  <c r="E1831" i="1"/>
  <c r="D1831" i="1"/>
  <c r="C1831" i="1"/>
  <c r="I1830" i="1"/>
  <c r="H1830" i="1"/>
  <c r="G1830" i="1"/>
  <c r="F1830" i="1"/>
  <c r="E1830" i="1"/>
  <c r="D1830" i="1"/>
  <c r="C1830" i="1"/>
  <c r="I1829" i="1"/>
  <c r="H1829" i="1"/>
  <c r="G1829" i="1"/>
  <c r="F1829" i="1"/>
  <c r="E1829" i="1"/>
  <c r="D1829" i="1"/>
  <c r="C1829" i="1"/>
  <c r="I1828" i="1"/>
  <c r="H1828" i="1"/>
  <c r="G1828" i="1"/>
  <c r="F1828" i="1"/>
  <c r="E1828" i="1"/>
  <c r="D1828" i="1"/>
  <c r="C1828" i="1"/>
  <c r="I1827" i="1"/>
  <c r="H1827" i="1"/>
  <c r="G1827" i="1"/>
  <c r="F1827" i="1"/>
  <c r="E1827" i="1"/>
  <c r="D1827" i="1"/>
  <c r="C1827" i="1"/>
  <c r="I1826" i="1"/>
  <c r="H1826" i="1"/>
  <c r="G1826" i="1"/>
  <c r="F1826" i="1"/>
  <c r="E1826" i="1"/>
  <c r="D1826" i="1"/>
  <c r="C1826" i="1"/>
  <c r="I1825" i="1"/>
  <c r="H1825" i="1"/>
  <c r="G1825" i="1"/>
  <c r="F1825" i="1"/>
  <c r="E1825" i="1"/>
  <c r="D1825" i="1"/>
  <c r="C1825" i="1"/>
  <c r="I1824" i="1"/>
  <c r="H1824" i="1"/>
  <c r="G1824" i="1"/>
  <c r="F1824" i="1"/>
  <c r="E1824" i="1"/>
  <c r="D1824" i="1"/>
  <c r="C1824" i="1"/>
  <c r="I1823" i="1"/>
  <c r="H1823" i="1"/>
  <c r="G1823" i="1"/>
  <c r="F1823" i="1"/>
  <c r="E1823" i="1"/>
  <c r="D1823" i="1"/>
  <c r="C1823" i="1"/>
  <c r="I1822" i="1"/>
  <c r="H1822" i="1"/>
  <c r="G1822" i="1"/>
  <c r="F1822" i="1"/>
  <c r="E1822" i="1"/>
  <c r="D1822" i="1"/>
  <c r="C1822" i="1"/>
  <c r="I1821" i="1"/>
  <c r="H1821" i="1"/>
  <c r="G1821" i="1"/>
  <c r="F1821" i="1"/>
  <c r="E1821" i="1"/>
  <c r="D1821" i="1"/>
  <c r="C1821" i="1"/>
  <c r="I1820" i="1"/>
  <c r="H1820" i="1"/>
  <c r="G1820" i="1"/>
  <c r="F1820" i="1"/>
  <c r="E1820" i="1"/>
  <c r="D1820" i="1"/>
  <c r="C1820" i="1"/>
  <c r="I1819" i="1"/>
  <c r="H1819" i="1"/>
  <c r="G1819" i="1"/>
  <c r="F1819" i="1"/>
  <c r="E1819" i="1"/>
  <c r="D1819" i="1"/>
  <c r="C1819" i="1"/>
  <c r="I1818" i="1"/>
  <c r="H1818" i="1"/>
  <c r="G1818" i="1"/>
  <c r="F1818" i="1"/>
  <c r="E1818" i="1"/>
  <c r="D1818" i="1"/>
  <c r="C1818" i="1"/>
  <c r="I1817" i="1"/>
  <c r="H1817" i="1"/>
  <c r="G1817" i="1"/>
  <c r="F1817" i="1"/>
  <c r="E1817" i="1"/>
  <c r="D1817" i="1"/>
  <c r="C1817" i="1"/>
  <c r="I1816" i="1"/>
  <c r="H1816" i="1"/>
  <c r="G1816" i="1"/>
  <c r="F1816" i="1"/>
  <c r="E1816" i="1"/>
  <c r="D1816" i="1"/>
  <c r="C1816" i="1"/>
  <c r="I1815" i="1"/>
  <c r="H1815" i="1"/>
  <c r="G1815" i="1"/>
  <c r="F1815" i="1"/>
  <c r="E1815" i="1"/>
  <c r="D1815" i="1"/>
  <c r="C1815" i="1"/>
  <c r="I1814" i="1"/>
  <c r="H1814" i="1"/>
  <c r="G1814" i="1"/>
  <c r="F1814" i="1"/>
  <c r="E1814" i="1"/>
  <c r="D1814" i="1"/>
  <c r="C1814" i="1"/>
  <c r="I1813" i="1"/>
  <c r="H1813" i="1"/>
  <c r="G1813" i="1"/>
  <c r="F1813" i="1"/>
  <c r="E1813" i="1"/>
  <c r="D1813" i="1"/>
  <c r="C1813" i="1"/>
  <c r="I1812" i="1"/>
  <c r="H1812" i="1"/>
  <c r="G1812" i="1"/>
  <c r="F1812" i="1"/>
  <c r="E1812" i="1"/>
  <c r="D1812" i="1"/>
  <c r="C1812" i="1"/>
  <c r="I1811" i="1"/>
  <c r="H1811" i="1"/>
  <c r="G1811" i="1"/>
  <c r="F1811" i="1"/>
  <c r="E1811" i="1"/>
  <c r="D1811" i="1"/>
  <c r="C1811" i="1"/>
  <c r="I1810" i="1"/>
  <c r="H1810" i="1"/>
  <c r="G1810" i="1"/>
  <c r="F1810" i="1"/>
  <c r="E1810" i="1"/>
  <c r="D1810" i="1"/>
  <c r="C1810" i="1"/>
  <c r="I1809" i="1"/>
  <c r="H1809" i="1"/>
  <c r="G1809" i="1"/>
  <c r="F1809" i="1"/>
  <c r="E1809" i="1"/>
  <c r="D1809" i="1"/>
  <c r="C1809" i="1"/>
  <c r="I1808" i="1"/>
  <c r="H1808" i="1"/>
  <c r="G1808" i="1"/>
  <c r="F1808" i="1"/>
  <c r="E1808" i="1"/>
  <c r="D1808" i="1"/>
  <c r="C1808" i="1"/>
  <c r="I1807" i="1"/>
  <c r="H1807" i="1"/>
  <c r="G1807" i="1"/>
  <c r="F1807" i="1"/>
  <c r="E1807" i="1"/>
  <c r="D1807" i="1"/>
  <c r="C1807" i="1"/>
  <c r="I1806" i="1"/>
  <c r="H1806" i="1"/>
  <c r="G1806" i="1"/>
  <c r="F1806" i="1"/>
  <c r="E1806" i="1"/>
  <c r="D1806" i="1"/>
  <c r="C1806" i="1"/>
  <c r="I1805" i="1"/>
  <c r="H1805" i="1"/>
  <c r="G1805" i="1"/>
  <c r="F1805" i="1"/>
  <c r="E1805" i="1"/>
  <c r="D1805" i="1"/>
  <c r="C1805" i="1"/>
  <c r="I1804" i="1"/>
  <c r="H1804" i="1"/>
  <c r="G1804" i="1"/>
  <c r="F1804" i="1"/>
  <c r="E1804" i="1"/>
  <c r="D1804" i="1"/>
  <c r="C1804" i="1"/>
  <c r="I1803" i="1"/>
  <c r="H1803" i="1"/>
  <c r="G1803" i="1"/>
  <c r="F1803" i="1"/>
  <c r="E1803" i="1"/>
  <c r="D1803" i="1"/>
  <c r="C1803" i="1"/>
  <c r="I1802" i="1"/>
  <c r="H1802" i="1"/>
  <c r="G1802" i="1"/>
  <c r="F1802" i="1"/>
  <c r="E1802" i="1"/>
  <c r="D1802" i="1"/>
  <c r="C1802" i="1"/>
  <c r="I1801" i="1"/>
  <c r="H1801" i="1"/>
  <c r="G1801" i="1"/>
  <c r="F1801" i="1"/>
  <c r="E1801" i="1"/>
  <c r="D1801" i="1"/>
  <c r="C1801" i="1"/>
  <c r="I1800" i="1"/>
  <c r="H1800" i="1"/>
  <c r="G1800" i="1"/>
  <c r="F1800" i="1"/>
  <c r="E1800" i="1"/>
  <c r="D1800" i="1"/>
  <c r="C1800" i="1"/>
  <c r="I1799" i="1"/>
  <c r="H1799" i="1"/>
  <c r="G1799" i="1"/>
  <c r="F1799" i="1"/>
  <c r="E1799" i="1"/>
  <c r="D1799" i="1"/>
  <c r="C1799" i="1"/>
  <c r="I1798" i="1"/>
  <c r="H1798" i="1"/>
  <c r="G1798" i="1"/>
  <c r="F1798" i="1"/>
  <c r="E1798" i="1"/>
  <c r="D1798" i="1"/>
  <c r="C1798" i="1"/>
  <c r="I1797" i="1"/>
  <c r="H1797" i="1"/>
  <c r="G1797" i="1"/>
  <c r="F1797" i="1"/>
  <c r="E1797" i="1"/>
  <c r="D1797" i="1"/>
  <c r="C1797" i="1"/>
  <c r="I1796" i="1"/>
  <c r="H1796" i="1"/>
  <c r="G1796" i="1"/>
  <c r="F1796" i="1"/>
  <c r="E1796" i="1"/>
  <c r="D1796" i="1"/>
  <c r="C1796" i="1"/>
  <c r="I1795" i="1"/>
  <c r="H1795" i="1"/>
  <c r="G1795" i="1"/>
  <c r="F1795" i="1"/>
  <c r="E1795" i="1"/>
  <c r="D1795" i="1"/>
  <c r="C1795" i="1"/>
  <c r="I1794" i="1"/>
  <c r="H1794" i="1"/>
  <c r="G1794" i="1"/>
  <c r="F1794" i="1"/>
  <c r="E1794" i="1"/>
  <c r="D1794" i="1"/>
  <c r="C1794" i="1"/>
  <c r="I1793" i="1"/>
  <c r="H1793" i="1"/>
  <c r="G1793" i="1"/>
  <c r="F1793" i="1"/>
  <c r="E1793" i="1"/>
  <c r="D1793" i="1"/>
  <c r="C1793" i="1"/>
  <c r="I1792" i="1"/>
  <c r="H1792" i="1"/>
  <c r="G1792" i="1"/>
  <c r="F1792" i="1"/>
  <c r="E1792" i="1"/>
  <c r="D1792" i="1"/>
  <c r="C1792" i="1"/>
  <c r="I1791" i="1"/>
  <c r="H1791" i="1"/>
  <c r="G1791" i="1"/>
  <c r="F1791" i="1"/>
  <c r="E1791" i="1"/>
  <c r="D1791" i="1"/>
  <c r="C1791" i="1"/>
  <c r="I1790" i="1"/>
  <c r="H1790" i="1"/>
  <c r="G1790" i="1"/>
  <c r="F1790" i="1"/>
  <c r="E1790" i="1"/>
  <c r="D1790" i="1"/>
  <c r="C1790" i="1"/>
  <c r="I1789" i="1"/>
  <c r="H1789" i="1"/>
  <c r="G1789" i="1"/>
  <c r="F1789" i="1"/>
  <c r="E1789" i="1"/>
  <c r="D1789" i="1"/>
  <c r="C1789" i="1"/>
  <c r="I1788" i="1"/>
  <c r="H1788" i="1"/>
  <c r="G1788" i="1"/>
  <c r="F1788" i="1"/>
  <c r="E1788" i="1"/>
  <c r="D1788" i="1"/>
  <c r="C1788" i="1"/>
  <c r="I1787" i="1"/>
  <c r="H1787" i="1"/>
  <c r="G1787" i="1"/>
  <c r="F1787" i="1"/>
  <c r="E1787" i="1"/>
  <c r="D1787" i="1"/>
  <c r="C1787" i="1"/>
  <c r="I1786" i="1"/>
  <c r="H1786" i="1"/>
  <c r="G1786" i="1"/>
  <c r="F1786" i="1"/>
  <c r="E1786" i="1"/>
  <c r="D1786" i="1"/>
  <c r="C1786" i="1"/>
  <c r="I1785" i="1"/>
  <c r="H1785" i="1"/>
  <c r="G1785" i="1"/>
  <c r="F1785" i="1"/>
  <c r="E1785" i="1"/>
  <c r="D1785" i="1"/>
  <c r="C1785" i="1"/>
  <c r="I1784" i="1"/>
  <c r="H1784" i="1"/>
  <c r="G1784" i="1"/>
  <c r="F1784" i="1"/>
  <c r="E1784" i="1"/>
  <c r="D1784" i="1"/>
  <c r="C1784" i="1"/>
  <c r="I1783" i="1"/>
  <c r="H1783" i="1"/>
  <c r="G1783" i="1"/>
  <c r="F1783" i="1"/>
  <c r="E1783" i="1"/>
  <c r="D1783" i="1"/>
  <c r="C1783" i="1"/>
  <c r="I1782" i="1"/>
  <c r="H1782" i="1"/>
  <c r="G1782" i="1"/>
  <c r="F1782" i="1"/>
  <c r="E1782" i="1"/>
  <c r="D1782" i="1"/>
  <c r="C1782" i="1"/>
  <c r="I1781" i="1"/>
  <c r="H1781" i="1"/>
  <c r="G1781" i="1"/>
  <c r="F1781" i="1"/>
  <c r="E1781" i="1"/>
  <c r="D1781" i="1"/>
  <c r="C1781" i="1"/>
  <c r="I1780" i="1"/>
  <c r="H1780" i="1"/>
  <c r="G1780" i="1"/>
  <c r="F1780" i="1"/>
  <c r="E1780" i="1"/>
  <c r="D1780" i="1"/>
  <c r="C1780" i="1"/>
  <c r="I1779" i="1"/>
  <c r="H1779" i="1"/>
  <c r="G1779" i="1"/>
  <c r="F1779" i="1"/>
  <c r="E1779" i="1"/>
  <c r="D1779" i="1"/>
  <c r="C1779" i="1"/>
  <c r="I1778" i="1"/>
  <c r="H1778" i="1"/>
  <c r="G1778" i="1"/>
  <c r="F1778" i="1"/>
  <c r="E1778" i="1"/>
  <c r="D1778" i="1"/>
  <c r="C1778" i="1"/>
  <c r="I1777" i="1"/>
  <c r="H1777" i="1"/>
  <c r="G1777" i="1"/>
  <c r="F1777" i="1"/>
  <c r="E1777" i="1"/>
  <c r="D1777" i="1"/>
  <c r="C1777" i="1"/>
  <c r="I1776" i="1"/>
  <c r="H1776" i="1"/>
  <c r="G1776" i="1"/>
  <c r="F1776" i="1"/>
  <c r="E1776" i="1"/>
  <c r="D1776" i="1"/>
  <c r="C1776" i="1"/>
  <c r="I1775" i="1"/>
  <c r="H1775" i="1"/>
  <c r="G1775" i="1"/>
  <c r="F1775" i="1"/>
  <c r="E1775" i="1"/>
  <c r="D1775" i="1"/>
  <c r="C1775" i="1"/>
  <c r="I1774" i="1"/>
  <c r="H1774" i="1"/>
  <c r="G1774" i="1"/>
  <c r="F1774" i="1"/>
  <c r="E1774" i="1"/>
  <c r="D1774" i="1"/>
  <c r="C1774" i="1"/>
  <c r="I1773" i="1"/>
  <c r="H1773" i="1"/>
  <c r="G1773" i="1"/>
  <c r="F1773" i="1"/>
  <c r="E1773" i="1"/>
  <c r="D1773" i="1"/>
  <c r="C1773" i="1"/>
  <c r="I1772" i="1"/>
  <c r="H1772" i="1"/>
  <c r="G1772" i="1"/>
  <c r="F1772" i="1"/>
  <c r="E1772" i="1"/>
  <c r="D1772" i="1"/>
  <c r="C1772" i="1"/>
  <c r="I1771" i="1"/>
  <c r="H1771" i="1"/>
  <c r="G1771" i="1"/>
  <c r="F1771" i="1"/>
  <c r="E1771" i="1"/>
  <c r="D1771" i="1"/>
  <c r="C1771" i="1"/>
  <c r="I1770" i="1"/>
  <c r="H1770" i="1"/>
  <c r="G1770" i="1"/>
  <c r="F1770" i="1"/>
  <c r="E1770" i="1"/>
  <c r="D1770" i="1"/>
  <c r="C1770" i="1"/>
  <c r="I1769" i="1"/>
  <c r="H1769" i="1"/>
  <c r="G1769" i="1"/>
  <c r="F1769" i="1"/>
  <c r="E1769" i="1"/>
  <c r="D1769" i="1"/>
  <c r="C1769" i="1"/>
  <c r="I1768" i="1"/>
  <c r="H1768" i="1"/>
  <c r="G1768" i="1"/>
  <c r="F1768" i="1"/>
  <c r="E1768" i="1"/>
  <c r="D1768" i="1"/>
  <c r="C1768" i="1"/>
  <c r="I1767" i="1"/>
  <c r="H1767" i="1"/>
  <c r="G1767" i="1"/>
  <c r="F1767" i="1"/>
  <c r="E1767" i="1"/>
  <c r="D1767" i="1"/>
  <c r="C1767" i="1"/>
  <c r="I1766" i="1"/>
  <c r="H1766" i="1"/>
  <c r="G1766" i="1"/>
  <c r="F1766" i="1"/>
  <c r="E1766" i="1"/>
  <c r="D1766" i="1"/>
  <c r="C1766" i="1"/>
  <c r="I1765" i="1"/>
  <c r="H1765" i="1"/>
  <c r="G1765" i="1"/>
  <c r="F1765" i="1"/>
  <c r="E1765" i="1"/>
  <c r="D1765" i="1"/>
  <c r="C1765" i="1"/>
  <c r="I1764" i="1"/>
  <c r="H1764" i="1"/>
  <c r="G1764" i="1"/>
  <c r="F1764" i="1"/>
  <c r="E1764" i="1"/>
  <c r="D1764" i="1"/>
  <c r="C1764" i="1"/>
  <c r="I1763" i="1"/>
  <c r="H1763" i="1"/>
  <c r="G1763" i="1"/>
  <c r="F1763" i="1"/>
  <c r="E1763" i="1"/>
  <c r="D1763" i="1"/>
  <c r="C1763" i="1"/>
  <c r="I1762" i="1"/>
  <c r="H1762" i="1"/>
  <c r="G1762" i="1"/>
  <c r="F1762" i="1"/>
  <c r="E1762" i="1"/>
  <c r="D1762" i="1"/>
  <c r="C1762" i="1"/>
  <c r="I1761" i="1"/>
  <c r="H1761" i="1"/>
  <c r="G1761" i="1"/>
  <c r="F1761" i="1"/>
  <c r="E1761" i="1"/>
  <c r="D1761" i="1"/>
  <c r="C1761" i="1"/>
  <c r="I1760" i="1"/>
  <c r="H1760" i="1"/>
  <c r="G1760" i="1"/>
  <c r="F1760" i="1"/>
  <c r="E1760" i="1"/>
  <c r="D1760" i="1"/>
  <c r="C1760" i="1"/>
  <c r="I1759" i="1"/>
  <c r="H1759" i="1"/>
  <c r="G1759" i="1"/>
  <c r="F1759" i="1"/>
  <c r="E1759" i="1"/>
  <c r="D1759" i="1"/>
  <c r="C1759" i="1"/>
  <c r="I1758" i="1"/>
  <c r="H1758" i="1"/>
  <c r="G1758" i="1"/>
  <c r="F1758" i="1"/>
  <c r="E1758" i="1"/>
  <c r="D1758" i="1"/>
  <c r="C1758" i="1"/>
  <c r="I1757" i="1"/>
  <c r="H1757" i="1"/>
  <c r="G1757" i="1"/>
  <c r="F1757" i="1"/>
  <c r="E1757" i="1"/>
  <c r="D1757" i="1"/>
  <c r="C1757" i="1"/>
  <c r="I1756" i="1"/>
  <c r="H1756" i="1"/>
  <c r="G1756" i="1"/>
  <c r="F1756" i="1"/>
  <c r="E1756" i="1"/>
  <c r="D1756" i="1"/>
  <c r="C1756" i="1"/>
  <c r="I1755" i="1"/>
  <c r="H1755" i="1"/>
  <c r="G1755" i="1"/>
  <c r="F1755" i="1"/>
  <c r="E1755" i="1"/>
  <c r="D1755" i="1"/>
  <c r="C1755" i="1"/>
  <c r="I1754" i="1"/>
  <c r="H1754" i="1"/>
  <c r="G1754" i="1"/>
  <c r="F1754" i="1"/>
  <c r="E1754" i="1"/>
  <c r="D1754" i="1"/>
  <c r="C1754" i="1"/>
  <c r="I1753" i="1"/>
  <c r="H1753" i="1"/>
  <c r="G1753" i="1"/>
  <c r="F1753" i="1"/>
  <c r="E1753" i="1"/>
  <c r="D1753" i="1"/>
  <c r="C1753" i="1"/>
  <c r="I1752" i="1"/>
  <c r="H1752" i="1"/>
  <c r="G1752" i="1"/>
  <c r="F1752" i="1"/>
  <c r="E1752" i="1"/>
  <c r="D1752" i="1"/>
  <c r="C1752" i="1"/>
  <c r="I1751" i="1"/>
  <c r="H1751" i="1"/>
  <c r="G1751" i="1"/>
  <c r="F1751" i="1"/>
  <c r="E1751" i="1"/>
  <c r="D1751" i="1"/>
  <c r="C1751" i="1"/>
  <c r="I1750" i="1"/>
  <c r="H1750" i="1"/>
  <c r="G1750" i="1"/>
  <c r="F1750" i="1"/>
  <c r="E1750" i="1"/>
  <c r="D1750" i="1"/>
  <c r="C1750" i="1"/>
  <c r="I1749" i="1"/>
  <c r="H1749" i="1"/>
  <c r="G1749" i="1"/>
  <c r="F1749" i="1"/>
  <c r="E1749" i="1"/>
  <c r="D1749" i="1"/>
  <c r="C1749" i="1"/>
  <c r="I1748" i="1"/>
  <c r="H1748" i="1"/>
  <c r="G1748" i="1"/>
  <c r="F1748" i="1"/>
  <c r="E1748" i="1"/>
  <c r="D1748" i="1"/>
  <c r="C1748" i="1"/>
  <c r="I1747" i="1"/>
  <c r="H1747" i="1"/>
  <c r="G1747" i="1"/>
  <c r="F1747" i="1"/>
  <c r="E1747" i="1"/>
  <c r="D1747" i="1"/>
  <c r="C1747" i="1"/>
  <c r="I1746" i="1"/>
  <c r="H1746" i="1"/>
  <c r="G1746" i="1"/>
  <c r="F1746" i="1"/>
  <c r="E1746" i="1"/>
  <c r="D1746" i="1"/>
  <c r="C1746" i="1"/>
  <c r="I1745" i="1"/>
  <c r="H1745" i="1"/>
  <c r="G1745" i="1"/>
  <c r="F1745" i="1"/>
  <c r="E1745" i="1"/>
  <c r="D1745" i="1"/>
  <c r="C1745" i="1"/>
  <c r="I1744" i="1"/>
  <c r="H1744" i="1"/>
  <c r="G1744" i="1"/>
  <c r="F1744" i="1"/>
  <c r="E1744" i="1"/>
  <c r="D1744" i="1"/>
  <c r="C1744" i="1"/>
  <c r="I1743" i="1"/>
  <c r="H1743" i="1"/>
  <c r="G1743" i="1"/>
  <c r="F1743" i="1"/>
  <c r="E1743" i="1"/>
  <c r="D1743" i="1"/>
  <c r="C1743" i="1"/>
  <c r="I1742" i="1"/>
  <c r="H1742" i="1"/>
  <c r="G1742" i="1"/>
  <c r="F1742" i="1"/>
  <c r="E1742" i="1"/>
  <c r="D1742" i="1"/>
  <c r="C1742" i="1"/>
  <c r="I1741" i="1"/>
  <c r="H1741" i="1"/>
  <c r="G1741" i="1"/>
  <c r="F1741" i="1"/>
  <c r="E1741" i="1"/>
  <c r="D1741" i="1"/>
  <c r="C1741" i="1"/>
  <c r="I1740" i="1"/>
  <c r="H1740" i="1"/>
  <c r="G1740" i="1"/>
  <c r="F1740" i="1"/>
  <c r="E1740" i="1"/>
  <c r="D1740" i="1"/>
  <c r="C1740" i="1"/>
  <c r="I1739" i="1"/>
  <c r="H1739" i="1"/>
  <c r="G1739" i="1"/>
  <c r="F1739" i="1"/>
  <c r="E1739" i="1"/>
  <c r="D1739" i="1"/>
  <c r="C1739" i="1"/>
  <c r="I1738" i="1"/>
  <c r="H1738" i="1"/>
  <c r="G1738" i="1"/>
  <c r="F1738" i="1"/>
  <c r="E1738" i="1"/>
  <c r="D1738" i="1"/>
  <c r="C1738" i="1"/>
  <c r="I1737" i="1"/>
  <c r="H1737" i="1"/>
  <c r="G1737" i="1"/>
  <c r="F1737" i="1"/>
  <c r="E1737" i="1"/>
  <c r="D1737" i="1"/>
  <c r="C1737" i="1"/>
  <c r="I1736" i="1"/>
  <c r="H1736" i="1"/>
  <c r="G1736" i="1"/>
  <c r="F1736" i="1"/>
  <c r="E1736" i="1"/>
  <c r="D1736" i="1"/>
  <c r="C1736" i="1"/>
  <c r="I1735" i="1"/>
  <c r="H1735" i="1"/>
  <c r="G1735" i="1"/>
  <c r="F1735" i="1"/>
  <c r="E1735" i="1"/>
  <c r="D1735" i="1"/>
  <c r="C1735" i="1"/>
  <c r="I1734" i="1"/>
  <c r="H1734" i="1"/>
  <c r="G1734" i="1"/>
  <c r="F1734" i="1"/>
  <c r="E1734" i="1"/>
  <c r="D1734" i="1"/>
  <c r="C1734" i="1"/>
  <c r="I1733" i="1"/>
  <c r="H1733" i="1"/>
  <c r="G1733" i="1"/>
  <c r="F1733" i="1"/>
  <c r="E1733" i="1"/>
  <c r="D1733" i="1"/>
  <c r="C1733" i="1"/>
  <c r="I1732" i="1"/>
  <c r="H1732" i="1"/>
  <c r="G1732" i="1"/>
  <c r="F1732" i="1"/>
  <c r="E1732" i="1"/>
  <c r="D1732" i="1"/>
  <c r="C1732" i="1"/>
  <c r="I1731" i="1"/>
  <c r="H1731" i="1"/>
  <c r="G1731" i="1"/>
  <c r="F1731" i="1"/>
  <c r="E1731" i="1"/>
  <c r="D1731" i="1"/>
  <c r="C1731" i="1"/>
  <c r="I1730" i="1"/>
  <c r="H1730" i="1"/>
  <c r="G1730" i="1"/>
  <c r="F1730" i="1"/>
  <c r="E1730" i="1"/>
  <c r="D1730" i="1"/>
  <c r="C1730" i="1"/>
  <c r="I1729" i="1"/>
  <c r="H1729" i="1"/>
  <c r="G1729" i="1"/>
  <c r="F1729" i="1"/>
  <c r="E1729" i="1"/>
  <c r="D1729" i="1"/>
  <c r="C1729" i="1"/>
  <c r="I1728" i="1"/>
  <c r="H1728" i="1"/>
  <c r="G1728" i="1"/>
  <c r="F1728" i="1"/>
  <c r="E1728" i="1"/>
  <c r="D1728" i="1"/>
  <c r="C1728" i="1"/>
  <c r="I1727" i="1"/>
  <c r="H1727" i="1"/>
  <c r="G1727" i="1"/>
  <c r="F1727" i="1"/>
  <c r="E1727" i="1"/>
  <c r="D1727" i="1"/>
  <c r="C1727" i="1"/>
  <c r="I1726" i="1"/>
  <c r="H1726" i="1"/>
  <c r="G1726" i="1"/>
  <c r="F1726" i="1"/>
  <c r="E1726" i="1"/>
  <c r="D1726" i="1"/>
  <c r="C1726" i="1"/>
  <c r="I1725" i="1"/>
  <c r="H1725" i="1"/>
  <c r="G1725" i="1"/>
  <c r="F1725" i="1"/>
  <c r="E1725" i="1"/>
  <c r="D1725" i="1"/>
  <c r="C1725" i="1"/>
  <c r="I1724" i="1"/>
  <c r="H1724" i="1"/>
  <c r="G1724" i="1"/>
  <c r="F1724" i="1"/>
  <c r="E1724" i="1"/>
  <c r="D1724" i="1"/>
  <c r="C1724" i="1"/>
  <c r="I1723" i="1"/>
  <c r="H1723" i="1"/>
  <c r="G1723" i="1"/>
  <c r="F1723" i="1"/>
  <c r="E1723" i="1"/>
  <c r="D1723" i="1"/>
  <c r="C1723" i="1"/>
  <c r="I1722" i="1"/>
  <c r="H1722" i="1"/>
  <c r="G1722" i="1"/>
  <c r="F1722" i="1"/>
  <c r="E1722" i="1"/>
  <c r="D1722" i="1"/>
  <c r="C1722" i="1"/>
  <c r="I1721" i="1"/>
  <c r="H1721" i="1"/>
  <c r="G1721" i="1"/>
  <c r="F1721" i="1"/>
  <c r="E1721" i="1"/>
  <c r="D1721" i="1"/>
  <c r="C1721" i="1"/>
  <c r="I1720" i="1"/>
  <c r="H1720" i="1"/>
  <c r="G1720" i="1"/>
  <c r="F1720" i="1"/>
  <c r="E1720" i="1"/>
  <c r="D1720" i="1"/>
  <c r="C1720" i="1"/>
  <c r="I1719" i="1"/>
  <c r="H1719" i="1"/>
  <c r="G1719" i="1"/>
  <c r="F1719" i="1"/>
  <c r="E1719" i="1"/>
  <c r="D1719" i="1"/>
  <c r="C1719" i="1"/>
  <c r="I1718" i="1"/>
  <c r="H1718" i="1"/>
  <c r="G1718" i="1"/>
  <c r="F1718" i="1"/>
  <c r="E1718" i="1"/>
  <c r="D1718" i="1"/>
  <c r="C1718" i="1"/>
  <c r="I1717" i="1"/>
  <c r="H1717" i="1"/>
  <c r="G1717" i="1"/>
  <c r="F1717" i="1"/>
  <c r="E1717" i="1"/>
  <c r="D1717" i="1"/>
  <c r="C1717" i="1"/>
  <c r="I1716" i="1"/>
  <c r="H1716" i="1"/>
  <c r="G1716" i="1"/>
  <c r="F1716" i="1"/>
  <c r="E1716" i="1"/>
  <c r="D1716" i="1"/>
  <c r="C1716" i="1"/>
  <c r="I1715" i="1"/>
  <c r="H1715" i="1"/>
  <c r="G1715" i="1"/>
  <c r="F1715" i="1"/>
  <c r="E1715" i="1"/>
  <c r="D1715" i="1"/>
  <c r="C1715" i="1"/>
  <c r="I1714" i="1"/>
  <c r="H1714" i="1"/>
  <c r="G1714" i="1"/>
  <c r="F1714" i="1"/>
  <c r="E1714" i="1"/>
  <c r="D1714" i="1"/>
  <c r="C1714" i="1"/>
  <c r="I1713" i="1"/>
  <c r="H1713" i="1"/>
  <c r="G1713" i="1"/>
  <c r="F1713" i="1"/>
  <c r="E1713" i="1"/>
  <c r="D1713" i="1"/>
  <c r="C1713" i="1"/>
  <c r="I1712" i="1"/>
  <c r="H1712" i="1"/>
  <c r="G1712" i="1"/>
  <c r="F1712" i="1"/>
  <c r="E1712" i="1"/>
  <c r="D1712" i="1"/>
  <c r="C1712" i="1"/>
  <c r="I1711" i="1"/>
  <c r="H1711" i="1"/>
  <c r="G1711" i="1"/>
  <c r="F1711" i="1"/>
  <c r="E1711" i="1"/>
  <c r="D1711" i="1"/>
  <c r="C1711" i="1"/>
  <c r="I1710" i="1"/>
  <c r="H1710" i="1"/>
  <c r="G1710" i="1"/>
  <c r="F1710" i="1"/>
  <c r="E1710" i="1"/>
  <c r="D1710" i="1"/>
  <c r="C1710" i="1"/>
  <c r="I1709" i="1"/>
  <c r="H1709" i="1"/>
  <c r="G1709" i="1"/>
  <c r="F1709" i="1"/>
  <c r="E1709" i="1"/>
  <c r="D1709" i="1"/>
  <c r="C1709" i="1"/>
  <c r="I1708" i="1"/>
  <c r="H1708" i="1"/>
  <c r="G1708" i="1"/>
  <c r="F1708" i="1"/>
  <c r="E1708" i="1"/>
  <c r="D1708" i="1"/>
  <c r="C1708" i="1"/>
  <c r="I1707" i="1"/>
  <c r="H1707" i="1"/>
  <c r="G1707" i="1"/>
  <c r="F1707" i="1"/>
  <c r="E1707" i="1"/>
  <c r="D1707" i="1"/>
  <c r="C1707" i="1"/>
  <c r="I1706" i="1"/>
  <c r="H1706" i="1"/>
  <c r="G1706" i="1"/>
  <c r="F1706" i="1"/>
  <c r="E1706" i="1"/>
  <c r="D1706" i="1"/>
  <c r="C1706" i="1"/>
  <c r="I1705" i="1"/>
  <c r="H1705" i="1"/>
  <c r="G1705" i="1"/>
  <c r="F1705" i="1"/>
  <c r="E1705" i="1"/>
  <c r="D1705" i="1"/>
  <c r="C1705" i="1"/>
  <c r="I1704" i="1"/>
  <c r="H1704" i="1"/>
  <c r="G1704" i="1"/>
  <c r="F1704" i="1"/>
  <c r="E1704" i="1"/>
  <c r="D1704" i="1"/>
  <c r="C1704" i="1"/>
  <c r="I1703" i="1"/>
  <c r="H1703" i="1"/>
  <c r="G1703" i="1"/>
  <c r="F1703" i="1"/>
  <c r="E1703" i="1"/>
  <c r="D1703" i="1"/>
  <c r="C1703" i="1"/>
  <c r="I1702" i="1"/>
  <c r="H1702" i="1"/>
  <c r="G1702" i="1"/>
  <c r="F1702" i="1"/>
  <c r="E1702" i="1"/>
  <c r="D1702" i="1"/>
  <c r="C1702" i="1"/>
  <c r="I1701" i="1"/>
  <c r="H1701" i="1"/>
  <c r="G1701" i="1"/>
  <c r="F1701" i="1"/>
  <c r="E1701" i="1"/>
  <c r="D1701" i="1"/>
  <c r="C1701" i="1"/>
  <c r="I1700" i="1"/>
  <c r="H1700" i="1"/>
  <c r="G1700" i="1"/>
  <c r="F1700" i="1"/>
  <c r="E1700" i="1"/>
  <c r="D1700" i="1"/>
  <c r="C1700" i="1"/>
  <c r="I1699" i="1"/>
  <c r="H1699" i="1"/>
  <c r="G1699" i="1"/>
  <c r="F1699" i="1"/>
  <c r="E1699" i="1"/>
  <c r="D1699" i="1"/>
  <c r="C1699" i="1"/>
  <c r="I1698" i="1"/>
  <c r="H1698" i="1"/>
  <c r="G1698" i="1"/>
  <c r="F1698" i="1"/>
  <c r="E1698" i="1"/>
  <c r="D1698" i="1"/>
  <c r="C1698" i="1"/>
  <c r="I1697" i="1"/>
  <c r="H1697" i="1"/>
  <c r="G1697" i="1"/>
  <c r="F1697" i="1"/>
  <c r="E1697" i="1"/>
  <c r="D1697" i="1"/>
  <c r="C1697" i="1"/>
  <c r="I1696" i="1"/>
  <c r="H1696" i="1"/>
  <c r="G1696" i="1"/>
  <c r="F1696" i="1"/>
  <c r="E1696" i="1"/>
  <c r="D1696" i="1"/>
  <c r="C1696" i="1"/>
  <c r="I1695" i="1"/>
  <c r="H1695" i="1"/>
  <c r="G1695" i="1"/>
  <c r="F1695" i="1"/>
  <c r="E1695" i="1"/>
  <c r="D1695" i="1"/>
  <c r="C1695" i="1"/>
  <c r="I1694" i="1"/>
  <c r="H1694" i="1"/>
  <c r="G1694" i="1"/>
  <c r="F1694" i="1"/>
  <c r="E1694" i="1"/>
  <c r="D1694" i="1"/>
  <c r="C1694" i="1"/>
  <c r="I1693" i="1"/>
  <c r="H1693" i="1"/>
  <c r="G1693" i="1"/>
  <c r="F1693" i="1"/>
  <c r="E1693" i="1"/>
  <c r="D1693" i="1"/>
  <c r="C1693" i="1"/>
  <c r="I1692" i="1"/>
  <c r="H1692" i="1"/>
  <c r="G1692" i="1"/>
  <c r="F1692" i="1"/>
  <c r="E1692" i="1"/>
  <c r="D1692" i="1"/>
  <c r="C1692" i="1"/>
  <c r="I1691" i="1"/>
  <c r="H1691" i="1"/>
  <c r="G1691" i="1"/>
  <c r="F1691" i="1"/>
  <c r="E1691" i="1"/>
  <c r="D1691" i="1"/>
  <c r="C1691" i="1"/>
  <c r="I1690" i="1"/>
  <c r="H1690" i="1"/>
  <c r="G1690" i="1"/>
  <c r="F1690" i="1"/>
  <c r="E1690" i="1"/>
  <c r="D1690" i="1"/>
  <c r="C1690" i="1"/>
  <c r="I1689" i="1"/>
  <c r="H1689" i="1"/>
  <c r="G1689" i="1"/>
  <c r="F1689" i="1"/>
  <c r="E1689" i="1"/>
  <c r="D1689" i="1"/>
  <c r="C1689" i="1"/>
  <c r="I1688" i="1"/>
  <c r="H1688" i="1"/>
  <c r="G1688" i="1"/>
  <c r="F1688" i="1"/>
  <c r="E1688" i="1"/>
  <c r="D1688" i="1"/>
  <c r="C1688" i="1"/>
  <c r="I1687" i="1"/>
  <c r="H1687" i="1"/>
  <c r="G1687" i="1"/>
  <c r="F1687" i="1"/>
  <c r="E1687" i="1"/>
  <c r="D1687" i="1"/>
  <c r="C1687" i="1"/>
  <c r="I1686" i="1"/>
  <c r="H1686" i="1"/>
  <c r="G1686" i="1"/>
  <c r="F1686" i="1"/>
  <c r="E1686" i="1"/>
  <c r="D1686" i="1"/>
  <c r="C1686" i="1"/>
  <c r="I1685" i="1"/>
  <c r="H1685" i="1"/>
  <c r="G1685" i="1"/>
  <c r="F1685" i="1"/>
  <c r="E1685" i="1"/>
  <c r="D1685" i="1"/>
  <c r="C1685" i="1"/>
  <c r="I1684" i="1"/>
  <c r="H1684" i="1"/>
  <c r="G1684" i="1"/>
  <c r="F1684" i="1"/>
  <c r="E1684" i="1"/>
  <c r="D1684" i="1"/>
  <c r="C1684" i="1"/>
  <c r="I1683" i="1"/>
  <c r="H1683" i="1"/>
  <c r="G1683" i="1"/>
  <c r="F1683" i="1"/>
  <c r="E1683" i="1"/>
  <c r="D1683" i="1"/>
  <c r="C1683" i="1"/>
  <c r="I1682" i="1"/>
  <c r="H1682" i="1"/>
  <c r="G1682" i="1"/>
  <c r="F1682" i="1"/>
  <c r="E1682" i="1"/>
  <c r="D1682" i="1"/>
  <c r="C1682" i="1"/>
  <c r="I1681" i="1"/>
  <c r="H1681" i="1"/>
  <c r="G1681" i="1"/>
  <c r="F1681" i="1"/>
  <c r="E1681" i="1"/>
  <c r="D1681" i="1"/>
  <c r="C1681" i="1"/>
  <c r="I1680" i="1"/>
  <c r="H1680" i="1"/>
  <c r="G1680" i="1"/>
  <c r="F1680" i="1"/>
  <c r="E1680" i="1"/>
  <c r="D1680" i="1"/>
  <c r="C1680" i="1"/>
  <c r="I1679" i="1"/>
  <c r="H1679" i="1"/>
  <c r="G1679" i="1"/>
  <c r="F1679" i="1"/>
  <c r="E1679" i="1"/>
  <c r="D1679" i="1"/>
  <c r="C1679" i="1"/>
  <c r="I1678" i="1"/>
  <c r="H1678" i="1"/>
  <c r="G1678" i="1"/>
  <c r="F1678" i="1"/>
  <c r="E1678" i="1"/>
  <c r="D1678" i="1"/>
  <c r="C1678" i="1"/>
  <c r="I1677" i="1"/>
  <c r="H1677" i="1"/>
  <c r="G1677" i="1"/>
  <c r="F1677" i="1"/>
  <c r="E1677" i="1"/>
  <c r="D1677" i="1"/>
  <c r="C1677" i="1"/>
  <c r="I1676" i="1"/>
  <c r="H1676" i="1"/>
  <c r="G1676" i="1"/>
  <c r="F1676" i="1"/>
  <c r="E1676" i="1"/>
  <c r="D1676" i="1"/>
  <c r="C1676" i="1"/>
  <c r="I1675" i="1"/>
  <c r="H1675" i="1"/>
  <c r="G1675" i="1"/>
  <c r="F1675" i="1"/>
  <c r="E1675" i="1"/>
  <c r="D1675" i="1"/>
  <c r="C1675" i="1"/>
  <c r="I1674" i="1"/>
  <c r="H1674" i="1"/>
  <c r="G1674" i="1"/>
  <c r="F1674" i="1"/>
  <c r="E1674" i="1"/>
  <c r="D1674" i="1"/>
  <c r="C1674" i="1"/>
  <c r="I1673" i="1"/>
  <c r="H1673" i="1"/>
  <c r="G1673" i="1"/>
  <c r="F1673" i="1"/>
  <c r="E1673" i="1"/>
  <c r="D1673" i="1"/>
  <c r="C1673" i="1"/>
  <c r="I1672" i="1"/>
  <c r="H1672" i="1"/>
  <c r="G1672" i="1"/>
  <c r="F1672" i="1"/>
  <c r="E1672" i="1"/>
  <c r="D1672" i="1"/>
  <c r="C1672" i="1"/>
  <c r="I1671" i="1"/>
  <c r="H1671" i="1"/>
  <c r="G1671" i="1"/>
  <c r="F1671" i="1"/>
  <c r="E1671" i="1"/>
  <c r="D1671" i="1"/>
  <c r="C1671" i="1"/>
  <c r="I1670" i="1"/>
  <c r="H1670" i="1"/>
  <c r="G1670" i="1"/>
  <c r="F1670" i="1"/>
  <c r="E1670" i="1"/>
  <c r="D1670" i="1"/>
  <c r="C1670" i="1"/>
  <c r="I1669" i="1"/>
  <c r="H1669" i="1"/>
  <c r="G1669" i="1"/>
  <c r="F1669" i="1"/>
  <c r="E1669" i="1"/>
  <c r="D1669" i="1"/>
  <c r="C1669" i="1"/>
  <c r="I1668" i="1"/>
  <c r="H1668" i="1"/>
  <c r="G1668" i="1"/>
  <c r="F1668" i="1"/>
  <c r="E1668" i="1"/>
  <c r="D1668" i="1"/>
  <c r="C1668" i="1"/>
  <c r="I1667" i="1"/>
  <c r="H1667" i="1"/>
  <c r="G1667" i="1"/>
  <c r="F1667" i="1"/>
  <c r="E1667" i="1"/>
  <c r="D1667" i="1"/>
  <c r="C1667" i="1"/>
  <c r="I1666" i="1"/>
  <c r="H1666" i="1"/>
  <c r="G1666" i="1"/>
  <c r="F1666" i="1"/>
  <c r="E1666" i="1"/>
  <c r="D1666" i="1"/>
  <c r="C1666" i="1"/>
  <c r="I1665" i="1"/>
  <c r="H1665" i="1"/>
  <c r="G1665" i="1"/>
  <c r="F1665" i="1"/>
  <c r="E1665" i="1"/>
  <c r="D1665" i="1"/>
  <c r="C1665" i="1"/>
  <c r="I1664" i="1"/>
  <c r="H1664" i="1"/>
  <c r="G1664" i="1"/>
  <c r="F1664" i="1"/>
  <c r="E1664" i="1"/>
  <c r="D1664" i="1"/>
  <c r="C1664" i="1"/>
  <c r="I1663" i="1"/>
  <c r="H1663" i="1"/>
  <c r="G1663" i="1"/>
  <c r="F1663" i="1"/>
  <c r="E1663" i="1"/>
  <c r="D1663" i="1"/>
  <c r="C1663" i="1"/>
  <c r="I1662" i="1"/>
  <c r="H1662" i="1"/>
  <c r="G1662" i="1"/>
  <c r="F1662" i="1"/>
  <c r="E1662" i="1"/>
  <c r="D1662" i="1"/>
  <c r="C1662" i="1"/>
  <c r="I1661" i="1"/>
  <c r="H1661" i="1"/>
  <c r="G1661" i="1"/>
  <c r="F1661" i="1"/>
  <c r="E1661" i="1"/>
  <c r="D1661" i="1"/>
  <c r="C1661" i="1"/>
  <c r="I1660" i="1"/>
  <c r="H1660" i="1"/>
  <c r="G1660" i="1"/>
  <c r="F1660" i="1"/>
  <c r="E1660" i="1"/>
  <c r="D1660" i="1"/>
  <c r="C1660" i="1"/>
  <c r="I1659" i="1"/>
  <c r="H1659" i="1"/>
  <c r="G1659" i="1"/>
  <c r="F1659" i="1"/>
  <c r="E1659" i="1"/>
  <c r="D1659" i="1"/>
  <c r="C1659" i="1"/>
  <c r="I1658" i="1"/>
  <c r="H1658" i="1"/>
  <c r="G1658" i="1"/>
  <c r="F1658" i="1"/>
  <c r="E1658" i="1"/>
  <c r="D1658" i="1"/>
  <c r="C1658" i="1"/>
  <c r="I1657" i="1"/>
  <c r="H1657" i="1"/>
  <c r="G1657" i="1"/>
  <c r="F1657" i="1"/>
  <c r="E1657" i="1"/>
  <c r="D1657" i="1"/>
  <c r="C1657" i="1"/>
  <c r="I1656" i="1"/>
  <c r="H1656" i="1"/>
  <c r="G1656" i="1"/>
  <c r="F1656" i="1"/>
  <c r="E1656" i="1"/>
  <c r="D1656" i="1"/>
  <c r="C1656" i="1"/>
  <c r="I1655" i="1"/>
  <c r="H1655" i="1"/>
  <c r="G1655" i="1"/>
  <c r="F1655" i="1"/>
  <c r="E1655" i="1"/>
  <c r="D1655" i="1"/>
  <c r="C1655" i="1"/>
  <c r="I1654" i="1"/>
  <c r="H1654" i="1"/>
  <c r="G1654" i="1"/>
  <c r="F1654" i="1"/>
  <c r="E1654" i="1"/>
  <c r="D1654" i="1"/>
  <c r="C1654" i="1"/>
  <c r="I1653" i="1"/>
  <c r="H1653" i="1"/>
  <c r="G1653" i="1"/>
  <c r="F1653" i="1"/>
  <c r="E1653" i="1"/>
  <c r="D1653" i="1"/>
  <c r="C1653" i="1"/>
  <c r="I1652" i="1"/>
  <c r="H1652" i="1"/>
  <c r="G1652" i="1"/>
  <c r="F1652" i="1"/>
  <c r="E1652" i="1"/>
  <c r="D1652" i="1"/>
  <c r="C1652" i="1"/>
  <c r="I1651" i="1"/>
  <c r="H1651" i="1"/>
  <c r="G1651" i="1"/>
  <c r="F1651" i="1"/>
  <c r="E1651" i="1"/>
  <c r="D1651" i="1"/>
  <c r="C1651" i="1"/>
  <c r="I1650" i="1"/>
  <c r="H1650" i="1"/>
  <c r="G1650" i="1"/>
  <c r="F1650" i="1"/>
  <c r="E1650" i="1"/>
  <c r="D1650" i="1"/>
  <c r="C1650" i="1"/>
  <c r="I1649" i="1"/>
  <c r="H1649" i="1"/>
  <c r="G1649" i="1"/>
  <c r="F1649" i="1"/>
  <c r="E1649" i="1"/>
  <c r="D1649" i="1"/>
  <c r="C1649" i="1"/>
  <c r="I1648" i="1"/>
  <c r="H1648" i="1"/>
  <c r="G1648" i="1"/>
  <c r="F1648" i="1"/>
  <c r="E1648" i="1"/>
  <c r="D1648" i="1"/>
  <c r="C1648" i="1"/>
  <c r="I1647" i="1"/>
  <c r="H1647" i="1"/>
  <c r="G1647" i="1"/>
  <c r="F1647" i="1"/>
  <c r="E1647" i="1"/>
  <c r="D1647" i="1"/>
  <c r="C1647" i="1"/>
  <c r="I1646" i="1"/>
  <c r="H1646" i="1"/>
  <c r="G1646" i="1"/>
  <c r="F1646" i="1"/>
  <c r="E1646" i="1"/>
  <c r="D1646" i="1"/>
  <c r="C1646" i="1"/>
  <c r="I1645" i="1"/>
  <c r="H1645" i="1"/>
  <c r="G1645" i="1"/>
  <c r="F1645" i="1"/>
  <c r="E1645" i="1"/>
  <c r="D1645" i="1"/>
  <c r="C1645" i="1"/>
  <c r="I1644" i="1"/>
  <c r="H1644" i="1"/>
  <c r="G1644" i="1"/>
  <c r="F1644" i="1"/>
  <c r="E1644" i="1"/>
  <c r="D1644" i="1"/>
  <c r="C1644" i="1"/>
  <c r="I1643" i="1"/>
  <c r="H1643" i="1"/>
  <c r="G1643" i="1"/>
  <c r="F1643" i="1"/>
  <c r="E1643" i="1"/>
  <c r="D1643" i="1"/>
  <c r="C1643" i="1"/>
  <c r="I1642" i="1"/>
  <c r="H1642" i="1"/>
  <c r="G1642" i="1"/>
  <c r="F1642" i="1"/>
  <c r="E1642" i="1"/>
  <c r="D1642" i="1"/>
  <c r="C1642" i="1"/>
  <c r="I1641" i="1"/>
  <c r="H1641" i="1"/>
  <c r="G1641" i="1"/>
  <c r="F1641" i="1"/>
  <c r="E1641" i="1"/>
  <c r="D1641" i="1"/>
  <c r="C1641" i="1"/>
  <c r="I1640" i="1"/>
  <c r="H1640" i="1"/>
  <c r="G1640" i="1"/>
  <c r="F1640" i="1"/>
  <c r="E1640" i="1"/>
  <c r="D1640" i="1"/>
  <c r="C1640" i="1"/>
  <c r="I1639" i="1"/>
  <c r="H1639" i="1"/>
  <c r="G1639" i="1"/>
  <c r="F1639" i="1"/>
  <c r="E1639" i="1"/>
  <c r="D1639" i="1"/>
  <c r="C1639" i="1"/>
  <c r="I1638" i="1"/>
  <c r="H1638" i="1"/>
  <c r="G1638" i="1"/>
  <c r="F1638" i="1"/>
  <c r="E1638" i="1"/>
  <c r="D1638" i="1"/>
  <c r="C1638" i="1"/>
  <c r="I1637" i="1"/>
  <c r="H1637" i="1"/>
  <c r="G1637" i="1"/>
  <c r="F1637" i="1"/>
  <c r="E1637" i="1"/>
  <c r="D1637" i="1"/>
  <c r="C1637" i="1"/>
  <c r="I1636" i="1"/>
  <c r="H1636" i="1"/>
  <c r="G1636" i="1"/>
  <c r="F1636" i="1"/>
  <c r="E1636" i="1"/>
  <c r="D1636" i="1"/>
  <c r="C1636" i="1"/>
  <c r="I1635" i="1"/>
  <c r="H1635" i="1"/>
  <c r="G1635" i="1"/>
  <c r="F1635" i="1"/>
  <c r="E1635" i="1"/>
  <c r="D1635" i="1"/>
  <c r="C1635" i="1"/>
  <c r="I1634" i="1"/>
  <c r="H1634" i="1"/>
  <c r="G1634" i="1"/>
  <c r="F1634" i="1"/>
  <c r="E1634" i="1"/>
  <c r="D1634" i="1"/>
  <c r="C1634" i="1"/>
  <c r="I1633" i="1"/>
  <c r="H1633" i="1"/>
  <c r="G1633" i="1"/>
  <c r="F1633" i="1"/>
  <c r="E1633" i="1"/>
  <c r="D1633" i="1"/>
  <c r="C1633" i="1"/>
  <c r="I1632" i="1"/>
  <c r="H1632" i="1"/>
  <c r="G1632" i="1"/>
  <c r="F1632" i="1"/>
  <c r="E1632" i="1"/>
  <c r="D1632" i="1"/>
  <c r="C1632" i="1"/>
  <c r="I1631" i="1"/>
  <c r="H1631" i="1"/>
  <c r="G1631" i="1"/>
  <c r="F1631" i="1"/>
  <c r="E1631" i="1"/>
  <c r="D1631" i="1"/>
  <c r="C1631" i="1"/>
  <c r="I1630" i="1"/>
  <c r="H1630" i="1"/>
  <c r="G1630" i="1"/>
  <c r="F1630" i="1"/>
  <c r="E1630" i="1"/>
  <c r="D1630" i="1"/>
  <c r="C1630" i="1"/>
  <c r="I1629" i="1"/>
  <c r="H1629" i="1"/>
  <c r="G1629" i="1"/>
  <c r="F1629" i="1"/>
  <c r="E1629" i="1"/>
  <c r="D1629" i="1"/>
  <c r="C1629" i="1"/>
  <c r="I1628" i="1"/>
  <c r="H1628" i="1"/>
  <c r="G1628" i="1"/>
  <c r="F1628" i="1"/>
  <c r="E1628" i="1"/>
  <c r="D1628" i="1"/>
  <c r="C1628" i="1"/>
  <c r="I1627" i="1"/>
  <c r="H1627" i="1"/>
  <c r="G1627" i="1"/>
  <c r="F1627" i="1"/>
  <c r="E1627" i="1"/>
  <c r="D1627" i="1"/>
  <c r="C1627" i="1"/>
  <c r="I1626" i="1"/>
  <c r="H1626" i="1"/>
  <c r="G1626" i="1"/>
  <c r="F1626" i="1"/>
  <c r="E1626" i="1"/>
  <c r="D1626" i="1"/>
  <c r="C1626" i="1"/>
  <c r="I1625" i="1"/>
  <c r="H1625" i="1"/>
  <c r="G1625" i="1"/>
  <c r="F1625" i="1"/>
  <c r="E1625" i="1"/>
  <c r="D1625" i="1"/>
  <c r="C1625" i="1"/>
  <c r="I1624" i="1"/>
  <c r="H1624" i="1"/>
  <c r="G1624" i="1"/>
  <c r="F1624" i="1"/>
  <c r="E1624" i="1"/>
  <c r="D1624" i="1"/>
  <c r="C1624" i="1"/>
  <c r="I1623" i="1"/>
  <c r="H1623" i="1"/>
  <c r="G1623" i="1"/>
  <c r="F1623" i="1"/>
  <c r="E1623" i="1"/>
  <c r="D1623" i="1"/>
  <c r="C1623" i="1"/>
  <c r="I1622" i="1"/>
  <c r="H1622" i="1"/>
  <c r="G1622" i="1"/>
  <c r="F1622" i="1"/>
  <c r="E1622" i="1"/>
  <c r="D1622" i="1"/>
  <c r="C1622" i="1"/>
  <c r="I1621" i="1"/>
  <c r="H1621" i="1"/>
  <c r="G1621" i="1"/>
  <c r="F1621" i="1"/>
  <c r="E1621" i="1"/>
  <c r="D1621" i="1"/>
  <c r="C1621" i="1"/>
  <c r="I1620" i="1"/>
  <c r="H1620" i="1"/>
  <c r="G1620" i="1"/>
  <c r="F1620" i="1"/>
  <c r="E1620" i="1"/>
  <c r="D1620" i="1"/>
  <c r="C1620" i="1"/>
  <c r="I1619" i="1"/>
  <c r="H1619" i="1"/>
  <c r="G1619" i="1"/>
  <c r="F1619" i="1"/>
  <c r="E1619" i="1"/>
  <c r="D1619" i="1"/>
  <c r="C1619" i="1"/>
  <c r="I1618" i="1"/>
  <c r="H1618" i="1"/>
  <c r="G1618" i="1"/>
  <c r="F1618" i="1"/>
  <c r="E1618" i="1"/>
  <c r="D1618" i="1"/>
  <c r="C1618" i="1"/>
  <c r="I1617" i="1"/>
  <c r="H1617" i="1"/>
  <c r="G1617" i="1"/>
  <c r="F1617" i="1"/>
  <c r="E1617" i="1"/>
  <c r="D1617" i="1"/>
  <c r="C1617" i="1"/>
  <c r="I1616" i="1"/>
  <c r="H1616" i="1"/>
  <c r="G1616" i="1"/>
  <c r="F1616" i="1"/>
  <c r="E1616" i="1"/>
  <c r="D1616" i="1"/>
  <c r="C1616" i="1"/>
  <c r="I1615" i="1"/>
  <c r="H1615" i="1"/>
  <c r="G1615" i="1"/>
  <c r="F1615" i="1"/>
  <c r="E1615" i="1"/>
  <c r="D1615" i="1"/>
  <c r="C1615" i="1"/>
  <c r="I1614" i="1"/>
  <c r="H1614" i="1"/>
  <c r="G1614" i="1"/>
  <c r="F1614" i="1"/>
  <c r="E1614" i="1"/>
  <c r="D1614" i="1"/>
  <c r="C1614" i="1"/>
  <c r="I1613" i="1"/>
  <c r="H1613" i="1"/>
  <c r="G1613" i="1"/>
  <c r="F1613" i="1"/>
  <c r="E1613" i="1"/>
  <c r="D1613" i="1"/>
  <c r="C1613" i="1"/>
  <c r="I1612" i="1"/>
  <c r="H1612" i="1"/>
  <c r="G1612" i="1"/>
  <c r="F1612" i="1"/>
  <c r="E1612" i="1"/>
  <c r="D1612" i="1"/>
  <c r="C1612" i="1"/>
  <c r="I1611" i="1"/>
  <c r="H1611" i="1"/>
  <c r="G1611" i="1"/>
  <c r="F1611" i="1"/>
  <c r="E1611" i="1"/>
  <c r="D1611" i="1"/>
  <c r="C1611" i="1"/>
  <c r="I1610" i="1"/>
  <c r="H1610" i="1"/>
  <c r="G1610" i="1"/>
  <c r="F1610" i="1"/>
  <c r="E1610" i="1"/>
  <c r="D1610" i="1"/>
  <c r="C1610" i="1"/>
  <c r="I1609" i="1"/>
  <c r="H1609" i="1"/>
  <c r="G1609" i="1"/>
  <c r="F1609" i="1"/>
  <c r="E1609" i="1"/>
  <c r="D1609" i="1"/>
  <c r="C1609" i="1"/>
  <c r="I1608" i="1"/>
  <c r="H1608" i="1"/>
  <c r="G1608" i="1"/>
  <c r="F1608" i="1"/>
  <c r="E1608" i="1"/>
  <c r="D1608" i="1"/>
  <c r="C1608" i="1"/>
  <c r="I1607" i="1"/>
  <c r="H1607" i="1"/>
  <c r="G1607" i="1"/>
  <c r="F1607" i="1"/>
  <c r="E1607" i="1"/>
  <c r="D1607" i="1"/>
  <c r="C1607" i="1"/>
  <c r="I1606" i="1"/>
  <c r="H1606" i="1"/>
  <c r="G1606" i="1"/>
  <c r="F1606" i="1"/>
  <c r="E1606" i="1"/>
  <c r="D1606" i="1"/>
  <c r="C1606" i="1"/>
  <c r="I1605" i="1"/>
  <c r="H1605" i="1"/>
  <c r="G1605" i="1"/>
  <c r="F1605" i="1"/>
  <c r="E1605" i="1"/>
  <c r="D1605" i="1"/>
  <c r="C1605" i="1"/>
  <c r="I1604" i="1"/>
  <c r="H1604" i="1"/>
  <c r="G1604" i="1"/>
  <c r="F1604" i="1"/>
  <c r="E1604" i="1"/>
  <c r="D1604" i="1"/>
  <c r="C1604" i="1"/>
  <c r="I1603" i="1"/>
  <c r="H1603" i="1"/>
  <c r="G1603" i="1"/>
  <c r="F1603" i="1"/>
  <c r="E1603" i="1"/>
  <c r="D1603" i="1"/>
  <c r="C1603" i="1"/>
  <c r="I1602" i="1"/>
  <c r="H1602" i="1"/>
  <c r="G1602" i="1"/>
  <c r="F1602" i="1"/>
  <c r="E1602" i="1"/>
  <c r="D1602" i="1"/>
  <c r="C1602" i="1"/>
  <c r="I1601" i="1"/>
  <c r="H1601" i="1"/>
  <c r="G1601" i="1"/>
  <c r="F1601" i="1"/>
  <c r="E1601" i="1"/>
  <c r="D1601" i="1"/>
  <c r="C1601" i="1"/>
  <c r="I1600" i="1"/>
  <c r="H1600" i="1"/>
  <c r="G1600" i="1"/>
  <c r="F1600" i="1"/>
  <c r="E1600" i="1"/>
  <c r="D1600" i="1"/>
  <c r="C1600" i="1"/>
  <c r="I1599" i="1"/>
  <c r="H1599" i="1"/>
  <c r="G1599" i="1"/>
  <c r="F1599" i="1"/>
  <c r="E1599" i="1"/>
  <c r="D1599" i="1"/>
  <c r="C1599" i="1"/>
  <c r="I1598" i="1"/>
  <c r="H1598" i="1"/>
  <c r="G1598" i="1"/>
  <c r="F1598" i="1"/>
  <c r="E1598" i="1"/>
  <c r="D1598" i="1"/>
  <c r="C1598" i="1"/>
  <c r="I1597" i="1"/>
  <c r="H1597" i="1"/>
  <c r="G1597" i="1"/>
  <c r="F1597" i="1"/>
  <c r="E1597" i="1"/>
  <c r="D1597" i="1"/>
  <c r="C1597" i="1"/>
  <c r="I1596" i="1"/>
  <c r="H1596" i="1"/>
  <c r="G1596" i="1"/>
  <c r="F1596" i="1"/>
  <c r="E1596" i="1"/>
  <c r="D1596" i="1"/>
  <c r="C1596" i="1"/>
  <c r="I1595" i="1"/>
  <c r="H1595" i="1"/>
  <c r="G1595" i="1"/>
  <c r="F1595" i="1"/>
  <c r="E1595" i="1"/>
  <c r="D1595" i="1"/>
  <c r="C1595" i="1"/>
  <c r="I1594" i="1"/>
  <c r="H1594" i="1"/>
  <c r="G1594" i="1"/>
  <c r="F1594" i="1"/>
  <c r="E1594" i="1"/>
  <c r="D1594" i="1"/>
  <c r="C1594" i="1"/>
  <c r="I1593" i="1"/>
  <c r="H1593" i="1"/>
  <c r="G1593" i="1"/>
  <c r="F1593" i="1"/>
  <c r="E1593" i="1"/>
  <c r="D1593" i="1"/>
  <c r="C1593" i="1"/>
  <c r="I1592" i="1"/>
  <c r="H1592" i="1"/>
  <c r="G1592" i="1"/>
  <c r="F1592" i="1"/>
  <c r="E1592" i="1"/>
  <c r="D1592" i="1"/>
  <c r="C1592" i="1"/>
  <c r="I1591" i="1"/>
  <c r="H1591" i="1"/>
  <c r="G1591" i="1"/>
  <c r="F1591" i="1"/>
  <c r="E1591" i="1"/>
  <c r="D1591" i="1"/>
  <c r="C1591" i="1"/>
  <c r="I1590" i="1"/>
  <c r="H1590" i="1"/>
  <c r="G1590" i="1"/>
  <c r="F1590" i="1"/>
  <c r="E1590" i="1"/>
  <c r="D1590" i="1"/>
  <c r="C1590" i="1"/>
  <c r="I1589" i="1"/>
  <c r="H1589" i="1"/>
  <c r="G1589" i="1"/>
  <c r="F1589" i="1"/>
  <c r="E1589" i="1"/>
  <c r="D1589" i="1"/>
  <c r="C1589" i="1"/>
  <c r="I1588" i="1"/>
  <c r="H1588" i="1"/>
  <c r="G1588" i="1"/>
  <c r="F1588" i="1"/>
  <c r="E1588" i="1"/>
  <c r="D1588" i="1"/>
  <c r="C1588" i="1"/>
  <c r="I1587" i="1"/>
  <c r="H1587" i="1"/>
  <c r="G1587" i="1"/>
  <c r="F1587" i="1"/>
  <c r="E1587" i="1"/>
  <c r="D1587" i="1"/>
  <c r="C1587" i="1"/>
  <c r="I1586" i="1"/>
  <c r="H1586" i="1"/>
  <c r="G1586" i="1"/>
  <c r="F1586" i="1"/>
  <c r="E1586" i="1"/>
  <c r="D1586" i="1"/>
  <c r="C1586" i="1"/>
  <c r="I1585" i="1"/>
  <c r="H1585" i="1"/>
  <c r="G1585" i="1"/>
  <c r="F1585" i="1"/>
  <c r="E1585" i="1"/>
  <c r="D1585" i="1"/>
  <c r="C1585" i="1"/>
  <c r="I1584" i="1"/>
  <c r="H1584" i="1"/>
  <c r="G1584" i="1"/>
  <c r="F1584" i="1"/>
  <c r="E1584" i="1"/>
  <c r="D1584" i="1"/>
  <c r="C1584" i="1"/>
  <c r="I1583" i="1"/>
  <c r="H1583" i="1"/>
  <c r="G1583" i="1"/>
  <c r="F1583" i="1"/>
  <c r="E1583" i="1"/>
  <c r="D1583" i="1"/>
  <c r="C1583" i="1"/>
  <c r="I1582" i="1"/>
  <c r="H1582" i="1"/>
  <c r="G1582" i="1"/>
  <c r="F1582" i="1"/>
  <c r="E1582" i="1"/>
  <c r="D1582" i="1"/>
  <c r="C1582" i="1"/>
  <c r="I1581" i="1"/>
  <c r="H1581" i="1"/>
  <c r="G1581" i="1"/>
  <c r="F1581" i="1"/>
  <c r="E1581" i="1"/>
  <c r="D1581" i="1"/>
  <c r="C1581" i="1"/>
  <c r="I1580" i="1"/>
  <c r="H1580" i="1"/>
  <c r="G1580" i="1"/>
  <c r="F1580" i="1"/>
  <c r="E1580" i="1"/>
  <c r="D1580" i="1"/>
  <c r="C1580" i="1"/>
  <c r="I1579" i="1"/>
  <c r="H1579" i="1"/>
  <c r="G1579" i="1"/>
  <c r="F1579" i="1"/>
  <c r="E1579" i="1"/>
  <c r="D1579" i="1"/>
  <c r="C1579" i="1"/>
  <c r="I1578" i="1"/>
  <c r="H1578" i="1"/>
  <c r="G1578" i="1"/>
  <c r="F1578" i="1"/>
  <c r="E1578" i="1"/>
  <c r="D1578" i="1"/>
  <c r="C1578" i="1"/>
  <c r="I1577" i="1"/>
  <c r="H1577" i="1"/>
  <c r="G1577" i="1"/>
  <c r="F1577" i="1"/>
  <c r="E1577" i="1"/>
  <c r="D1577" i="1"/>
  <c r="C1577" i="1"/>
  <c r="I1576" i="1"/>
  <c r="H1576" i="1"/>
  <c r="G1576" i="1"/>
  <c r="F1576" i="1"/>
  <c r="E1576" i="1"/>
  <c r="D1576" i="1"/>
  <c r="C1576" i="1"/>
  <c r="I1575" i="1"/>
  <c r="H1575" i="1"/>
  <c r="G1575" i="1"/>
  <c r="F1575" i="1"/>
  <c r="E1575" i="1"/>
  <c r="D1575" i="1"/>
  <c r="C1575" i="1"/>
  <c r="I1574" i="1"/>
  <c r="H1574" i="1"/>
  <c r="G1574" i="1"/>
  <c r="F1574" i="1"/>
  <c r="E1574" i="1"/>
  <c r="D1574" i="1"/>
  <c r="C1574" i="1"/>
  <c r="I1573" i="1"/>
  <c r="H1573" i="1"/>
  <c r="G1573" i="1"/>
  <c r="F1573" i="1"/>
  <c r="E1573" i="1"/>
  <c r="D1573" i="1"/>
  <c r="C1573" i="1"/>
  <c r="I1572" i="1"/>
  <c r="H1572" i="1"/>
  <c r="G1572" i="1"/>
  <c r="F1572" i="1"/>
  <c r="E1572" i="1"/>
  <c r="D1572" i="1"/>
  <c r="C1572" i="1"/>
  <c r="I1571" i="1"/>
  <c r="H1571" i="1"/>
  <c r="G1571" i="1"/>
  <c r="F1571" i="1"/>
  <c r="E1571" i="1"/>
  <c r="D1571" i="1"/>
  <c r="C1571" i="1"/>
  <c r="I1570" i="1"/>
  <c r="H1570" i="1"/>
  <c r="G1570" i="1"/>
  <c r="F1570" i="1"/>
  <c r="E1570" i="1"/>
  <c r="D1570" i="1"/>
  <c r="C1570" i="1"/>
  <c r="I1569" i="1"/>
  <c r="H1569" i="1"/>
  <c r="G1569" i="1"/>
  <c r="F1569" i="1"/>
  <c r="E1569" i="1"/>
  <c r="D1569" i="1"/>
  <c r="C1569" i="1"/>
  <c r="I1568" i="1"/>
  <c r="H1568" i="1"/>
  <c r="G1568" i="1"/>
  <c r="F1568" i="1"/>
  <c r="E1568" i="1"/>
  <c r="D1568" i="1"/>
  <c r="C1568" i="1"/>
  <c r="I1567" i="1"/>
  <c r="H1567" i="1"/>
  <c r="G1567" i="1"/>
  <c r="F1567" i="1"/>
  <c r="E1567" i="1"/>
  <c r="D1567" i="1"/>
  <c r="C1567" i="1"/>
  <c r="I1566" i="1"/>
  <c r="H1566" i="1"/>
  <c r="G1566" i="1"/>
  <c r="F1566" i="1"/>
  <c r="E1566" i="1"/>
  <c r="D1566" i="1"/>
  <c r="C1566" i="1"/>
  <c r="I1565" i="1"/>
  <c r="H1565" i="1"/>
  <c r="G1565" i="1"/>
  <c r="F1565" i="1"/>
  <c r="E1565" i="1"/>
  <c r="D1565" i="1"/>
  <c r="C1565" i="1"/>
  <c r="I1564" i="1"/>
  <c r="H1564" i="1"/>
  <c r="G1564" i="1"/>
  <c r="F1564" i="1"/>
  <c r="E1564" i="1"/>
  <c r="D1564" i="1"/>
  <c r="C1564" i="1"/>
  <c r="I1563" i="1"/>
  <c r="H1563" i="1"/>
  <c r="G1563" i="1"/>
  <c r="F1563" i="1"/>
  <c r="E1563" i="1"/>
  <c r="D1563" i="1"/>
  <c r="C1563" i="1"/>
  <c r="I1562" i="1"/>
  <c r="H1562" i="1"/>
  <c r="G1562" i="1"/>
  <c r="F1562" i="1"/>
  <c r="E1562" i="1"/>
  <c r="D1562" i="1"/>
  <c r="C1562" i="1"/>
  <c r="I1561" i="1"/>
  <c r="H1561" i="1"/>
  <c r="G1561" i="1"/>
  <c r="F1561" i="1"/>
  <c r="E1561" i="1"/>
  <c r="D1561" i="1"/>
  <c r="C1561" i="1"/>
  <c r="I1560" i="1"/>
  <c r="H1560" i="1"/>
  <c r="G1560" i="1"/>
  <c r="F1560" i="1"/>
  <c r="E1560" i="1"/>
  <c r="D1560" i="1"/>
  <c r="C1560" i="1"/>
  <c r="I1559" i="1"/>
  <c r="H1559" i="1"/>
  <c r="G1559" i="1"/>
  <c r="F1559" i="1"/>
  <c r="E1559" i="1"/>
  <c r="D1559" i="1"/>
  <c r="C1559" i="1"/>
  <c r="I1558" i="1"/>
  <c r="H1558" i="1"/>
  <c r="G1558" i="1"/>
  <c r="F1558" i="1"/>
  <c r="E1558" i="1"/>
  <c r="D1558" i="1"/>
  <c r="C1558" i="1"/>
  <c r="I1557" i="1"/>
  <c r="H1557" i="1"/>
  <c r="G1557" i="1"/>
  <c r="F1557" i="1"/>
  <c r="E1557" i="1"/>
  <c r="D1557" i="1"/>
  <c r="C1557" i="1"/>
  <c r="I1556" i="1"/>
  <c r="H1556" i="1"/>
  <c r="G1556" i="1"/>
  <c r="F1556" i="1"/>
  <c r="E1556" i="1"/>
  <c r="D1556" i="1"/>
  <c r="C1556" i="1"/>
  <c r="I1555" i="1"/>
  <c r="H1555" i="1"/>
  <c r="G1555" i="1"/>
  <c r="F1555" i="1"/>
  <c r="E1555" i="1"/>
  <c r="D1555" i="1"/>
  <c r="C1555" i="1"/>
  <c r="I1554" i="1"/>
  <c r="H1554" i="1"/>
  <c r="G1554" i="1"/>
  <c r="F1554" i="1"/>
  <c r="E1554" i="1"/>
  <c r="D1554" i="1"/>
  <c r="C1554" i="1"/>
  <c r="I1553" i="1"/>
  <c r="H1553" i="1"/>
  <c r="G1553" i="1"/>
  <c r="F1553" i="1"/>
  <c r="E1553" i="1"/>
  <c r="D1553" i="1"/>
  <c r="C1553" i="1"/>
  <c r="I1552" i="1"/>
  <c r="H1552" i="1"/>
  <c r="G1552" i="1"/>
  <c r="F1552" i="1"/>
  <c r="E1552" i="1"/>
  <c r="D1552" i="1"/>
  <c r="C1552" i="1"/>
  <c r="I1551" i="1"/>
  <c r="H1551" i="1"/>
  <c r="G1551" i="1"/>
  <c r="F1551" i="1"/>
  <c r="E1551" i="1"/>
  <c r="D1551" i="1"/>
  <c r="C1551" i="1"/>
  <c r="I1550" i="1"/>
  <c r="H1550" i="1"/>
  <c r="G1550" i="1"/>
  <c r="F1550" i="1"/>
  <c r="E1550" i="1"/>
  <c r="D1550" i="1"/>
  <c r="C1550" i="1"/>
  <c r="I1549" i="1"/>
  <c r="H1549" i="1"/>
  <c r="G1549" i="1"/>
  <c r="F1549" i="1"/>
  <c r="E1549" i="1"/>
  <c r="D1549" i="1"/>
  <c r="C1549" i="1"/>
  <c r="I1548" i="1"/>
  <c r="H1548" i="1"/>
  <c r="G1548" i="1"/>
  <c r="F1548" i="1"/>
  <c r="E1548" i="1"/>
  <c r="D1548" i="1"/>
  <c r="C1548" i="1"/>
  <c r="I1547" i="1"/>
  <c r="H1547" i="1"/>
  <c r="G1547" i="1"/>
  <c r="F1547" i="1"/>
  <c r="E1547" i="1"/>
  <c r="D1547" i="1"/>
  <c r="C1547" i="1"/>
  <c r="I1546" i="1"/>
  <c r="H1546" i="1"/>
  <c r="G1546" i="1"/>
  <c r="F1546" i="1"/>
  <c r="E1546" i="1"/>
  <c r="D1546" i="1"/>
  <c r="C1546" i="1"/>
  <c r="I1545" i="1"/>
  <c r="H1545" i="1"/>
  <c r="G1545" i="1"/>
  <c r="F1545" i="1"/>
  <c r="E1545" i="1"/>
  <c r="D1545" i="1"/>
  <c r="C1545" i="1"/>
  <c r="I1544" i="1"/>
  <c r="H1544" i="1"/>
  <c r="G1544" i="1"/>
  <c r="F1544" i="1"/>
  <c r="E1544" i="1"/>
  <c r="D1544" i="1"/>
  <c r="C1544" i="1"/>
  <c r="I1543" i="1"/>
  <c r="H1543" i="1"/>
  <c r="G1543" i="1"/>
  <c r="F1543" i="1"/>
  <c r="E1543" i="1"/>
  <c r="D1543" i="1"/>
  <c r="C1543" i="1"/>
  <c r="I1542" i="1"/>
  <c r="H1542" i="1"/>
  <c r="G1542" i="1"/>
  <c r="F1542" i="1"/>
  <c r="E1542" i="1"/>
  <c r="D1542" i="1"/>
  <c r="C1542" i="1"/>
  <c r="I1541" i="1"/>
  <c r="H1541" i="1"/>
  <c r="G1541" i="1"/>
  <c r="F1541" i="1"/>
  <c r="E1541" i="1"/>
  <c r="D1541" i="1"/>
  <c r="C1541" i="1"/>
  <c r="I1540" i="1"/>
  <c r="H1540" i="1"/>
  <c r="G1540" i="1"/>
  <c r="F1540" i="1"/>
  <c r="E1540" i="1"/>
  <c r="D1540" i="1"/>
  <c r="C1540" i="1"/>
  <c r="I1539" i="1"/>
  <c r="H1539" i="1"/>
  <c r="G1539" i="1"/>
  <c r="F1539" i="1"/>
  <c r="E1539" i="1"/>
  <c r="D1539" i="1"/>
  <c r="C1539" i="1"/>
  <c r="I1538" i="1"/>
  <c r="H1538" i="1"/>
  <c r="G1538" i="1"/>
  <c r="F1538" i="1"/>
  <c r="E1538" i="1"/>
  <c r="D1538" i="1"/>
  <c r="C1538" i="1"/>
  <c r="I1537" i="1"/>
  <c r="H1537" i="1"/>
  <c r="G1537" i="1"/>
  <c r="F1537" i="1"/>
  <c r="E1537" i="1"/>
  <c r="D1537" i="1"/>
  <c r="C1537" i="1"/>
  <c r="I1536" i="1"/>
  <c r="H1536" i="1"/>
  <c r="G1536" i="1"/>
  <c r="F1536" i="1"/>
  <c r="E1536" i="1"/>
  <c r="D1536" i="1"/>
  <c r="C1536" i="1"/>
  <c r="I1535" i="1"/>
  <c r="H1535" i="1"/>
  <c r="G1535" i="1"/>
  <c r="F1535" i="1"/>
  <c r="E1535" i="1"/>
  <c r="D1535" i="1"/>
  <c r="C1535" i="1"/>
  <c r="I1534" i="1"/>
  <c r="H1534" i="1"/>
  <c r="G1534" i="1"/>
  <c r="F1534" i="1"/>
  <c r="E1534" i="1"/>
  <c r="D1534" i="1"/>
  <c r="C1534" i="1"/>
  <c r="I1533" i="1"/>
  <c r="H1533" i="1"/>
  <c r="G1533" i="1"/>
  <c r="F1533" i="1"/>
  <c r="E1533" i="1"/>
  <c r="D1533" i="1"/>
  <c r="C1533" i="1"/>
  <c r="I1532" i="1"/>
  <c r="H1532" i="1"/>
  <c r="G1532" i="1"/>
  <c r="F1532" i="1"/>
  <c r="E1532" i="1"/>
  <c r="D1532" i="1"/>
  <c r="C1532" i="1"/>
  <c r="I1531" i="1"/>
  <c r="H1531" i="1"/>
  <c r="G1531" i="1"/>
  <c r="F1531" i="1"/>
  <c r="E1531" i="1"/>
  <c r="D1531" i="1"/>
  <c r="C1531" i="1"/>
  <c r="I1530" i="1"/>
  <c r="H1530" i="1"/>
  <c r="G1530" i="1"/>
  <c r="F1530" i="1"/>
  <c r="E1530" i="1"/>
  <c r="D1530" i="1"/>
  <c r="C1530" i="1"/>
  <c r="I1529" i="1"/>
  <c r="H1529" i="1"/>
  <c r="G1529" i="1"/>
  <c r="F1529" i="1"/>
  <c r="E1529" i="1"/>
  <c r="D1529" i="1"/>
  <c r="C1529" i="1"/>
  <c r="I1528" i="1"/>
  <c r="H1528" i="1"/>
  <c r="G1528" i="1"/>
  <c r="F1528" i="1"/>
  <c r="E1528" i="1"/>
  <c r="D1528" i="1"/>
  <c r="C1528" i="1"/>
  <c r="I1527" i="1"/>
  <c r="H1527" i="1"/>
  <c r="G1527" i="1"/>
  <c r="F1527" i="1"/>
  <c r="E1527" i="1"/>
  <c r="D1527" i="1"/>
  <c r="C1527" i="1"/>
  <c r="I1526" i="1"/>
  <c r="H1526" i="1"/>
  <c r="G1526" i="1"/>
  <c r="F1526" i="1"/>
  <c r="E1526" i="1"/>
  <c r="D1526" i="1"/>
  <c r="C1526" i="1"/>
  <c r="I1525" i="1"/>
  <c r="H1525" i="1"/>
  <c r="G1525" i="1"/>
  <c r="F1525" i="1"/>
  <c r="E1525" i="1"/>
  <c r="D1525" i="1"/>
  <c r="C1525" i="1"/>
  <c r="I1524" i="1"/>
  <c r="H1524" i="1"/>
  <c r="G1524" i="1"/>
  <c r="F1524" i="1"/>
  <c r="E1524" i="1"/>
  <c r="D1524" i="1"/>
  <c r="C1524" i="1"/>
  <c r="I1523" i="1"/>
  <c r="H1523" i="1"/>
  <c r="G1523" i="1"/>
  <c r="F1523" i="1"/>
  <c r="E1523" i="1"/>
  <c r="D1523" i="1"/>
  <c r="C1523" i="1"/>
  <c r="I1522" i="1"/>
  <c r="H1522" i="1"/>
  <c r="G1522" i="1"/>
  <c r="F1522" i="1"/>
  <c r="E1522" i="1"/>
  <c r="D1522" i="1"/>
  <c r="C1522" i="1"/>
  <c r="I1521" i="1"/>
  <c r="H1521" i="1"/>
  <c r="G1521" i="1"/>
  <c r="F1521" i="1"/>
  <c r="E1521" i="1"/>
  <c r="D1521" i="1"/>
  <c r="C1521" i="1"/>
  <c r="I1520" i="1"/>
  <c r="H1520" i="1"/>
  <c r="G1520" i="1"/>
  <c r="F1520" i="1"/>
  <c r="E1520" i="1"/>
  <c r="D1520" i="1"/>
  <c r="C1520" i="1"/>
  <c r="I1519" i="1"/>
  <c r="H1519" i="1"/>
  <c r="G1519" i="1"/>
  <c r="F1519" i="1"/>
  <c r="E1519" i="1"/>
  <c r="D1519" i="1"/>
  <c r="C1519" i="1"/>
  <c r="I1518" i="1"/>
  <c r="H1518" i="1"/>
  <c r="G1518" i="1"/>
  <c r="F1518" i="1"/>
  <c r="E1518" i="1"/>
  <c r="D1518" i="1"/>
  <c r="C1518" i="1"/>
  <c r="I1517" i="1"/>
  <c r="H1517" i="1"/>
  <c r="G1517" i="1"/>
  <c r="F1517" i="1"/>
  <c r="E1517" i="1"/>
  <c r="D1517" i="1"/>
  <c r="C1517" i="1"/>
  <c r="I1516" i="1"/>
  <c r="H1516" i="1"/>
  <c r="G1516" i="1"/>
  <c r="F1516" i="1"/>
  <c r="E1516" i="1"/>
  <c r="D1516" i="1"/>
  <c r="C1516" i="1"/>
  <c r="I1515" i="1"/>
  <c r="H1515" i="1"/>
  <c r="G1515" i="1"/>
  <c r="F1515" i="1"/>
  <c r="E1515" i="1"/>
  <c r="D1515" i="1"/>
  <c r="C1515" i="1"/>
  <c r="I1514" i="1"/>
  <c r="H1514" i="1"/>
  <c r="G1514" i="1"/>
  <c r="F1514" i="1"/>
  <c r="E1514" i="1"/>
  <c r="D1514" i="1"/>
  <c r="C1514" i="1"/>
  <c r="I1513" i="1"/>
  <c r="H1513" i="1"/>
  <c r="G1513" i="1"/>
  <c r="F1513" i="1"/>
  <c r="E1513" i="1"/>
  <c r="D1513" i="1"/>
  <c r="C1513" i="1"/>
  <c r="I1512" i="1"/>
  <c r="H1512" i="1"/>
  <c r="G1512" i="1"/>
  <c r="F1512" i="1"/>
  <c r="E1512" i="1"/>
  <c r="D1512" i="1"/>
  <c r="C1512" i="1"/>
  <c r="I1511" i="1"/>
  <c r="H1511" i="1"/>
  <c r="G1511" i="1"/>
  <c r="F1511" i="1"/>
  <c r="E1511" i="1"/>
  <c r="D1511" i="1"/>
  <c r="C1511" i="1"/>
  <c r="I1510" i="1"/>
  <c r="H1510" i="1"/>
  <c r="G1510" i="1"/>
  <c r="F1510" i="1"/>
  <c r="E1510" i="1"/>
  <c r="D1510" i="1"/>
  <c r="C1510" i="1"/>
  <c r="I1509" i="1"/>
  <c r="H1509" i="1"/>
  <c r="G1509" i="1"/>
  <c r="F1509" i="1"/>
  <c r="E1509" i="1"/>
  <c r="D1509" i="1"/>
  <c r="C1509" i="1"/>
  <c r="I1508" i="1"/>
  <c r="H1508" i="1"/>
  <c r="G1508" i="1"/>
  <c r="F1508" i="1"/>
  <c r="E1508" i="1"/>
  <c r="D1508" i="1"/>
  <c r="C1508" i="1"/>
  <c r="I1507" i="1"/>
  <c r="H1507" i="1"/>
  <c r="G1507" i="1"/>
  <c r="F1507" i="1"/>
  <c r="E1507" i="1"/>
  <c r="D1507" i="1"/>
  <c r="C1507" i="1"/>
  <c r="I1506" i="1"/>
  <c r="H1506" i="1"/>
  <c r="G1506" i="1"/>
  <c r="F1506" i="1"/>
  <c r="E1506" i="1"/>
  <c r="D1506" i="1"/>
  <c r="C1506" i="1"/>
  <c r="I1505" i="1"/>
  <c r="H1505" i="1"/>
  <c r="G1505" i="1"/>
  <c r="F1505" i="1"/>
  <c r="E1505" i="1"/>
  <c r="D1505" i="1"/>
  <c r="C1505" i="1"/>
  <c r="I1504" i="1"/>
  <c r="H1504" i="1"/>
  <c r="G1504" i="1"/>
  <c r="F1504" i="1"/>
  <c r="E1504" i="1"/>
  <c r="D1504" i="1"/>
  <c r="C1504" i="1"/>
  <c r="I1503" i="1"/>
  <c r="H1503" i="1"/>
  <c r="G1503" i="1"/>
  <c r="F1503" i="1"/>
  <c r="E1503" i="1"/>
  <c r="D1503" i="1"/>
  <c r="C1503" i="1"/>
  <c r="I1502" i="1"/>
  <c r="H1502" i="1"/>
  <c r="G1502" i="1"/>
  <c r="F1502" i="1"/>
  <c r="E1502" i="1"/>
  <c r="D1502" i="1"/>
  <c r="C1502" i="1"/>
  <c r="I1501" i="1"/>
  <c r="H1501" i="1"/>
  <c r="G1501" i="1"/>
  <c r="F1501" i="1"/>
  <c r="E1501" i="1"/>
  <c r="D1501" i="1"/>
  <c r="C1501" i="1"/>
  <c r="I1500" i="1"/>
  <c r="H1500" i="1"/>
  <c r="G1500" i="1"/>
  <c r="F1500" i="1"/>
  <c r="E1500" i="1"/>
  <c r="D1500" i="1"/>
  <c r="C1500" i="1"/>
  <c r="I1499" i="1"/>
  <c r="H1499" i="1"/>
  <c r="G1499" i="1"/>
  <c r="F1499" i="1"/>
  <c r="E1499" i="1"/>
  <c r="D1499" i="1"/>
  <c r="C1499" i="1"/>
  <c r="I1498" i="1"/>
  <c r="H1498" i="1"/>
  <c r="G1498" i="1"/>
  <c r="F1498" i="1"/>
  <c r="E1498" i="1"/>
  <c r="D1498" i="1"/>
  <c r="C1498" i="1"/>
  <c r="I1497" i="1"/>
  <c r="H1497" i="1"/>
  <c r="G1497" i="1"/>
  <c r="F1497" i="1"/>
  <c r="E1497" i="1"/>
  <c r="D1497" i="1"/>
  <c r="C1497" i="1"/>
  <c r="I1496" i="1"/>
  <c r="H1496" i="1"/>
  <c r="G1496" i="1"/>
  <c r="F1496" i="1"/>
  <c r="E1496" i="1"/>
  <c r="D1496" i="1"/>
  <c r="C1496" i="1"/>
  <c r="I1495" i="1"/>
  <c r="H1495" i="1"/>
  <c r="G1495" i="1"/>
  <c r="F1495" i="1"/>
  <c r="E1495" i="1"/>
  <c r="D1495" i="1"/>
  <c r="C1495" i="1"/>
  <c r="I1494" i="1"/>
  <c r="H1494" i="1"/>
  <c r="G1494" i="1"/>
  <c r="F1494" i="1"/>
  <c r="E1494" i="1"/>
  <c r="D1494" i="1"/>
  <c r="C1494" i="1"/>
  <c r="I1493" i="1"/>
  <c r="H1493" i="1"/>
  <c r="G1493" i="1"/>
  <c r="F1493" i="1"/>
  <c r="E1493" i="1"/>
  <c r="D1493" i="1"/>
  <c r="C1493" i="1"/>
  <c r="I1492" i="1"/>
  <c r="H1492" i="1"/>
  <c r="G1492" i="1"/>
  <c r="F1492" i="1"/>
  <c r="E1492" i="1"/>
  <c r="D1492" i="1"/>
  <c r="C1492" i="1"/>
  <c r="I1491" i="1"/>
  <c r="H1491" i="1"/>
  <c r="G1491" i="1"/>
  <c r="F1491" i="1"/>
  <c r="E1491" i="1"/>
  <c r="D1491" i="1"/>
  <c r="C1491" i="1"/>
  <c r="I1490" i="1"/>
  <c r="H1490" i="1"/>
  <c r="G1490" i="1"/>
  <c r="F1490" i="1"/>
  <c r="E1490" i="1"/>
  <c r="D1490" i="1"/>
  <c r="C1490" i="1"/>
  <c r="I1489" i="1"/>
  <c r="H1489" i="1"/>
  <c r="G1489" i="1"/>
  <c r="F1489" i="1"/>
  <c r="E1489" i="1"/>
  <c r="D1489" i="1"/>
  <c r="C1489" i="1"/>
  <c r="I1488" i="1"/>
  <c r="H1488" i="1"/>
  <c r="G1488" i="1"/>
  <c r="F1488" i="1"/>
  <c r="E1488" i="1"/>
  <c r="D1488" i="1"/>
  <c r="C1488" i="1"/>
  <c r="I1487" i="1"/>
  <c r="H1487" i="1"/>
  <c r="G1487" i="1"/>
  <c r="F1487" i="1"/>
  <c r="E1487" i="1"/>
  <c r="D1487" i="1"/>
  <c r="C1487" i="1"/>
  <c r="I1486" i="1"/>
  <c r="H1486" i="1"/>
  <c r="G1486" i="1"/>
  <c r="F1486" i="1"/>
  <c r="E1486" i="1"/>
  <c r="D1486" i="1"/>
  <c r="C1486" i="1"/>
  <c r="I1485" i="1"/>
  <c r="H1485" i="1"/>
  <c r="G1485" i="1"/>
  <c r="F1485" i="1"/>
  <c r="E1485" i="1"/>
  <c r="D1485" i="1"/>
  <c r="C1485" i="1"/>
  <c r="I1484" i="1"/>
  <c r="H1484" i="1"/>
  <c r="G1484" i="1"/>
  <c r="F1484" i="1"/>
  <c r="E1484" i="1"/>
  <c r="D1484" i="1"/>
  <c r="C1484" i="1"/>
  <c r="I1483" i="1"/>
  <c r="H1483" i="1"/>
  <c r="G1483" i="1"/>
  <c r="F1483" i="1"/>
  <c r="E1483" i="1"/>
  <c r="D1483" i="1"/>
  <c r="C1483" i="1"/>
  <c r="I1482" i="1"/>
  <c r="H1482" i="1"/>
  <c r="G1482" i="1"/>
  <c r="F1482" i="1"/>
  <c r="E1482" i="1"/>
  <c r="D1482" i="1"/>
  <c r="C1482" i="1"/>
  <c r="I1481" i="1"/>
  <c r="H1481" i="1"/>
  <c r="G1481" i="1"/>
  <c r="F1481" i="1"/>
  <c r="E1481" i="1"/>
  <c r="D1481" i="1"/>
  <c r="C1481" i="1"/>
  <c r="I1480" i="1"/>
  <c r="H1480" i="1"/>
  <c r="G1480" i="1"/>
  <c r="F1480" i="1"/>
  <c r="E1480" i="1"/>
  <c r="D1480" i="1"/>
  <c r="C1480" i="1"/>
  <c r="I1479" i="1"/>
  <c r="H1479" i="1"/>
  <c r="G1479" i="1"/>
  <c r="F1479" i="1"/>
  <c r="E1479" i="1"/>
  <c r="D1479" i="1"/>
  <c r="C1479" i="1"/>
  <c r="I1478" i="1"/>
  <c r="H1478" i="1"/>
  <c r="G1478" i="1"/>
  <c r="F1478" i="1"/>
  <c r="E1478" i="1"/>
  <c r="D1478" i="1"/>
  <c r="C1478" i="1"/>
  <c r="I1477" i="1"/>
  <c r="H1477" i="1"/>
  <c r="G1477" i="1"/>
  <c r="F1477" i="1"/>
  <c r="E1477" i="1"/>
  <c r="D1477" i="1"/>
  <c r="C1477" i="1"/>
  <c r="I1476" i="1"/>
  <c r="H1476" i="1"/>
  <c r="G1476" i="1"/>
  <c r="F1476" i="1"/>
  <c r="E1476" i="1"/>
  <c r="D1476" i="1"/>
  <c r="C1476" i="1"/>
  <c r="I1475" i="1"/>
  <c r="H1475" i="1"/>
  <c r="G1475" i="1"/>
  <c r="F1475" i="1"/>
  <c r="E1475" i="1"/>
  <c r="D1475" i="1"/>
  <c r="C1475" i="1"/>
  <c r="I1474" i="1"/>
  <c r="H1474" i="1"/>
  <c r="G1474" i="1"/>
  <c r="F1474" i="1"/>
  <c r="E1474" i="1"/>
  <c r="D1474" i="1"/>
  <c r="C1474" i="1"/>
  <c r="I1473" i="1"/>
  <c r="H1473" i="1"/>
  <c r="G1473" i="1"/>
  <c r="F1473" i="1"/>
  <c r="E1473" i="1"/>
  <c r="D1473" i="1"/>
  <c r="C1473" i="1"/>
  <c r="I1472" i="1"/>
  <c r="H1472" i="1"/>
  <c r="G1472" i="1"/>
  <c r="F1472" i="1"/>
  <c r="E1472" i="1"/>
  <c r="D1472" i="1"/>
  <c r="C1472" i="1"/>
  <c r="I1471" i="1"/>
  <c r="H1471" i="1"/>
  <c r="G1471" i="1"/>
  <c r="F1471" i="1"/>
  <c r="E1471" i="1"/>
  <c r="D1471" i="1"/>
  <c r="C1471" i="1"/>
  <c r="I1470" i="1"/>
  <c r="H1470" i="1"/>
  <c r="G1470" i="1"/>
  <c r="F1470" i="1"/>
  <c r="E1470" i="1"/>
  <c r="D1470" i="1"/>
  <c r="C1470" i="1"/>
  <c r="I1469" i="1"/>
  <c r="H1469" i="1"/>
  <c r="G1469" i="1"/>
  <c r="F1469" i="1"/>
  <c r="E1469" i="1"/>
  <c r="D1469" i="1"/>
  <c r="C1469" i="1"/>
  <c r="I1468" i="1"/>
  <c r="H1468" i="1"/>
  <c r="G1468" i="1"/>
  <c r="F1468" i="1"/>
  <c r="E1468" i="1"/>
  <c r="D1468" i="1"/>
  <c r="C1468" i="1"/>
  <c r="I1467" i="1"/>
  <c r="H1467" i="1"/>
  <c r="G1467" i="1"/>
  <c r="F1467" i="1"/>
  <c r="E1467" i="1"/>
  <c r="D1467" i="1"/>
  <c r="C1467" i="1"/>
  <c r="I1466" i="1"/>
  <c r="H1466" i="1"/>
  <c r="G1466" i="1"/>
  <c r="F1466" i="1"/>
  <c r="E1466" i="1"/>
  <c r="D1466" i="1"/>
  <c r="C1466" i="1"/>
  <c r="I1465" i="1"/>
  <c r="H1465" i="1"/>
  <c r="G1465" i="1"/>
  <c r="F1465" i="1"/>
  <c r="E1465" i="1"/>
  <c r="D1465" i="1"/>
  <c r="C1465" i="1"/>
  <c r="I1464" i="1"/>
  <c r="H1464" i="1"/>
  <c r="G1464" i="1"/>
  <c r="F1464" i="1"/>
  <c r="E1464" i="1"/>
  <c r="D1464" i="1"/>
  <c r="C1464" i="1"/>
  <c r="I1463" i="1"/>
  <c r="H1463" i="1"/>
  <c r="G1463" i="1"/>
  <c r="F1463" i="1"/>
  <c r="E1463" i="1"/>
  <c r="D1463" i="1"/>
  <c r="C1463" i="1"/>
  <c r="I1462" i="1"/>
  <c r="H1462" i="1"/>
  <c r="G1462" i="1"/>
  <c r="F1462" i="1"/>
  <c r="E1462" i="1"/>
  <c r="D1462" i="1"/>
  <c r="C1462" i="1"/>
  <c r="I1461" i="1"/>
  <c r="H1461" i="1"/>
  <c r="G1461" i="1"/>
  <c r="F1461" i="1"/>
  <c r="E1461" i="1"/>
  <c r="D1461" i="1"/>
  <c r="C1461" i="1"/>
  <c r="I1460" i="1"/>
  <c r="H1460" i="1"/>
  <c r="G1460" i="1"/>
  <c r="F1460" i="1"/>
  <c r="E1460" i="1"/>
  <c r="D1460" i="1"/>
  <c r="C1460" i="1"/>
  <c r="I1459" i="1"/>
  <c r="H1459" i="1"/>
  <c r="G1459" i="1"/>
  <c r="F1459" i="1"/>
  <c r="E1459" i="1"/>
  <c r="D1459" i="1"/>
  <c r="C1459" i="1"/>
  <c r="I1458" i="1"/>
  <c r="H1458" i="1"/>
  <c r="G1458" i="1"/>
  <c r="F1458" i="1"/>
  <c r="E1458" i="1"/>
  <c r="D1458" i="1"/>
  <c r="C1458" i="1"/>
  <c r="I1457" i="1"/>
  <c r="H1457" i="1"/>
  <c r="G1457" i="1"/>
  <c r="F1457" i="1"/>
  <c r="E1457" i="1"/>
  <c r="D1457" i="1"/>
  <c r="C1457" i="1"/>
  <c r="I1456" i="1"/>
  <c r="H1456" i="1"/>
  <c r="G1456" i="1"/>
  <c r="F1456" i="1"/>
  <c r="E1456" i="1"/>
  <c r="D1456" i="1"/>
  <c r="C1456" i="1"/>
  <c r="I1455" i="1"/>
  <c r="H1455" i="1"/>
  <c r="G1455" i="1"/>
  <c r="F1455" i="1"/>
  <c r="E1455" i="1"/>
  <c r="D1455" i="1"/>
  <c r="C1455" i="1"/>
  <c r="I1454" i="1"/>
  <c r="H1454" i="1"/>
  <c r="G1454" i="1"/>
  <c r="F1454" i="1"/>
  <c r="E1454" i="1"/>
  <c r="D1454" i="1"/>
  <c r="C1454" i="1"/>
  <c r="I1453" i="1"/>
  <c r="H1453" i="1"/>
  <c r="G1453" i="1"/>
  <c r="F1453" i="1"/>
  <c r="E1453" i="1"/>
  <c r="D1453" i="1"/>
  <c r="C1453" i="1"/>
  <c r="I1452" i="1"/>
  <c r="H1452" i="1"/>
  <c r="G1452" i="1"/>
  <c r="F1452" i="1"/>
  <c r="E1452" i="1"/>
  <c r="D1452" i="1"/>
  <c r="C1452" i="1"/>
  <c r="I1451" i="1"/>
  <c r="H1451" i="1"/>
  <c r="G1451" i="1"/>
  <c r="F1451" i="1"/>
  <c r="E1451" i="1"/>
  <c r="D1451" i="1"/>
  <c r="C1451" i="1"/>
  <c r="I1450" i="1"/>
  <c r="H1450" i="1"/>
  <c r="G1450" i="1"/>
  <c r="F1450" i="1"/>
  <c r="E1450" i="1"/>
  <c r="D1450" i="1"/>
  <c r="C1450" i="1"/>
  <c r="I1449" i="1"/>
  <c r="H1449" i="1"/>
  <c r="G1449" i="1"/>
  <c r="F1449" i="1"/>
  <c r="E1449" i="1"/>
  <c r="D1449" i="1"/>
  <c r="C1449" i="1"/>
  <c r="I1448" i="1"/>
  <c r="H1448" i="1"/>
  <c r="G1448" i="1"/>
  <c r="F1448" i="1"/>
  <c r="E1448" i="1"/>
  <c r="D1448" i="1"/>
  <c r="C1448" i="1"/>
  <c r="I1447" i="1"/>
  <c r="H1447" i="1"/>
  <c r="G1447" i="1"/>
  <c r="F1447" i="1"/>
  <c r="E1447" i="1"/>
  <c r="D1447" i="1"/>
  <c r="C1447" i="1"/>
  <c r="I1446" i="1"/>
  <c r="H1446" i="1"/>
  <c r="G1446" i="1"/>
  <c r="F1446" i="1"/>
  <c r="E1446" i="1"/>
  <c r="D1446" i="1"/>
  <c r="C1446" i="1"/>
  <c r="I1445" i="1"/>
  <c r="H1445" i="1"/>
  <c r="G1445" i="1"/>
  <c r="F1445" i="1"/>
  <c r="E1445" i="1"/>
  <c r="D1445" i="1"/>
  <c r="C1445" i="1"/>
  <c r="I1444" i="1"/>
  <c r="H1444" i="1"/>
  <c r="G1444" i="1"/>
  <c r="F1444" i="1"/>
  <c r="E1444" i="1"/>
  <c r="D1444" i="1"/>
  <c r="C1444" i="1"/>
  <c r="I1443" i="1"/>
  <c r="H1443" i="1"/>
  <c r="G1443" i="1"/>
  <c r="F1443" i="1"/>
  <c r="E1443" i="1"/>
  <c r="D1443" i="1"/>
  <c r="C1443" i="1"/>
  <c r="I1442" i="1"/>
  <c r="H1442" i="1"/>
  <c r="G1442" i="1"/>
  <c r="F1442" i="1"/>
  <c r="E1442" i="1"/>
  <c r="D1442" i="1"/>
  <c r="C1442" i="1"/>
  <c r="I1441" i="1"/>
  <c r="H1441" i="1"/>
  <c r="G1441" i="1"/>
  <c r="F1441" i="1"/>
  <c r="E1441" i="1"/>
  <c r="D1441" i="1"/>
  <c r="C1441" i="1"/>
  <c r="I1440" i="1"/>
  <c r="H1440" i="1"/>
  <c r="G1440" i="1"/>
  <c r="F1440" i="1"/>
  <c r="E1440" i="1"/>
  <c r="D1440" i="1"/>
  <c r="C1440" i="1"/>
  <c r="I1439" i="1"/>
  <c r="H1439" i="1"/>
  <c r="G1439" i="1"/>
  <c r="F1439" i="1"/>
  <c r="E1439" i="1"/>
  <c r="D1439" i="1"/>
  <c r="C1439" i="1"/>
  <c r="I1438" i="1"/>
  <c r="H1438" i="1"/>
  <c r="G1438" i="1"/>
  <c r="F1438" i="1"/>
  <c r="E1438" i="1"/>
  <c r="D1438" i="1"/>
  <c r="C1438" i="1"/>
  <c r="I1437" i="1"/>
  <c r="H1437" i="1"/>
  <c r="G1437" i="1"/>
  <c r="F1437" i="1"/>
  <c r="E1437" i="1"/>
  <c r="D1437" i="1"/>
  <c r="C1437" i="1"/>
  <c r="I1436" i="1"/>
  <c r="H1436" i="1"/>
  <c r="G1436" i="1"/>
  <c r="F1436" i="1"/>
  <c r="E1436" i="1"/>
  <c r="D1436" i="1"/>
  <c r="C1436" i="1"/>
  <c r="I1435" i="1"/>
  <c r="H1435" i="1"/>
  <c r="G1435" i="1"/>
  <c r="F1435" i="1"/>
  <c r="E1435" i="1"/>
  <c r="D1435" i="1"/>
  <c r="C1435" i="1"/>
  <c r="I1434" i="1"/>
  <c r="H1434" i="1"/>
  <c r="G1434" i="1"/>
  <c r="F1434" i="1"/>
  <c r="E1434" i="1"/>
  <c r="D1434" i="1"/>
  <c r="C1434" i="1"/>
  <c r="I1433" i="1"/>
  <c r="H1433" i="1"/>
  <c r="G1433" i="1"/>
  <c r="F1433" i="1"/>
  <c r="E1433" i="1"/>
  <c r="D1433" i="1"/>
  <c r="C1433" i="1"/>
  <c r="I1432" i="1"/>
  <c r="H1432" i="1"/>
  <c r="G1432" i="1"/>
  <c r="F1432" i="1"/>
  <c r="E1432" i="1"/>
  <c r="D1432" i="1"/>
  <c r="C1432" i="1"/>
  <c r="I1431" i="1"/>
  <c r="H1431" i="1"/>
  <c r="G1431" i="1"/>
  <c r="F1431" i="1"/>
  <c r="E1431" i="1"/>
  <c r="D1431" i="1"/>
  <c r="C1431" i="1"/>
  <c r="I1430" i="1"/>
  <c r="H1430" i="1"/>
  <c r="G1430" i="1"/>
  <c r="F1430" i="1"/>
  <c r="E1430" i="1"/>
  <c r="D1430" i="1"/>
  <c r="C1430" i="1"/>
  <c r="I1429" i="1"/>
  <c r="H1429" i="1"/>
  <c r="G1429" i="1"/>
  <c r="F1429" i="1"/>
  <c r="E1429" i="1"/>
  <c r="D1429" i="1"/>
  <c r="C1429" i="1"/>
  <c r="I1428" i="1"/>
  <c r="H1428" i="1"/>
  <c r="G1428" i="1"/>
  <c r="F1428" i="1"/>
  <c r="E1428" i="1"/>
  <c r="D1428" i="1"/>
  <c r="C1428" i="1"/>
  <c r="I1427" i="1"/>
  <c r="H1427" i="1"/>
  <c r="G1427" i="1"/>
  <c r="F1427" i="1"/>
  <c r="E1427" i="1"/>
  <c r="D1427" i="1"/>
  <c r="C1427" i="1"/>
  <c r="I1426" i="1"/>
  <c r="H1426" i="1"/>
  <c r="G1426" i="1"/>
  <c r="F1426" i="1"/>
  <c r="E1426" i="1"/>
  <c r="D1426" i="1"/>
  <c r="C1426" i="1"/>
  <c r="I1425" i="1"/>
  <c r="H1425" i="1"/>
  <c r="G1425" i="1"/>
  <c r="F1425" i="1"/>
  <c r="E1425" i="1"/>
  <c r="D1425" i="1"/>
  <c r="C1425" i="1"/>
  <c r="I1424" i="1"/>
  <c r="H1424" i="1"/>
  <c r="G1424" i="1"/>
  <c r="F1424" i="1"/>
  <c r="E1424" i="1"/>
  <c r="D1424" i="1"/>
  <c r="C1424" i="1"/>
  <c r="I1423" i="1"/>
  <c r="H1423" i="1"/>
  <c r="G1423" i="1"/>
  <c r="F1423" i="1"/>
  <c r="E1423" i="1"/>
  <c r="D1423" i="1"/>
  <c r="C1423" i="1"/>
  <c r="I1422" i="1"/>
  <c r="H1422" i="1"/>
  <c r="G1422" i="1"/>
  <c r="F1422" i="1"/>
  <c r="E1422" i="1"/>
  <c r="D1422" i="1"/>
  <c r="C1422" i="1"/>
  <c r="I1421" i="1"/>
  <c r="H1421" i="1"/>
  <c r="G1421" i="1"/>
  <c r="F1421" i="1"/>
  <c r="E1421" i="1"/>
  <c r="D1421" i="1"/>
  <c r="C1421" i="1"/>
  <c r="I1420" i="1"/>
  <c r="H1420" i="1"/>
  <c r="G1420" i="1"/>
  <c r="F1420" i="1"/>
  <c r="E1420" i="1"/>
  <c r="D1420" i="1"/>
  <c r="C1420" i="1"/>
  <c r="I1419" i="1"/>
  <c r="H1419" i="1"/>
  <c r="G1419" i="1"/>
  <c r="F1419" i="1"/>
  <c r="E1419" i="1"/>
  <c r="D1419" i="1"/>
  <c r="C1419" i="1"/>
  <c r="I1418" i="1"/>
  <c r="H1418" i="1"/>
  <c r="G1418" i="1"/>
  <c r="F1418" i="1"/>
  <c r="E1418" i="1"/>
  <c r="D1418" i="1"/>
  <c r="C1418" i="1"/>
  <c r="I1417" i="1"/>
  <c r="H1417" i="1"/>
  <c r="G1417" i="1"/>
  <c r="F1417" i="1"/>
  <c r="E1417" i="1"/>
  <c r="D1417" i="1"/>
  <c r="C1417" i="1"/>
  <c r="I1416" i="1"/>
  <c r="H1416" i="1"/>
  <c r="G1416" i="1"/>
  <c r="F1416" i="1"/>
  <c r="E1416" i="1"/>
  <c r="D1416" i="1"/>
  <c r="C1416" i="1"/>
  <c r="I1415" i="1"/>
  <c r="H1415" i="1"/>
  <c r="G1415" i="1"/>
  <c r="F1415" i="1"/>
  <c r="E1415" i="1"/>
  <c r="D1415" i="1"/>
  <c r="C1415" i="1"/>
  <c r="I1414" i="1"/>
  <c r="H1414" i="1"/>
  <c r="G1414" i="1"/>
  <c r="F1414" i="1"/>
  <c r="E1414" i="1"/>
  <c r="D1414" i="1"/>
  <c r="C1414" i="1"/>
  <c r="I1413" i="1"/>
  <c r="H1413" i="1"/>
  <c r="G1413" i="1"/>
  <c r="F1413" i="1"/>
  <c r="E1413" i="1"/>
  <c r="D1413" i="1"/>
  <c r="C1413" i="1"/>
  <c r="I1412" i="1"/>
  <c r="H1412" i="1"/>
  <c r="G1412" i="1"/>
  <c r="F1412" i="1"/>
  <c r="E1412" i="1"/>
  <c r="D1412" i="1"/>
  <c r="C1412" i="1"/>
  <c r="I1411" i="1"/>
  <c r="H1411" i="1"/>
  <c r="G1411" i="1"/>
  <c r="F1411" i="1"/>
  <c r="E1411" i="1"/>
  <c r="D1411" i="1"/>
  <c r="C1411" i="1"/>
  <c r="I1410" i="1"/>
  <c r="H1410" i="1"/>
  <c r="G1410" i="1"/>
  <c r="F1410" i="1"/>
  <c r="E1410" i="1"/>
  <c r="D1410" i="1"/>
  <c r="C1410" i="1"/>
  <c r="I1409" i="1"/>
  <c r="H1409" i="1"/>
  <c r="G1409" i="1"/>
  <c r="F1409" i="1"/>
  <c r="E1409" i="1"/>
  <c r="D1409" i="1"/>
  <c r="C1409" i="1"/>
  <c r="I1408" i="1"/>
  <c r="H1408" i="1"/>
  <c r="G1408" i="1"/>
  <c r="F1408" i="1"/>
  <c r="E1408" i="1"/>
  <c r="D1408" i="1"/>
  <c r="C1408" i="1"/>
  <c r="I1407" i="1"/>
  <c r="H1407" i="1"/>
  <c r="G1407" i="1"/>
  <c r="F1407" i="1"/>
  <c r="E1407" i="1"/>
  <c r="D1407" i="1"/>
  <c r="C1407" i="1"/>
  <c r="I1406" i="1"/>
  <c r="H1406" i="1"/>
  <c r="G1406" i="1"/>
  <c r="F1406" i="1"/>
  <c r="E1406" i="1"/>
  <c r="D1406" i="1"/>
  <c r="C1406" i="1"/>
  <c r="I1405" i="1"/>
  <c r="H1405" i="1"/>
  <c r="G1405" i="1"/>
  <c r="F1405" i="1"/>
  <c r="E1405" i="1"/>
  <c r="D1405" i="1"/>
  <c r="C1405" i="1"/>
  <c r="I1404" i="1"/>
  <c r="H1404" i="1"/>
  <c r="G1404" i="1"/>
  <c r="F1404" i="1"/>
  <c r="E1404" i="1"/>
  <c r="D1404" i="1"/>
  <c r="C1404" i="1"/>
  <c r="I1403" i="1"/>
  <c r="H1403" i="1"/>
  <c r="G1403" i="1"/>
  <c r="F1403" i="1"/>
  <c r="E1403" i="1"/>
  <c r="D1403" i="1"/>
  <c r="C1403" i="1"/>
  <c r="I1402" i="1"/>
  <c r="H1402" i="1"/>
  <c r="G1402" i="1"/>
  <c r="F1402" i="1"/>
  <c r="E1402" i="1"/>
  <c r="D1402" i="1"/>
  <c r="C1402" i="1"/>
  <c r="I1401" i="1"/>
  <c r="H1401" i="1"/>
  <c r="G1401" i="1"/>
  <c r="F1401" i="1"/>
  <c r="E1401" i="1"/>
  <c r="D1401" i="1"/>
  <c r="C1401" i="1"/>
  <c r="I1400" i="1"/>
  <c r="H1400" i="1"/>
  <c r="G1400" i="1"/>
  <c r="F1400" i="1"/>
  <c r="E1400" i="1"/>
  <c r="D1400" i="1"/>
  <c r="C1400" i="1"/>
  <c r="I1399" i="1"/>
  <c r="H1399" i="1"/>
  <c r="G1399" i="1"/>
  <c r="F1399" i="1"/>
  <c r="E1399" i="1"/>
  <c r="D1399" i="1"/>
  <c r="C1399" i="1"/>
  <c r="I1398" i="1"/>
  <c r="H1398" i="1"/>
  <c r="G1398" i="1"/>
  <c r="F1398" i="1"/>
  <c r="E1398" i="1"/>
  <c r="D1398" i="1"/>
  <c r="C1398" i="1"/>
  <c r="I1397" i="1"/>
  <c r="H1397" i="1"/>
  <c r="G1397" i="1"/>
  <c r="F1397" i="1"/>
  <c r="E1397" i="1"/>
  <c r="D1397" i="1"/>
  <c r="C1397" i="1"/>
  <c r="I1396" i="1"/>
  <c r="H1396" i="1"/>
  <c r="G1396" i="1"/>
  <c r="F1396" i="1"/>
  <c r="E1396" i="1"/>
  <c r="D1396" i="1"/>
  <c r="C1396" i="1"/>
  <c r="I1395" i="1"/>
  <c r="H1395" i="1"/>
  <c r="G1395" i="1"/>
  <c r="F1395" i="1"/>
  <c r="E1395" i="1"/>
  <c r="D1395" i="1"/>
  <c r="C1395" i="1"/>
  <c r="I1394" i="1"/>
  <c r="H1394" i="1"/>
  <c r="G1394" i="1"/>
  <c r="F1394" i="1"/>
  <c r="E1394" i="1"/>
  <c r="D1394" i="1"/>
  <c r="C1394" i="1"/>
  <c r="I1393" i="1"/>
  <c r="H1393" i="1"/>
  <c r="G1393" i="1"/>
  <c r="F1393" i="1"/>
  <c r="E1393" i="1"/>
  <c r="D1393" i="1"/>
  <c r="C1393" i="1"/>
  <c r="I1392" i="1"/>
  <c r="H1392" i="1"/>
  <c r="G1392" i="1"/>
  <c r="F1392" i="1"/>
  <c r="E1392" i="1"/>
  <c r="D1392" i="1"/>
  <c r="C1392" i="1"/>
  <c r="I1391" i="1"/>
  <c r="H1391" i="1"/>
  <c r="G1391" i="1"/>
  <c r="F1391" i="1"/>
  <c r="E1391" i="1"/>
  <c r="D1391" i="1"/>
  <c r="C1391" i="1"/>
  <c r="I1390" i="1"/>
  <c r="H1390" i="1"/>
  <c r="G1390" i="1"/>
  <c r="F1390" i="1"/>
  <c r="E1390" i="1"/>
  <c r="D1390" i="1"/>
  <c r="C1390" i="1"/>
  <c r="I1389" i="1"/>
  <c r="H1389" i="1"/>
  <c r="G1389" i="1"/>
  <c r="F1389" i="1"/>
  <c r="E1389" i="1"/>
  <c r="D1389" i="1"/>
  <c r="C1389" i="1"/>
  <c r="I1388" i="1"/>
  <c r="H1388" i="1"/>
  <c r="G1388" i="1"/>
  <c r="F1388" i="1"/>
  <c r="E1388" i="1"/>
  <c r="D1388" i="1"/>
  <c r="C1388" i="1"/>
  <c r="I1387" i="1"/>
  <c r="H1387" i="1"/>
  <c r="G1387" i="1"/>
  <c r="F1387" i="1"/>
  <c r="E1387" i="1"/>
  <c r="D1387" i="1"/>
  <c r="C1387" i="1"/>
  <c r="I1386" i="1"/>
  <c r="H1386" i="1"/>
  <c r="G1386" i="1"/>
  <c r="F1386" i="1"/>
  <c r="E1386" i="1"/>
  <c r="D1386" i="1"/>
  <c r="C1386" i="1"/>
  <c r="I1385" i="1"/>
  <c r="H1385" i="1"/>
  <c r="G1385" i="1"/>
  <c r="F1385" i="1"/>
  <c r="E1385" i="1"/>
  <c r="D1385" i="1"/>
  <c r="C1385" i="1"/>
  <c r="I1384" i="1"/>
  <c r="H1384" i="1"/>
  <c r="G1384" i="1"/>
  <c r="F1384" i="1"/>
  <c r="E1384" i="1"/>
  <c r="D1384" i="1"/>
  <c r="C1384" i="1"/>
  <c r="I1383" i="1"/>
  <c r="H1383" i="1"/>
  <c r="G1383" i="1"/>
  <c r="F1383" i="1"/>
  <c r="E1383" i="1"/>
  <c r="D1383" i="1"/>
  <c r="C1383" i="1"/>
  <c r="I1382" i="1"/>
  <c r="H1382" i="1"/>
  <c r="G1382" i="1"/>
  <c r="F1382" i="1"/>
  <c r="E1382" i="1"/>
  <c r="D1382" i="1"/>
  <c r="C1382" i="1"/>
  <c r="I1381" i="1"/>
  <c r="H1381" i="1"/>
  <c r="G1381" i="1"/>
  <c r="F1381" i="1"/>
  <c r="E1381" i="1"/>
  <c r="D1381" i="1"/>
  <c r="C1381" i="1"/>
  <c r="I1380" i="1"/>
  <c r="H1380" i="1"/>
  <c r="G1380" i="1"/>
  <c r="F1380" i="1"/>
  <c r="E1380" i="1"/>
  <c r="D1380" i="1"/>
  <c r="C1380" i="1"/>
  <c r="I1379" i="1"/>
  <c r="H1379" i="1"/>
  <c r="G1379" i="1"/>
  <c r="F1379" i="1"/>
  <c r="E1379" i="1"/>
  <c r="D1379" i="1"/>
  <c r="C1379" i="1"/>
  <c r="I1378" i="1"/>
  <c r="H1378" i="1"/>
  <c r="G1378" i="1"/>
  <c r="F1378" i="1"/>
  <c r="E1378" i="1"/>
  <c r="D1378" i="1"/>
  <c r="C1378" i="1"/>
  <c r="I1377" i="1"/>
  <c r="H1377" i="1"/>
  <c r="G1377" i="1"/>
  <c r="F1377" i="1"/>
  <c r="E1377" i="1"/>
  <c r="D1377" i="1"/>
  <c r="C1377" i="1"/>
  <c r="I1376" i="1"/>
  <c r="H1376" i="1"/>
  <c r="G1376" i="1"/>
  <c r="F1376" i="1"/>
  <c r="E1376" i="1"/>
  <c r="D1376" i="1"/>
  <c r="C1376" i="1"/>
  <c r="I1375" i="1"/>
  <c r="H1375" i="1"/>
  <c r="G1375" i="1"/>
  <c r="F1375" i="1"/>
  <c r="E1375" i="1"/>
  <c r="D1375" i="1"/>
  <c r="C1375" i="1"/>
  <c r="I1374" i="1"/>
  <c r="H1374" i="1"/>
  <c r="G1374" i="1"/>
  <c r="F1374" i="1"/>
  <c r="E1374" i="1"/>
  <c r="D1374" i="1"/>
  <c r="C1374" i="1"/>
  <c r="I1373" i="1"/>
  <c r="H1373" i="1"/>
  <c r="G1373" i="1"/>
  <c r="F1373" i="1"/>
  <c r="E1373" i="1"/>
  <c r="D1373" i="1"/>
  <c r="C1373" i="1"/>
  <c r="I1372" i="1"/>
  <c r="H1372" i="1"/>
  <c r="G1372" i="1"/>
  <c r="F1372" i="1"/>
  <c r="E1372" i="1"/>
  <c r="D1372" i="1"/>
  <c r="C1372" i="1"/>
  <c r="I1371" i="1"/>
  <c r="H1371" i="1"/>
  <c r="G1371" i="1"/>
  <c r="F1371" i="1"/>
  <c r="E1371" i="1"/>
  <c r="D1371" i="1"/>
  <c r="C1371" i="1"/>
  <c r="I1370" i="1"/>
  <c r="H1370" i="1"/>
  <c r="G1370" i="1"/>
  <c r="F1370" i="1"/>
  <c r="E1370" i="1"/>
  <c r="D1370" i="1"/>
  <c r="C1370" i="1"/>
  <c r="I1369" i="1"/>
  <c r="H1369" i="1"/>
  <c r="G1369" i="1"/>
  <c r="F1369" i="1"/>
  <c r="E1369" i="1"/>
  <c r="D1369" i="1"/>
  <c r="C1369" i="1"/>
  <c r="I1368" i="1"/>
  <c r="H1368" i="1"/>
  <c r="G1368" i="1"/>
  <c r="F1368" i="1"/>
  <c r="E1368" i="1"/>
  <c r="D1368" i="1"/>
  <c r="C1368" i="1"/>
  <c r="I1367" i="1"/>
  <c r="H1367" i="1"/>
  <c r="G1367" i="1"/>
  <c r="F1367" i="1"/>
  <c r="E1367" i="1"/>
  <c r="D1367" i="1"/>
  <c r="C1367" i="1"/>
  <c r="I1366" i="1"/>
  <c r="H1366" i="1"/>
  <c r="G1366" i="1"/>
  <c r="F1366" i="1"/>
  <c r="E1366" i="1"/>
  <c r="D1366" i="1"/>
  <c r="C1366" i="1"/>
  <c r="I1365" i="1"/>
  <c r="H1365" i="1"/>
  <c r="G1365" i="1"/>
  <c r="F1365" i="1"/>
  <c r="E1365" i="1"/>
  <c r="D1365" i="1"/>
  <c r="C1365" i="1"/>
  <c r="I1364" i="1"/>
  <c r="H1364" i="1"/>
  <c r="G1364" i="1"/>
  <c r="F1364" i="1"/>
  <c r="E1364" i="1"/>
  <c r="D1364" i="1"/>
  <c r="C1364" i="1"/>
  <c r="I1363" i="1"/>
  <c r="H1363" i="1"/>
  <c r="G1363" i="1"/>
  <c r="F1363" i="1"/>
  <c r="E1363" i="1"/>
  <c r="D1363" i="1"/>
  <c r="C1363" i="1"/>
  <c r="I1362" i="1"/>
  <c r="H1362" i="1"/>
  <c r="G1362" i="1"/>
  <c r="F1362" i="1"/>
  <c r="E1362" i="1"/>
  <c r="D1362" i="1"/>
  <c r="C1362" i="1"/>
  <c r="I1361" i="1"/>
  <c r="H1361" i="1"/>
  <c r="G1361" i="1"/>
  <c r="F1361" i="1"/>
  <c r="E1361" i="1"/>
  <c r="D1361" i="1"/>
  <c r="C1361" i="1"/>
  <c r="I1360" i="1"/>
  <c r="H1360" i="1"/>
  <c r="G1360" i="1"/>
  <c r="F1360" i="1"/>
  <c r="E1360" i="1"/>
  <c r="D1360" i="1"/>
  <c r="C1360" i="1"/>
  <c r="I1359" i="1"/>
  <c r="H1359" i="1"/>
  <c r="G1359" i="1"/>
  <c r="F1359" i="1"/>
  <c r="E1359" i="1"/>
  <c r="D1359" i="1"/>
  <c r="C1359" i="1"/>
  <c r="I1358" i="1"/>
  <c r="H1358" i="1"/>
  <c r="G1358" i="1"/>
  <c r="F1358" i="1"/>
  <c r="E1358" i="1"/>
  <c r="D1358" i="1"/>
  <c r="C1358" i="1"/>
  <c r="I1357" i="1"/>
  <c r="H1357" i="1"/>
  <c r="G1357" i="1"/>
  <c r="F1357" i="1"/>
  <c r="E1357" i="1"/>
  <c r="D1357" i="1"/>
  <c r="C1357" i="1"/>
  <c r="I1356" i="1"/>
  <c r="H1356" i="1"/>
  <c r="G1356" i="1"/>
  <c r="F1356" i="1"/>
  <c r="E1356" i="1"/>
  <c r="D1356" i="1"/>
  <c r="C1356" i="1"/>
  <c r="I1355" i="1"/>
  <c r="H1355" i="1"/>
  <c r="G1355" i="1"/>
  <c r="F1355" i="1"/>
  <c r="E1355" i="1"/>
  <c r="D1355" i="1"/>
  <c r="C1355" i="1"/>
  <c r="I1354" i="1"/>
  <c r="H1354" i="1"/>
  <c r="G1354" i="1"/>
  <c r="F1354" i="1"/>
  <c r="E1354" i="1"/>
  <c r="D1354" i="1"/>
  <c r="C1354" i="1"/>
  <c r="I1353" i="1"/>
  <c r="H1353" i="1"/>
  <c r="G1353" i="1"/>
  <c r="F1353" i="1"/>
  <c r="E1353" i="1"/>
  <c r="D1353" i="1"/>
  <c r="C1353" i="1"/>
  <c r="I1352" i="1"/>
  <c r="H1352" i="1"/>
  <c r="G1352" i="1"/>
  <c r="F1352" i="1"/>
  <c r="E1352" i="1"/>
  <c r="D1352" i="1"/>
  <c r="C1352" i="1"/>
  <c r="I1351" i="1"/>
  <c r="H1351" i="1"/>
  <c r="G1351" i="1"/>
  <c r="F1351" i="1"/>
  <c r="E1351" i="1"/>
  <c r="D1351" i="1"/>
  <c r="C1351" i="1"/>
  <c r="I1350" i="1"/>
  <c r="H1350" i="1"/>
  <c r="G1350" i="1"/>
  <c r="F1350" i="1"/>
  <c r="E1350" i="1"/>
  <c r="D1350" i="1"/>
  <c r="C1350" i="1"/>
  <c r="I1349" i="1"/>
  <c r="H1349" i="1"/>
  <c r="G1349" i="1"/>
  <c r="F1349" i="1"/>
  <c r="E1349" i="1"/>
  <c r="D1349" i="1"/>
  <c r="C1349" i="1"/>
  <c r="I1348" i="1"/>
  <c r="H1348" i="1"/>
  <c r="G1348" i="1"/>
  <c r="F1348" i="1"/>
  <c r="E1348" i="1"/>
  <c r="D1348" i="1"/>
  <c r="C1348" i="1"/>
  <c r="I1347" i="1"/>
  <c r="H1347" i="1"/>
  <c r="G1347" i="1"/>
  <c r="F1347" i="1"/>
  <c r="E1347" i="1"/>
  <c r="D1347" i="1"/>
  <c r="C1347" i="1"/>
  <c r="I1346" i="1"/>
  <c r="H1346" i="1"/>
  <c r="G1346" i="1"/>
  <c r="F1346" i="1"/>
  <c r="E1346" i="1"/>
  <c r="D1346" i="1"/>
  <c r="C1346" i="1"/>
  <c r="I1345" i="1"/>
  <c r="H1345" i="1"/>
  <c r="G1345" i="1"/>
  <c r="F1345" i="1"/>
  <c r="E1345" i="1"/>
  <c r="D1345" i="1"/>
  <c r="C1345" i="1"/>
  <c r="I1344" i="1"/>
  <c r="H1344" i="1"/>
  <c r="G1344" i="1"/>
  <c r="F1344" i="1"/>
  <c r="E1344" i="1"/>
  <c r="D1344" i="1"/>
  <c r="C1344" i="1"/>
  <c r="I1343" i="1"/>
  <c r="H1343" i="1"/>
  <c r="G1343" i="1"/>
  <c r="F1343" i="1"/>
  <c r="E1343" i="1"/>
  <c r="D1343" i="1"/>
  <c r="C1343" i="1"/>
  <c r="I1342" i="1"/>
  <c r="H1342" i="1"/>
  <c r="G1342" i="1"/>
  <c r="F1342" i="1"/>
  <c r="E1342" i="1"/>
  <c r="D1342" i="1"/>
  <c r="C1342" i="1"/>
  <c r="I1341" i="1"/>
  <c r="H1341" i="1"/>
  <c r="G1341" i="1"/>
  <c r="F1341" i="1"/>
  <c r="E1341" i="1"/>
  <c r="D1341" i="1"/>
  <c r="C1341" i="1"/>
  <c r="I1340" i="1"/>
  <c r="H1340" i="1"/>
  <c r="G1340" i="1"/>
  <c r="F1340" i="1"/>
  <c r="E1340" i="1"/>
  <c r="D1340" i="1"/>
  <c r="C1340" i="1"/>
  <c r="I1339" i="1"/>
  <c r="H1339" i="1"/>
  <c r="G1339" i="1"/>
  <c r="F1339" i="1"/>
  <c r="E1339" i="1"/>
  <c r="D1339" i="1"/>
  <c r="C1339" i="1"/>
  <c r="I1338" i="1"/>
  <c r="H1338" i="1"/>
  <c r="G1338" i="1"/>
  <c r="F1338" i="1"/>
  <c r="E1338" i="1"/>
  <c r="D1338" i="1"/>
  <c r="C1338" i="1"/>
  <c r="I1337" i="1"/>
  <c r="H1337" i="1"/>
  <c r="G1337" i="1"/>
  <c r="F1337" i="1"/>
  <c r="E1337" i="1"/>
  <c r="D1337" i="1"/>
  <c r="C1337" i="1"/>
  <c r="I1336" i="1"/>
  <c r="H1336" i="1"/>
  <c r="G1336" i="1"/>
  <c r="F1336" i="1"/>
  <c r="E1336" i="1"/>
  <c r="D1336" i="1"/>
  <c r="C1336" i="1"/>
  <c r="I1335" i="1"/>
  <c r="H1335" i="1"/>
  <c r="G1335" i="1"/>
  <c r="F1335" i="1"/>
  <c r="E1335" i="1"/>
  <c r="D1335" i="1"/>
  <c r="C1335" i="1"/>
  <c r="I1334" i="1"/>
  <c r="H1334" i="1"/>
  <c r="G1334" i="1"/>
  <c r="F1334" i="1"/>
  <c r="E1334" i="1"/>
  <c r="D1334" i="1"/>
  <c r="C1334" i="1"/>
  <c r="I1333" i="1"/>
  <c r="H1333" i="1"/>
  <c r="G1333" i="1"/>
  <c r="F1333" i="1"/>
  <c r="E1333" i="1"/>
  <c r="D1333" i="1"/>
  <c r="C1333" i="1"/>
  <c r="I1332" i="1"/>
  <c r="H1332" i="1"/>
  <c r="G1332" i="1"/>
  <c r="F1332" i="1"/>
  <c r="E1332" i="1"/>
  <c r="D1332" i="1"/>
  <c r="C1332" i="1"/>
  <c r="I1331" i="1"/>
  <c r="H1331" i="1"/>
  <c r="G1331" i="1"/>
  <c r="F1331" i="1"/>
  <c r="E1331" i="1"/>
  <c r="D1331" i="1"/>
  <c r="C1331" i="1"/>
  <c r="I1330" i="1"/>
  <c r="H1330" i="1"/>
  <c r="G1330" i="1"/>
  <c r="F1330" i="1"/>
  <c r="E1330" i="1"/>
  <c r="D1330" i="1"/>
  <c r="C1330" i="1"/>
  <c r="I1329" i="1"/>
  <c r="H1329" i="1"/>
  <c r="G1329" i="1"/>
  <c r="F1329" i="1"/>
  <c r="E1329" i="1"/>
  <c r="D1329" i="1"/>
  <c r="C1329" i="1"/>
  <c r="I1328" i="1"/>
  <c r="H1328" i="1"/>
  <c r="G1328" i="1"/>
  <c r="F1328" i="1"/>
  <c r="E1328" i="1"/>
  <c r="D1328" i="1"/>
  <c r="C1328" i="1"/>
  <c r="I1327" i="1"/>
  <c r="H1327" i="1"/>
  <c r="G1327" i="1"/>
  <c r="F1327" i="1"/>
  <c r="E1327" i="1"/>
  <c r="D1327" i="1"/>
  <c r="C1327" i="1"/>
  <c r="I1326" i="1"/>
  <c r="H1326" i="1"/>
  <c r="G1326" i="1"/>
  <c r="F1326" i="1"/>
  <c r="E1326" i="1"/>
  <c r="D1326" i="1"/>
  <c r="C1326" i="1"/>
  <c r="I1325" i="1"/>
  <c r="H1325" i="1"/>
  <c r="G1325" i="1"/>
  <c r="F1325" i="1"/>
  <c r="E1325" i="1"/>
  <c r="D1325" i="1"/>
  <c r="C1325" i="1"/>
  <c r="I1324" i="1"/>
  <c r="H1324" i="1"/>
  <c r="G1324" i="1"/>
  <c r="F1324" i="1"/>
  <c r="E1324" i="1"/>
  <c r="D1324" i="1"/>
  <c r="C1324" i="1"/>
  <c r="I1323" i="1"/>
  <c r="H1323" i="1"/>
  <c r="G1323" i="1"/>
  <c r="F1323" i="1"/>
  <c r="E1323" i="1"/>
  <c r="D1323" i="1"/>
  <c r="C1323" i="1"/>
  <c r="I1322" i="1"/>
  <c r="H1322" i="1"/>
  <c r="G1322" i="1"/>
  <c r="F1322" i="1"/>
  <c r="E1322" i="1"/>
  <c r="D1322" i="1"/>
  <c r="C1322" i="1"/>
  <c r="I1321" i="1"/>
  <c r="H1321" i="1"/>
  <c r="G1321" i="1"/>
  <c r="F1321" i="1"/>
  <c r="E1321" i="1"/>
  <c r="D1321" i="1"/>
  <c r="C1321" i="1"/>
  <c r="I1320" i="1"/>
  <c r="H1320" i="1"/>
  <c r="G1320" i="1"/>
  <c r="F1320" i="1"/>
  <c r="E1320" i="1"/>
  <c r="D1320" i="1"/>
  <c r="C1320" i="1"/>
  <c r="I1319" i="1"/>
  <c r="H1319" i="1"/>
  <c r="G1319" i="1"/>
  <c r="F1319" i="1"/>
  <c r="E1319" i="1"/>
  <c r="D1319" i="1"/>
  <c r="C1319" i="1"/>
  <c r="I1318" i="1"/>
  <c r="H1318" i="1"/>
  <c r="G1318" i="1"/>
  <c r="F1318" i="1"/>
  <c r="E1318" i="1"/>
  <c r="D1318" i="1"/>
  <c r="C1318" i="1"/>
  <c r="I1317" i="1"/>
  <c r="H1317" i="1"/>
  <c r="G1317" i="1"/>
  <c r="F1317" i="1"/>
  <c r="E1317" i="1"/>
  <c r="D1317" i="1"/>
  <c r="C1317" i="1"/>
  <c r="I1316" i="1"/>
  <c r="H1316" i="1"/>
  <c r="G1316" i="1"/>
  <c r="F1316" i="1"/>
  <c r="E1316" i="1"/>
  <c r="D1316" i="1"/>
  <c r="C1316" i="1"/>
  <c r="I1315" i="1"/>
  <c r="H1315" i="1"/>
  <c r="G1315" i="1"/>
  <c r="F1315" i="1"/>
  <c r="E1315" i="1"/>
  <c r="D1315" i="1"/>
  <c r="C1315" i="1"/>
  <c r="I1314" i="1"/>
  <c r="H1314" i="1"/>
  <c r="G1314" i="1"/>
  <c r="F1314" i="1"/>
  <c r="E1314" i="1"/>
  <c r="D1314" i="1"/>
  <c r="C1314" i="1"/>
  <c r="I1313" i="1"/>
  <c r="H1313" i="1"/>
  <c r="G1313" i="1"/>
  <c r="F1313" i="1"/>
  <c r="E1313" i="1"/>
  <c r="D1313" i="1"/>
  <c r="C1313" i="1"/>
  <c r="I1312" i="1"/>
  <c r="H1312" i="1"/>
  <c r="G1312" i="1"/>
  <c r="F1312" i="1"/>
  <c r="E1312" i="1"/>
  <c r="D1312" i="1"/>
  <c r="C1312" i="1"/>
  <c r="I1311" i="1"/>
  <c r="H1311" i="1"/>
  <c r="G1311" i="1"/>
  <c r="F1311" i="1"/>
  <c r="E1311" i="1"/>
  <c r="D1311" i="1"/>
  <c r="C1311" i="1"/>
  <c r="I1310" i="1"/>
  <c r="H1310" i="1"/>
  <c r="G1310" i="1"/>
  <c r="F1310" i="1"/>
  <c r="E1310" i="1"/>
  <c r="D1310" i="1"/>
  <c r="C1310" i="1"/>
  <c r="I1309" i="1"/>
  <c r="H1309" i="1"/>
  <c r="G1309" i="1"/>
  <c r="F1309" i="1"/>
  <c r="E1309" i="1"/>
  <c r="D1309" i="1"/>
  <c r="C1309" i="1"/>
  <c r="I1308" i="1"/>
  <c r="H1308" i="1"/>
  <c r="G1308" i="1"/>
  <c r="F1308" i="1"/>
  <c r="E1308" i="1"/>
  <c r="D1308" i="1"/>
  <c r="C1308" i="1"/>
  <c r="I1307" i="1"/>
  <c r="H1307" i="1"/>
  <c r="G1307" i="1"/>
  <c r="F1307" i="1"/>
  <c r="E1307" i="1"/>
  <c r="D1307" i="1"/>
  <c r="C1307" i="1"/>
  <c r="I1306" i="1"/>
  <c r="H1306" i="1"/>
  <c r="G1306" i="1"/>
  <c r="F1306" i="1"/>
  <c r="E1306" i="1"/>
  <c r="D1306" i="1"/>
  <c r="C1306" i="1"/>
  <c r="I1305" i="1"/>
  <c r="H1305" i="1"/>
  <c r="G1305" i="1"/>
  <c r="F1305" i="1"/>
  <c r="E1305" i="1"/>
  <c r="D1305" i="1"/>
  <c r="C1305" i="1"/>
  <c r="I1304" i="1"/>
  <c r="H1304" i="1"/>
  <c r="G1304" i="1"/>
  <c r="F1304" i="1"/>
  <c r="E1304" i="1"/>
  <c r="D1304" i="1"/>
  <c r="C1304" i="1"/>
  <c r="I1303" i="1"/>
  <c r="H1303" i="1"/>
  <c r="G1303" i="1"/>
  <c r="F1303" i="1"/>
  <c r="E1303" i="1"/>
  <c r="D1303" i="1"/>
  <c r="C1303" i="1"/>
  <c r="I1302" i="1"/>
  <c r="H1302" i="1"/>
  <c r="G1302" i="1"/>
  <c r="F1302" i="1"/>
  <c r="E1302" i="1"/>
  <c r="D1302" i="1"/>
  <c r="C1302" i="1"/>
  <c r="I1301" i="1"/>
  <c r="H1301" i="1"/>
  <c r="G1301" i="1"/>
  <c r="F1301" i="1"/>
  <c r="E1301" i="1"/>
  <c r="D1301" i="1"/>
  <c r="C1301" i="1"/>
  <c r="I1300" i="1"/>
  <c r="H1300" i="1"/>
  <c r="G1300" i="1"/>
  <c r="F1300" i="1"/>
  <c r="E1300" i="1"/>
  <c r="D1300" i="1"/>
  <c r="C1300" i="1"/>
  <c r="I1299" i="1"/>
  <c r="H1299" i="1"/>
  <c r="G1299" i="1"/>
  <c r="F1299" i="1"/>
  <c r="E1299" i="1"/>
  <c r="D1299" i="1"/>
  <c r="C1299" i="1"/>
  <c r="I1298" i="1"/>
  <c r="H1298" i="1"/>
  <c r="G1298" i="1"/>
  <c r="F1298" i="1"/>
  <c r="E1298" i="1"/>
  <c r="D1298" i="1"/>
  <c r="C1298" i="1"/>
  <c r="I1297" i="1"/>
  <c r="H1297" i="1"/>
  <c r="G1297" i="1"/>
  <c r="F1297" i="1"/>
  <c r="E1297" i="1"/>
  <c r="D1297" i="1"/>
  <c r="C1297" i="1"/>
  <c r="I1296" i="1"/>
  <c r="H1296" i="1"/>
  <c r="G1296" i="1"/>
  <c r="F1296" i="1"/>
  <c r="E1296" i="1"/>
  <c r="D1296" i="1"/>
  <c r="C1296" i="1"/>
  <c r="I1295" i="1"/>
  <c r="H1295" i="1"/>
  <c r="G1295" i="1"/>
  <c r="F1295" i="1"/>
  <c r="E1295" i="1"/>
  <c r="D1295" i="1"/>
  <c r="C1295" i="1"/>
  <c r="I1294" i="1"/>
  <c r="H1294" i="1"/>
  <c r="G1294" i="1"/>
  <c r="F1294" i="1"/>
  <c r="E1294" i="1"/>
  <c r="D1294" i="1"/>
  <c r="C1294" i="1"/>
  <c r="I1293" i="1"/>
  <c r="H1293" i="1"/>
  <c r="G1293" i="1"/>
  <c r="F1293" i="1"/>
  <c r="E1293" i="1"/>
  <c r="D1293" i="1"/>
  <c r="C1293" i="1"/>
  <c r="I1292" i="1"/>
  <c r="H1292" i="1"/>
  <c r="G1292" i="1"/>
  <c r="F1292" i="1"/>
  <c r="E1292" i="1"/>
  <c r="D1292" i="1"/>
  <c r="C1292" i="1"/>
  <c r="I1291" i="1"/>
  <c r="H1291" i="1"/>
  <c r="G1291" i="1"/>
  <c r="F1291" i="1"/>
  <c r="E1291" i="1"/>
  <c r="D1291" i="1"/>
  <c r="C1291" i="1"/>
  <c r="I1290" i="1"/>
  <c r="H1290" i="1"/>
  <c r="G1290" i="1"/>
  <c r="F1290" i="1"/>
  <c r="E1290" i="1"/>
  <c r="D1290" i="1"/>
  <c r="C1290" i="1"/>
  <c r="I1289" i="1"/>
  <c r="H1289" i="1"/>
  <c r="G1289" i="1"/>
  <c r="F1289" i="1"/>
  <c r="E1289" i="1"/>
  <c r="D1289" i="1"/>
  <c r="C1289" i="1"/>
  <c r="I1288" i="1"/>
  <c r="H1288" i="1"/>
  <c r="G1288" i="1"/>
  <c r="F1288" i="1"/>
  <c r="E1288" i="1"/>
  <c r="D1288" i="1"/>
  <c r="C1288" i="1"/>
  <c r="I1287" i="1"/>
  <c r="H1287" i="1"/>
  <c r="G1287" i="1"/>
  <c r="F1287" i="1"/>
  <c r="E1287" i="1"/>
  <c r="D1287" i="1"/>
  <c r="C1287" i="1"/>
  <c r="I1286" i="1"/>
  <c r="H1286" i="1"/>
  <c r="G1286" i="1"/>
  <c r="F1286" i="1"/>
  <c r="E1286" i="1"/>
  <c r="D1286" i="1"/>
  <c r="C1286" i="1"/>
  <c r="I1285" i="1"/>
  <c r="H1285" i="1"/>
  <c r="G1285" i="1"/>
  <c r="F1285" i="1"/>
  <c r="E1285" i="1"/>
  <c r="D1285" i="1"/>
  <c r="C1285" i="1"/>
  <c r="I1284" i="1"/>
  <c r="H1284" i="1"/>
  <c r="G1284" i="1"/>
  <c r="F1284" i="1"/>
  <c r="E1284" i="1"/>
  <c r="D1284" i="1"/>
  <c r="C1284" i="1"/>
  <c r="I1283" i="1"/>
  <c r="H1283" i="1"/>
  <c r="G1283" i="1"/>
  <c r="F1283" i="1"/>
  <c r="E1283" i="1"/>
  <c r="D1283" i="1"/>
  <c r="C1283" i="1"/>
  <c r="I1282" i="1"/>
  <c r="H1282" i="1"/>
  <c r="G1282" i="1"/>
  <c r="F1282" i="1"/>
  <c r="E1282" i="1"/>
  <c r="D1282" i="1"/>
  <c r="C1282" i="1"/>
  <c r="I1281" i="1"/>
  <c r="H1281" i="1"/>
  <c r="G1281" i="1"/>
  <c r="F1281" i="1"/>
  <c r="E1281" i="1"/>
  <c r="D1281" i="1"/>
  <c r="C1281" i="1"/>
  <c r="I1280" i="1"/>
  <c r="H1280" i="1"/>
  <c r="G1280" i="1"/>
  <c r="F1280" i="1"/>
  <c r="E1280" i="1"/>
  <c r="D1280" i="1"/>
  <c r="C1280" i="1"/>
  <c r="I1279" i="1"/>
  <c r="H1279" i="1"/>
  <c r="G1279" i="1"/>
  <c r="F1279" i="1"/>
  <c r="E1279" i="1"/>
  <c r="D1279" i="1"/>
  <c r="C1279" i="1"/>
  <c r="I1278" i="1"/>
  <c r="H1278" i="1"/>
  <c r="G1278" i="1"/>
  <c r="F1278" i="1"/>
  <c r="E1278" i="1"/>
  <c r="D1278" i="1"/>
  <c r="C1278" i="1"/>
  <c r="I1277" i="1"/>
  <c r="H1277" i="1"/>
  <c r="G1277" i="1"/>
  <c r="F1277" i="1"/>
  <c r="E1277" i="1"/>
  <c r="D1277" i="1"/>
  <c r="C1277" i="1"/>
  <c r="I1276" i="1"/>
  <c r="H1276" i="1"/>
  <c r="G1276" i="1"/>
  <c r="F1276" i="1"/>
  <c r="E1276" i="1"/>
  <c r="D1276" i="1"/>
  <c r="C1276" i="1"/>
  <c r="I1275" i="1"/>
  <c r="H1275" i="1"/>
  <c r="G1275" i="1"/>
  <c r="F1275" i="1"/>
  <c r="E1275" i="1"/>
  <c r="D1275" i="1"/>
  <c r="C1275" i="1"/>
  <c r="I1274" i="1"/>
  <c r="H1274" i="1"/>
  <c r="G1274" i="1"/>
  <c r="F1274" i="1"/>
  <c r="E1274" i="1"/>
  <c r="D1274" i="1"/>
  <c r="C1274" i="1"/>
  <c r="I1273" i="1"/>
  <c r="H1273" i="1"/>
  <c r="G1273" i="1"/>
  <c r="F1273" i="1"/>
  <c r="E1273" i="1"/>
  <c r="D1273" i="1"/>
  <c r="C1273" i="1"/>
  <c r="I1272" i="1"/>
  <c r="H1272" i="1"/>
  <c r="G1272" i="1"/>
  <c r="F1272" i="1"/>
  <c r="E1272" i="1"/>
  <c r="D1272" i="1"/>
  <c r="C1272" i="1"/>
  <c r="I1271" i="1"/>
  <c r="H1271" i="1"/>
  <c r="G1271" i="1"/>
  <c r="F1271" i="1"/>
  <c r="E1271" i="1"/>
  <c r="D1271" i="1"/>
  <c r="C1271" i="1"/>
  <c r="I1270" i="1"/>
  <c r="H1270" i="1"/>
  <c r="G1270" i="1"/>
  <c r="F1270" i="1"/>
  <c r="E1270" i="1"/>
  <c r="D1270" i="1"/>
  <c r="C1270" i="1"/>
  <c r="I1269" i="1"/>
  <c r="H1269" i="1"/>
  <c r="G1269" i="1"/>
  <c r="F1269" i="1"/>
  <c r="E1269" i="1"/>
  <c r="D1269" i="1"/>
  <c r="C1269" i="1"/>
  <c r="I1268" i="1"/>
  <c r="H1268" i="1"/>
  <c r="G1268" i="1"/>
  <c r="F1268" i="1"/>
  <c r="E1268" i="1"/>
  <c r="D1268" i="1"/>
  <c r="C1268" i="1"/>
  <c r="I1267" i="1"/>
  <c r="H1267" i="1"/>
  <c r="G1267" i="1"/>
  <c r="F1267" i="1"/>
  <c r="E1267" i="1"/>
  <c r="D1267" i="1"/>
  <c r="C1267" i="1"/>
  <c r="I1266" i="1"/>
  <c r="H1266" i="1"/>
  <c r="G1266" i="1"/>
  <c r="F1266" i="1"/>
  <c r="E1266" i="1"/>
  <c r="D1266" i="1"/>
  <c r="C1266" i="1"/>
  <c r="I1265" i="1"/>
  <c r="H1265" i="1"/>
  <c r="G1265" i="1"/>
  <c r="F1265" i="1"/>
  <c r="E1265" i="1"/>
  <c r="D1265" i="1"/>
  <c r="C1265" i="1"/>
  <c r="I1264" i="1"/>
  <c r="H1264" i="1"/>
  <c r="G1264" i="1"/>
  <c r="F1264" i="1"/>
  <c r="E1264" i="1"/>
  <c r="D1264" i="1"/>
  <c r="C1264" i="1"/>
  <c r="I1263" i="1"/>
  <c r="H1263" i="1"/>
  <c r="G1263" i="1"/>
  <c r="F1263" i="1"/>
  <c r="E1263" i="1"/>
  <c r="D1263" i="1"/>
  <c r="C1263" i="1"/>
  <c r="I1262" i="1"/>
  <c r="H1262" i="1"/>
  <c r="G1262" i="1"/>
  <c r="F1262" i="1"/>
  <c r="E1262" i="1"/>
  <c r="D1262" i="1"/>
  <c r="C1262" i="1"/>
  <c r="I1261" i="1"/>
  <c r="H1261" i="1"/>
  <c r="G1261" i="1"/>
  <c r="F1261" i="1"/>
  <c r="E1261" i="1"/>
  <c r="D1261" i="1"/>
  <c r="C1261" i="1"/>
  <c r="I1260" i="1"/>
  <c r="H1260" i="1"/>
  <c r="G1260" i="1"/>
  <c r="F1260" i="1"/>
  <c r="E1260" i="1"/>
  <c r="D1260" i="1"/>
  <c r="C1260" i="1"/>
  <c r="I1259" i="1"/>
  <c r="H1259" i="1"/>
  <c r="G1259" i="1"/>
  <c r="F1259" i="1"/>
  <c r="E1259" i="1"/>
  <c r="D1259" i="1"/>
  <c r="C1259" i="1"/>
  <c r="I1258" i="1"/>
  <c r="H1258" i="1"/>
  <c r="G1258" i="1"/>
  <c r="F1258" i="1"/>
  <c r="E1258" i="1"/>
  <c r="D1258" i="1"/>
  <c r="C1258" i="1"/>
  <c r="I1257" i="1"/>
  <c r="H1257" i="1"/>
  <c r="G1257" i="1"/>
  <c r="F1257" i="1"/>
  <c r="E1257" i="1"/>
  <c r="D1257" i="1"/>
  <c r="C1257" i="1"/>
  <c r="I1256" i="1"/>
  <c r="H1256" i="1"/>
  <c r="G1256" i="1"/>
  <c r="F1256" i="1"/>
  <c r="E1256" i="1"/>
  <c r="D1256" i="1"/>
  <c r="C1256" i="1"/>
  <c r="I1255" i="1"/>
  <c r="H1255" i="1"/>
  <c r="G1255" i="1"/>
  <c r="F1255" i="1"/>
  <c r="E1255" i="1"/>
  <c r="D1255" i="1"/>
  <c r="C1255" i="1"/>
  <c r="I1254" i="1"/>
  <c r="H1254" i="1"/>
  <c r="G1254" i="1"/>
  <c r="F1254" i="1"/>
  <c r="E1254" i="1"/>
  <c r="D1254" i="1"/>
  <c r="C1254" i="1"/>
  <c r="I1253" i="1"/>
  <c r="H1253" i="1"/>
  <c r="G1253" i="1"/>
  <c r="F1253" i="1"/>
  <c r="E1253" i="1"/>
  <c r="D1253" i="1"/>
  <c r="C1253" i="1"/>
  <c r="I1252" i="1"/>
  <c r="H1252" i="1"/>
  <c r="G1252" i="1"/>
  <c r="F1252" i="1"/>
  <c r="E1252" i="1"/>
  <c r="D1252" i="1"/>
  <c r="C1252" i="1"/>
  <c r="I1251" i="1"/>
  <c r="H1251" i="1"/>
  <c r="G1251" i="1"/>
  <c r="F1251" i="1"/>
  <c r="E1251" i="1"/>
  <c r="D1251" i="1"/>
  <c r="C1251" i="1"/>
  <c r="I1250" i="1"/>
  <c r="H1250" i="1"/>
  <c r="G1250" i="1"/>
  <c r="F1250" i="1"/>
  <c r="E1250" i="1"/>
  <c r="D1250" i="1"/>
  <c r="C1250" i="1"/>
  <c r="I1249" i="1"/>
  <c r="H1249" i="1"/>
  <c r="G1249" i="1"/>
  <c r="F1249" i="1"/>
  <c r="E1249" i="1"/>
  <c r="D1249" i="1"/>
  <c r="C1249" i="1"/>
  <c r="I1248" i="1"/>
  <c r="H1248" i="1"/>
  <c r="G1248" i="1"/>
  <c r="F1248" i="1"/>
  <c r="E1248" i="1"/>
  <c r="D1248" i="1"/>
  <c r="C1248" i="1"/>
  <c r="I1247" i="1"/>
  <c r="H1247" i="1"/>
  <c r="G1247" i="1"/>
  <c r="F1247" i="1"/>
  <c r="E1247" i="1"/>
  <c r="D1247" i="1"/>
  <c r="C1247" i="1"/>
  <c r="I1246" i="1"/>
  <c r="H1246" i="1"/>
  <c r="G1246" i="1"/>
  <c r="F1246" i="1"/>
  <c r="E1246" i="1"/>
  <c r="D1246" i="1"/>
  <c r="C1246" i="1"/>
  <c r="I1245" i="1"/>
  <c r="H1245" i="1"/>
  <c r="G1245" i="1"/>
  <c r="F1245" i="1"/>
  <c r="E1245" i="1"/>
  <c r="D1245" i="1"/>
  <c r="C1245" i="1"/>
  <c r="I1244" i="1"/>
  <c r="H1244" i="1"/>
  <c r="G1244" i="1"/>
  <c r="F1244" i="1"/>
  <c r="E1244" i="1"/>
  <c r="D1244" i="1"/>
  <c r="C1244" i="1"/>
  <c r="I1243" i="1"/>
  <c r="H1243" i="1"/>
  <c r="G1243" i="1"/>
  <c r="F1243" i="1"/>
  <c r="E1243" i="1"/>
  <c r="D1243" i="1"/>
  <c r="C1243" i="1"/>
  <c r="I1242" i="1"/>
  <c r="H1242" i="1"/>
  <c r="G1242" i="1"/>
  <c r="F1242" i="1"/>
  <c r="E1242" i="1"/>
  <c r="D1242" i="1"/>
  <c r="C1242" i="1"/>
  <c r="I1241" i="1"/>
  <c r="H1241" i="1"/>
  <c r="G1241" i="1"/>
  <c r="F1241" i="1"/>
  <c r="E1241" i="1"/>
  <c r="D1241" i="1"/>
  <c r="C1241" i="1"/>
  <c r="I1240" i="1"/>
  <c r="H1240" i="1"/>
  <c r="G1240" i="1"/>
  <c r="F1240" i="1"/>
  <c r="E1240" i="1"/>
  <c r="D1240" i="1"/>
  <c r="C1240" i="1"/>
  <c r="I1239" i="1"/>
  <c r="H1239" i="1"/>
  <c r="G1239" i="1"/>
  <c r="F1239" i="1"/>
  <c r="E1239" i="1"/>
  <c r="D1239" i="1"/>
  <c r="C1239" i="1"/>
  <c r="I1238" i="1"/>
  <c r="H1238" i="1"/>
  <c r="G1238" i="1"/>
  <c r="F1238" i="1"/>
  <c r="E1238" i="1"/>
  <c r="D1238" i="1"/>
  <c r="C1238" i="1"/>
  <c r="I1237" i="1"/>
  <c r="H1237" i="1"/>
  <c r="G1237" i="1"/>
  <c r="F1237" i="1"/>
  <c r="E1237" i="1"/>
  <c r="D1237" i="1"/>
  <c r="C1237" i="1"/>
  <c r="I1236" i="1"/>
  <c r="H1236" i="1"/>
  <c r="G1236" i="1"/>
  <c r="F1236" i="1"/>
  <c r="E1236" i="1"/>
  <c r="D1236" i="1"/>
  <c r="C1236" i="1"/>
  <c r="I1235" i="1"/>
  <c r="H1235" i="1"/>
  <c r="G1235" i="1"/>
  <c r="F1235" i="1"/>
  <c r="E1235" i="1"/>
  <c r="D1235" i="1"/>
  <c r="C1235" i="1"/>
  <c r="I1234" i="1"/>
  <c r="H1234" i="1"/>
  <c r="G1234" i="1"/>
  <c r="F1234" i="1"/>
  <c r="E1234" i="1"/>
  <c r="D1234" i="1"/>
  <c r="C1234" i="1"/>
  <c r="I1233" i="1"/>
  <c r="H1233" i="1"/>
  <c r="G1233" i="1"/>
  <c r="F1233" i="1"/>
  <c r="E1233" i="1"/>
  <c r="D1233" i="1"/>
  <c r="C1233" i="1"/>
  <c r="I1232" i="1"/>
  <c r="H1232" i="1"/>
  <c r="G1232" i="1"/>
  <c r="F1232" i="1"/>
  <c r="E1232" i="1"/>
  <c r="D1232" i="1"/>
  <c r="C1232" i="1"/>
  <c r="I1231" i="1"/>
  <c r="H1231" i="1"/>
  <c r="G1231" i="1"/>
  <c r="F1231" i="1"/>
  <c r="E1231" i="1"/>
  <c r="D1231" i="1"/>
  <c r="C1231" i="1"/>
  <c r="I1230" i="1"/>
  <c r="H1230" i="1"/>
  <c r="G1230" i="1"/>
  <c r="F1230" i="1"/>
  <c r="E1230" i="1"/>
  <c r="D1230" i="1"/>
  <c r="C1230" i="1"/>
  <c r="I1229" i="1"/>
  <c r="H1229" i="1"/>
  <c r="G1229" i="1"/>
  <c r="F1229" i="1"/>
  <c r="E1229" i="1"/>
  <c r="D1229" i="1"/>
  <c r="C1229" i="1"/>
  <c r="I1228" i="1"/>
  <c r="H1228" i="1"/>
  <c r="G1228" i="1"/>
  <c r="F1228" i="1"/>
  <c r="E1228" i="1"/>
  <c r="D1228" i="1"/>
  <c r="C1228" i="1"/>
  <c r="I1227" i="1"/>
  <c r="H1227" i="1"/>
  <c r="G1227" i="1"/>
  <c r="F1227" i="1"/>
  <c r="E1227" i="1"/>
  <c r="D1227" i="1"/>
  <c r="C1227" i="1"/>
  <c r="I1226" i="1"/>
  <c r="H1226" i="1"/>
  <c r="G1226" i="1"/>
  <c r="F1226" i="1"/>
  <c r="E1226" i="1"/>
  <c r="D1226" i="1"/>
  <c r="C1226" i="1"/>
  <c r="I1225" i="1"/>
  <c r="H1225" i="1"/>
  <c r="G1225" i="1"/>
  <c r="F1225" i="1"/>
  <c r="E1225" i="1"/>
  <c r="D1225" i="1"/>
  <c r="C1225" i="1"/>
  <c r="I1224" i="1"/>
  <c r="H1224" i="1"/>
  <c r="G1224" i="1"/>
  <c r="F1224" i="1"/>
  <c r="E1224" i="1"/>
  <c r="D1224" i="1"/>
  <c r="C1224" i="1"/>
  <c r="I1223" i="1"/>
  <c r="H1223" i="1"/>
  <c r="G1223" i="1"/>
  <c r="F1223" i="1"/>
  <c r="E1223" i="1"/>
  <c r="D1223" i="1"/>
  <c r="C1223" i="1"/>
  <c r="I1222" i="1"/>
  <c r="H1222" i="1"/>
  <c r="G1222" i="1"/>
  <c r="F1222" i="1"/>
  <c r="E1222" i="1"/>
  <c r="D1222" i="1"/>
  <c r="C1222" i="1"/>
  <c r="I1221" i="1"/>
  <c r="H1221" i="1"/>
  <c r="G1221" i="1"/>
  <c r="F1221" i="1"/>
  <c r="E1221" i="1"/>
  <c r="D1221" i="1"/>
  <c r="C1221" i="1"/>
  <c r="I1220" i="1"/>
  <c r="H1220" i="1"/>
  <c r="G1220" i="1"/>
  <c r="F1220" i="1"/>
  <c r="E1220" i="1"/>
  <c r="D1220" i="1"/>
  <c r="C1220" i="1"/>
  <c r="I1219" i="1"/>
  <c r="H1219" i="1"/>
  <c r="G1219" i="1"/>
  <c r="F1219" i="1"/>
  <c r="E1219" i="1"/>
  <c r="D1219" i="1"/>
  <c r="C1219" i="1"/>
  <c r="I1218" i="1"/>
  <c r="H1218" i="1"/>
  <c r="G1218" i="1"/>
  <c r="F1218" i="1"/>
  <c r="E1218" i="1"/>
  <c r="D1218" i="1"/>
  <c r="C1218" i="1"/>
  <c r="I1217" i="1"/>
  <c r="H1217" i="1"/>
  <c r="G1217" i="1"/>
  <c r="F1217" i="1"/>
  <c r="E1217" i="1"/>
  <c r="D1217" i="1"/>
  <c r="C1217" i="1"/>
  <c r="I1216" i="1"/>
  <c r="H1216" i="1"/>
  <c r="G1216" i="1"/>
  <c r="F1216" i="1"/>
  <c r="E1216" i="1"/>
  <c r="D1216" i="1"/>
  <c r="C1216" i="1"/>
  <c r="I1215" i="1"/>
  <c r="H1215" i="1"/>
  <c r="G1215" i="1"/>
  <c r="F1215" i="1"/>
  <c r="E1215" i="1"/>
  <c r="D1215" i="1"/>
  <c r="C1215" i="1"/>
  <c r="I1214" i="1"/>
  <c r="H1214" i="1"/>
  <c r="G1214" i="1"/>
  <c r="F1214" i="1"/>
  <c r="E1214" i="1"/>
  <c r="D1214" i="1"/>
  <c r="C1214" i="1"/>
  <c r="I1213" i="1"/>
  <c r="H1213" i="1"/>
  <c r="G1213" i="1"/>
  <c r="F1213" i="1"/>
  <c r="E1213" i="1"/>
  <c r="D1213" i="1"/>
  <c r="C1213" i="1"/>
  <c r="I1212" i="1"/>
  <c r="H1212" i="1"/>
  <c r="G1212" i="1"/>
  <c r="F1212" i="1"/>
  <c r="E1212" i="1"/>
  <c r="D1212" i="1"/>
  <c r="C1212" i="1"/>
  <c r="I1211" i="1"/>
  <c r="H1211" i="1"/>
  <c r="G1211" i="1"/>
  <c r="F1211" i="1"/>
  <c r="E1211" i="1"/>
  <c r="D1211" i="1"/>
  <c r="C1211" i="1"/>
  <c r="I1210" i="1"/>
  <c r="H1210" i="1"/>
  <c r="G1210" i="1"/>
  <c r="F1210" i="1"/>
  <c r="E1210" i="1"/>
  <c r="D1210" i="1"/>
  <c r="C1210" i="1"/>
  <c r="I1209" i="1"/>
  <c r="H1209" i="1"/>
  <c r="G1209" i="1"/>
  <c r="F1209" i="1"/>
  <c r="E1209" i="1"/>
  <c r="D1209" i="1"/>
  <c r="C1209" i="1"/>
  <c r="I1208" i="1"/>
  <c r="H1208" i="1"/>
  <c r="G1208" i="1"/>
  <c r="F1208" i="1"/>
  <c r="E1208" i="1"/>
  <c r="D1208" i="1"/>
  <c r="C1208" i="1"/>
  <c r="I1207" i="1"/>
  <c r="H1207" i="1"/>
  <c r="G1207" i="1"/>
  <c r="F1207" i="1"/>
  <c r="E1207" i="1"/>
  <c r="D1207" i="1"/>
  <c r="C1207" i="1"/>
  <c r="I1206" i="1"/>
  <c r="H1206" i="1"/>
  <c r="G1206" i="1"/>
  <c r="F1206" i="1"/>
  <c r="E1206" i="1"/>
  <c r="D1206" i="1"/>
  <c r="C1206" i="1"/>
  <c r="I1205" i="1"/>
  <c r="H1205" i="1"/>
  <c r="G1205" i="1"/>
  <c r="F1205" i="1"/>
  <c r="E1205" i="1"/>
  <c r="D1205" i="1"/>
  <c r="C1205" i="1"/>
  <c r="I1204" i="1"/>
  <c r="H1204" i="1"/>
  <c r="G1204" i="1"/>
  <c r="F1204" i="1"/>
  <c r="E1204" i="1"/>
  <c r="D1204" i="1"/>
  <c r="C1204" i="1"/>
  <c r="I1203" i="1"/>
  <c r="H1203" i="1"/>
  <c r="G1203" i="1"/>
  <c r="F1203" i="1"/>
  <c r="E1203" i="1"/>
  <c r="D1203" i="1"/>
  <c r="C1203" i="1"/>
  <c r="I1202" i="1"/>
  <c r="H1202" i="1"/>
  <c r="G1202" i="1"/>
  <c r="F1202" i="1"/>
  <c r="E1202" i="1"/>
  <c r="D1202" i="1"/>
  <c r="C1202" i="1"/>
  <c r="I1201" i="1"/>
  <c r="H1201" i="1"/>
  <c r="G1201" i="1"/>
  <c r="F1201" i="1"/>
  <c r="E1201" i="1"/>
  <c r="D1201" i="1"/>
  <c r="C1201" i="1"/>
  <c r="I1200" i="1"/>
  <c r="H1200" i="1"/>
  <c r="G1200" i="1"/>
  <c r="F1200" i="1"/>
  <c r="E1200" i="1"/>
  <c r="D1200" i="1"/>
  <c r="C1200" i="1"/>
  <c r="I1199" i="1"/>
  <c r="H1199" i="1"/>
  <c r="G1199" i="1"/>
  <c r="F1199" i="1"/>
  <c r="E1199" i="1"/>
  <c r="D1199" i="1"/>
  <c r="C1199" i="1"/>
  <c r="I1198" i="1"/>
  <c r="H1198" i="1"/>
  <c r="G1198" i="1"/>
  <c r="F1198" i="1"/>
  <c r="E1198" i="1"/>
  <c r="D1198" i="1"/>
  <c r="C1198" i="1"/>
  <c r="I1197" i="1"/>
  <c r="H1197" i="1"/>
  <c r="G1197" i="1"/>
  <c r="F1197" i="1"/>
  <c r="E1197" i="1"/>
  <c r="D1197" i="1"/>
  <c r="C1197" i="1"/>
  <c r="I1196" i="1"/>
  <c r="H1196" i="1"/>
  <c r="G1196" i="1"/>
  <c r="F1196" i="1"/>
  <c r="E1196" i="1"/>
  <c r="D1196" i="1"/>
  <c r="C1196" i="1"/>
  <c r="I1195" i="1"/>
  <c r="H1195" i="1"/>
  <c r="G1195" i="1"/>
  <c r="F1195" i="1"/>
  <c r="E1195" i="1"/>
  <c r="D1195" i="1"/>
  <c r="C1195" i="1"/>
  <c r="I1194" i="1"/>
  <c r="H1194" i="1"/>
  <c r="G1194" i="1"/>
  <c r="F1194" i="1"/>
  <c r="E1194" i="1"/>
  <c r="D1194" i="1"/>
  <c r="C1194" i="1"/>
  <c r="I1193" i="1"/>
  <c r="H1193" i="1"/>
  <c r="G1193" i="1"/>
  <c r="F1193" i="1"/>
  <c r="E1193" i="1"/>
  <c r="D1193" i="1"/>
  <c r="C1193" i="1"/>
  <c r="I1192" i="1"/>
  <c r="H1192" i="1"/>
  <c r="G1192" i="1"/>
  <c r="F1192" i="1"/>
  <c r="E1192" i="1"/>
  <c r="D1192" i="1"/>
  <c r="C1192" i="1"/>
  <c r="I1191" i="1"/>
  <c r="H1191" i="1"/>
  <c r="G1191" i="1"/>
  <c r="F1191" i="1"/>
  <c r="E1191" i="1"/>
  <c r="D1191" i="1"/>
  <c r="C1191" i="1"/>
  <c r="I1190" i="1"/>
  <c r="H1190" i="1"/>
  <c r="G1190" i="1"/>
  <c r="F1190" i="1"/>
  <c r="E1190" i="1"/>
  <c r="D1190" i="1"/>
  <c r="C1190" i="1"/>
  <c r="I1189" i="1"/>
  <c r="H1189" i="1"/>
  <c r="G1189" i="1"/>
  <c r="F1189" i="1"/>
  <c r="E1189" i="1"/>
  <c r="D1189" i="1"/>
  <c r="C1189" i="1"/>
  <c r="I1188" i="1"/>
  <c r="H1188" i="1"/>
  <c r="G1188" i="1"/>
  <c r="F1188" i="1"/>
  <c r="E1188" i="1"/>
  <c r="D1188" i="1"/>
  <c r="C1188" i="1"/>
  <c r="I1187" i="1"/>
  <c r="H1187" i="1"/>
  <c r="G1187" i="1"/>
  <c r="F1187" i="1"/>
  <c r="E1187" i="1"/>
  <c r="D1187" i="1"/>
  <c r="C1187" i="1"/>
  <c r="I1186" i="1"/>
  <c r="H1186" i="1"/>
  <c r="G1186" i="1"/>
  <c r="F1186" i="1"/>
  <c r="E1186" i="1"/>
  <c r="D1186" i="1"/>
  <c r="C1186" i="1"/>
  <c r="I1185" i="1"/>
  <c r="H1185" i="1"/>
  <c r="G1185" i="1"/>
  <c r="F1185" i="1"/>
  <c r="E1185" i="1"/>
  <c r="D1185" i="1"/>
  <c r="C1185" i="1"/>
  <c r="I1184" i="1"/>
  <c r="H1184" i="1"/>
  <c r="G1184" i="1"/>
  <c r="F1184" i="1"/>
  <c r="E1184" i="1"/>
  <c r="D1184" i="1"/>
  <c r="C1184" i="1"/>
  <c r="I1183" i="1"/>
  <c r="H1183" i="1"/>
  <c r="G1183" i="1"/>
  <c r="F1183" i="1"/>
  <c r="E1183" i="1"/>
  <c r="D1183" i="1"/>
  <c r="C1183" i="1"/>
  <c r="I1182" i="1"/>
  <c r="H1182" i="1"/>
  <c r="G1182" i="1"/>
  <c r="F1182" i="1"/>
  <c r="E1182" i="1"/>
  <c r="D1182" i="1"/>
  <c r="C1182" i="1"/>
  <c r="I1181" i="1"/>
  <c r="H1181" i="1"/>
  <c r="G1181" i="1"/>
  <c r="F1181" i="1"/>
  <c r="E1181" i="1"/>
  <c r="D1181" i="1"/>
  <c r="C1181" i="1"/>
  <c r="I1180" i="1"/>
  <c r="H1180" i="1"/>
  <c r="G1180" i="1"/>
  <c r="F1180" i="1"/>
  <c r="E1180" i="1"/>
  <c r="D1180" i="1"/>
  <c r="C1180" i="1"/>
  <c r="I1179" i="1"/>
  <c r="H1179" i="1"/>
  <c r="G1179" i="1"/>
  <c r="F1179" i="1"/>
  <c r="E1179" i="1"/>
  <c r="D1179" i="1"/>
  <c r="C1179" i="1"/>
  <c r="I1178" i="1"/>
  <c r="H1178" i="1"/>
  <c r="G1178" i="1"/>
  <c r="F1178" i="1"/>
  <c r="E1178" i="1"/>
  <c r="D1178" i="1"/>
  <c r="C1178" i="1"/>
  <c r="I1177" i="1"/>
  <c r="H1177" i="1"/>
  <c r="G1177" i="1"/>
  <c r="F1177" i="1"/>
  <c r="E1177" i="1"/>
  <c r="D1177" i="1"/>
  <c r="C1177" i="1"/>
  <c r="I1176" i="1"/>
  <c r="H1176" i="1"/>
  <c r="G1176" i="1"/>
  <c r="F1176" i="1"/>
  <c r="E1176" i="1"/>
  <c r="D1176" i="1"/>
  <c r="C1176" i="1"/>
  <c r="I1175" i="1"/>
  <c r="H1175" i="1"/>
  <c r="G1175" i="1"/>
  <c r="F1175" i="1"/>
  <c r="E1175" i="1"/>
  <c r="D1175" i="1"/>
  <c r="C1175" i="1"/>
  <c r="I1174" i="1"/>
  <c r="H1174" i="1"/>
  <c r="G1174" i="1"/>
  <c r="F1174" i="1"/>
  <c r="E1174" i="1"/>
  <c r="D1174" i="1"/>
  <c r="C1174" i="1"/>
  <c r="I1173" i="1"/>
  <c r="H1173" i="1"/>
  <c r="G1173" i="1"/>
  <c r="F1173" i="1"/>
  <c r="E1173" i="1"/>
  <c r="D1173" i="1"/>
  <c r="C1173" i="1"/>
  <c r="I1172" i="1"/>
  <c r="H1172" i="1"/>
  <c r="G1172" i="1"/>
  <c r="F1172" i="1"/>
  <c r="E1172" i="1"/>
  <c r="D1172" i="1"/>
  <c r="C1172" i="1"/>
  <c r="I1171" i="1"/>
  <c r="H1171" i="1"/>
  <c r="G1171" i="1"/>
  <c r="F1171" i="1"/>
  <c r="E1171" i="1"/>
  <c r="D1171" i="1"/>
  <c r="C1171" i="1"/>
  <c r="I1170" i="1"/>
  <c r="H1170" i="1"/>
  <c r="G1170" i="1"/>
  <c r="F1170" i="1"/>
  <c r="E1170" i="1"/>
  <c r="D1170" i="1"/>
  <c r="C1170" i="1"/>
  <c r="I1169" i="1"/>
  <c r="H1169" i="1"/>
  <c r="G1169" i="1"/>
  <c r="F1169" i="1"/>
  <c r="E1169" i="1"/>
  <c r="D1169" i="1"/>
  <c r="C1169" i="1"/>
  <c r="I1168" i="1"/>
  <c r="H1168" i="1"/>
  <c r="G1168" i="1"/>
  <c r="F1168" i="1"/>
  <c r="E1168" i="1"/>
  <c r="D1168" i="1"/>
  <c r="C1168" i="1"/>
  <c r="I1167" i="1"/>
  <c r="H1167" i="1"/>
  <c r="G1167" i="1"/>
  <c r="F1167" i="1"/>
  <c r="E1167" i="1"/>
  <c r="D1167" i="1"/>
  <c r="C1167" i="1"/>
  <c r="I1166" i="1"/>
  <c r="H1166" i="1"/>
  <c r="G1166" i="1"/>
  <c r="F1166" i="1"/>
  <c r="E1166" i="1"/>
  <c r="D1166" i="1"/>
  <c r="C1166" i="1"/>
  <c r="I1165" i="1"/>
  <c r="H1165" i="1"/>
  <c r="G1165" i="1"/>
  <c r="F1165" i="1"/>
  <c r="E1165" i="1"/>
  <c r="D1165" i="1"/>
  <c r="C1165" i="1"/>
  <c r="I1164" i="1"/>
  <c r="H1164" i="1"/>
  <c r="G1164" i="1"/>
  <c r="F1164" i="1"/>
  <c r="E1164" i="1"/>
  <c r="D1164" i="1"/>
  <c r="C1164" i="1"/>
  <c r="I1163" i="1"/>
  <c r="H1163" i="1"/>
  <c r="G1163" i="1"/>
  <c r="F1163" i="1"/>
  <c r="E1163" i="1"/>
  <c r="D1163" i="1"/>
  <c r="C1163" i="1"/>
  <c r="I1162" i="1"/>
  <c r="H1162" i="1"/>
  <c r="G1162" i="1"/>
  <c r="F1162" i="1"/>
  <c r="E1162" i="1"/>
  <c r="D1162" i="1"/>
  <c r="C1162" i="1"/>
  <c r="I1161" i="1"/>
  <c r="H1161" i="1"/>
  <c r="G1161" i="1"/>
  <c r="F1161" i="1"/>
  <c r="E1161" i="1"/>
  <c r="D1161" i="1"/>
  <c r="C1161" i="1"/>
  <c r="I1160" i="1"/>
  <c r="H1160" i="1"/>
  <c r="G1160" i="1"/>
  <c r="F1160" i="1"/>
  <c r="E1160" i="1"/>
  <c r="D1160" i="1"/>
  <c r="C1160" i="1"/>
  <c r="I1159" i="1"/>
  <c r="H1159" i="1"/>
  <c r="G1159" i="1"/>
  <c r="F1159" i="1"/>
  <c r="E1159" i="1"/>
  <c r="D1159" i="1"/>
  <c r="C1159" i="1"/>
  <c r="I1158" i="1"/>
  <c r="H1158" i="1"/>
  <c r="G1158" i="1"/>
  <c r="F1158" i="1"/>
  <c r="E1158" i="1"/>
  <c r="D1158" i="1"/>
  <c r="C1158" i="1"/>
  <c r="I1157" i="1"/>
  <c r="H1157" i="1"/>
  <c r="G1157" i="1"/>
  <c r="F1157" i="1"/>
  <c r="E1157" i="1"/>
  <c r="D1157" i="1"/>
  <c r="C1157" i="1"/>
  <c r="I1156" i="1"/>
  <c r="H1156" i="1"/>
  <c r="G1156" i="1"/>
  <c r="F1156" i="1"/>
  <c r="E1156" i="1"/>
  <c r="D1156" i="1"/>
  <c r="C1156" i="1"/>
  <c r="I1155" i="1"/>
  <c r="H1155" i="1"/>
  <c r="G1155" i="1"/>
  <c r="F1155" i="1"/>
  <c r="E1155" i="1"/>
  <c r="D1155" i="1"/>
  <c r="C1155" i="1"/>
  <c r="I1154" i="1"/>
  <c r="H1154" i="1"/>
  <c r="G1154" i="1"/>
  <c r="F1154" i="1"/>
  <c r="E1154" i="1"/>
  <c r="D1154" i="1"/>
  <c r="C1154" i="1"/>
  <c r="I1153" i="1"/>
  <c r="H1153" i="1"/>
  <c r="G1153" i="1"/>
  <c r="F1153" i="1"/>
  <c r="E1153" i="1"/>
  <c r="D1153" i="1"/>
  <c r="C1153" i="1"/>
  <c r="I1152" i="1"/>
  <c r="H1152" i="1"/>
  <c r="G1152" i="1"/>
  <c r="F1152" i="1"/>
  <c r="E1152" i="1"/>
  <c r="D1152" i="1"/>
  <c r="C1152" i="1"/>
  <c r="I1151" i="1"/>
  <c r="H1151" i="1"/>
  <c r="G1151" i="1"/>
  <c r="F1151" i="1"/>
  <c r="E1151" i="1"/>
  <c r="D1151" i="1"/>
  <c r="C1151" i="1"/>
  <c r="I1150" i="1"/>
  <c r="H1150" i="1"/>
  <c r="G1150" i="1"/>
  <c r="F1150" i="1"/>
  <c r="E1150" i="1"/>
  <c r="D1150" i="1"/>
  <c r="C1150" i="1"/>
  <c r="I1149" i="1"/>
  <c r="H1149" i="1"/>
  <c r="G1149" i="1"/>
  <c r="F1149" i="1"/>
  <c r="E1149" i="1"/>
  <c r="D1149" i="1"/>
  <c r="C1149" i="1"/>
  <c r="I1148" i="1"/>
  <c r="H1148" i="1"/>
  <c r="G1148" i="1"/>
  <c r="F1148" i="1"/>
  <c r="E1148" i="1"/>
  <c r="D1148" i="1"/>
  <c r="C1148" i="1"/>
  <c r="I1147" i="1"/>
  <c r="H1147" i="1"/>
  <c r="G1147" i="1"/>
  <c r="F1147" i="1"/>
  <c r="E1147" i="1"/>
  <c r="D1147" i="1"/>
  <c r="C1147" i="1"/>
  <c r="I1146" i="1"/>
  <c r="H1146" i="1"/>
  <c r="G1146" i="1"/>
  <c r="F1146" i="1"/>
  <c r="E1146" i="1"/>
  <c r="D1146" i="1"/>
  <c r="C1146" i="1"/>
  <c r="I1145" i="1"/>
  <c r="H1145" i="1"/>
  <c r="G1145" i="1"/>
  <c r="F1145" i="1"/>
  <c r="E1145" i="1"/>
  <c r="D1145" i="1"/>
  <c r="C1145" i="1"/>
  <c r="I1144" i="1"/>
  <c r="H1144" i="1"/>
  <c r="G1144" i="1"/>
  <c r="F1144" i="1"/>
  <c r="E1144" i="1"/>
  <c r="D1144" i="1"/>
  <c r="C1144" i="1"/>
  <c r="I1143" i="1"/>
  <c r="H1143" i="1"/>
  <c r="G1143" i="1"/>
  <c r="F1143" i="1"/>
  <c r="E1143" i="1"/>
  <c r="D1143" i="1"/>
  <c r="C1143" i="1"/>
  <c r="I1142" i="1"/>
  <c r="H1142" i="1"/>
  <c r="G1142" i="1"/>
  <c r="F1142" i="1"/>
  <c r="E1142" i="1"/>
  <c r="D1142" i="1"/>
  <c r="C1142" i="1"/>
  <c r="I1141" i="1"/>
  <c r="H1141" i="1"/>
  <c r="G1141" i="1"/>
  <c r="F1141" i="1"/>
  <c r="E1141" i="1"/>
  <c r="D1141" i="1"/>
  <c r="C1141" i="1"/>
  <c r="I1140" i="1"/>
  <c r="H1140" i="1"/>
  <c r="G1140" i="1"/>
  <c r="F1140" i="1"/>
  <c r="E1140" i="1"/>
  <c r="D1140" i="1"/>
  <c r="C1140" i="1"/>
  <c r="I1139" i="1"/>
  <c r="H1139" i="1"/>
  <c r="G1139" i="1"/>
  <c r="F1139" i="1"/>
  <c r="E1139" i="1"/>
  <c r="D1139" i="1"/>
  <c r="C1139" i="1"/>
  <c r="I1138" i="1"/>
  <c r="H1138" i="1"/>
  <c r="G1138" i="1"/>
  <c r="F1138" i="1"/>
  <c r="E1138" i="1"/>
  <c r="D1138" i="1"/>
  <c r="C1138" i="1"/>
  <c r="I1137" i="1"/>
  <c r="H1137" i="1"/>
  <c r="G1137" i="1"/>
  <c r="F1137" i="1"/>
  <c r="E1137" i="1"/>
  <c r="D1137" i="1"/>
  <c r="C1137" i="1"/>
  <c r="I1136" i="1"/>
  <c r="H1136" i="1"/>
  <c r="G1136" i="1"/>
  <c r="F1136" i="1"/>
  <c r="E1136" i="1"/>
  <c r="D1136" i="1"/>
  <c r="C1136" i="1"/>
  <c r="I1135" i="1"/>
  <c r="H1135" i="1"/>
  <c r="G1135" i="1"/>
  <c r="F1135" i="1"/>
  <c r="E1135" i="1"/>
  <c r="D1135" i="1"/>
  <c r="C1135" i="1"/>
  <c r="I1134" i="1"/>
  <c r="H1134" i="1"/>
  <c r="G1134" i="1"/>
  <c r="F1134" i="1"/>
  <c r="E1134" i="1"/>
  <c r="D1134" i="1"/>
  <c r="C1134" i="1"/>
  <c r="I1133" i="1"/>
  <c r="H1133" i="1"/>
  <c r="G1133" i="1"/>
  <c r="F1133" i="1"/>
  <c r="E1133" i="1"/>
  <c r="D1133" i="1"/>
  <c r="C1133" i="1"/>
  <c r="I1132" i="1"/>
  <c r="H1132" i="1"/>
  <c r="G1132" i="1"/>
  <c r="F1132" i="1"/>
  <c r="E1132" i="1"/>
  <c r="D1132" i="1"/>
  <c r="C1132" i="1"/>
  <c r="I1131" i="1"/>
  <c r="H1131" i="1"/>
  <c r="G1131" i="1"/>
  <c r="F1131" i="1"/>
  <c r="E1131" i="1"/>
  <c r="D1131" i="1"/>
  <c r="C1131" i="1"/>
  <c r="I1130" i="1"/>
  <c r="H1130" i="1"/>
  <c r="G1130" i="1"/>
  <c r="F1130" i="1"/>
  <c r="E1130" i="1"/>
  <c r="D1130" i="1"/>
  <c r="C1130" i="1"/>
  <c r="I1129" i="1"/>
  <c r="H1129" i="1"/>
  <c r="G1129" i="1"/>
  <c r="F1129" i="1"/>
  <c r="E1129" i="1"/>
  <c r="D1129" i="1"/>
  <c r="C1129" i="1"/>
  <c r="I1128" i="1"/>
  <c r="H1128" i="1"/>
  <c r="G1128" i="1"/>
  <c r="F1128" i="1"/>
  <c r="E1128" i="1"/>
  <c r="D1128" i="1"/>
  <c r="C1128" i="1"/>
  <c r="I1127" i="1"/>
  <c r="H1127" i="1"/>
  <c r="G1127" i="1"/>
  <c r="F1127" i="1"/>
  <c r="E1127" i="1"/>
  <c r="D1127" i="1"/>
  <c r="C1127" i="1"/>
  <c r="I1126" i="1"/>
  <c r="H1126" i="1"/>
  <c r="G1126" i="1"/>
  <c r="F1126" i="1"/>
  <c r="E1126" i="1"/>
  <c r="D1126" i="1"/>
  <c r="C1126" i="1"/>
  <c r="I1125" i="1"/>
  <c r="H1125" i="1"/>
  <c r="G1125" i="1"/>
  <c r="F1125" i="1"/>
  <c r="E1125" i="1"/>
  <c r="D1125" i="1"/>
  <c r="C1125" i="1"/>
  <c r="I1124" i="1"/>
  <c r="H1124" i="1"/>
  <c r="G1124" i="1"/>
  <c r="F1124" i="1"/>
  <c r="E1124" i="1"/>
  <c r="D1124" i="1"/>
  <c r="C1124" i="1"/>
  <c r="I1123" i="1"/>
  <c r="H1123" i="1"/>
  <c r="G1123" i="1"/>
  <c r="F1123" i="1"/>
  <c r="E1123" i="1"/>
  <c r="D1123" i="1"/>
  <c r="C1123" i="1"/>
  <c r="I1122" i="1"/>
  <c r="H1122" i="1"/>
  <c r="G1122" i="1"/>
  <c r="F1122" i="1"/>
  <c r="E1122" i="1"/>
  <c r="D1122" i="1"/>
  <c r="C1122" i="1"/>
  <c r="I1121" i="1"/>
  <c r="H1121" i="1"/>
  <c r="G1121" i="1"/>
  <c r="F1121" i="1"/>
  <c r="E1121" i="1"/>
  <c r="D1121" i="1"/>
  <c r="C1121" i="1"/>
  <c r="I1120" i="1"/>
  <c r="H1120" i="1"/>
  <c r="G1120" i="1"/>
  <c r="F1120" i="1"/>
  <c r="E1120" i="1"/>
  <c r="D1120" i="1"/>
  <c r="C1120" i="1"/>
  <c r="I1119" i="1"/>
  <c r="H1119" i="1"/>
  <c r="G1119" i="1"/>
  <c r="F1119" i="1"/>
  <c r="E1119" i="1"/>
  <c r="D1119" i="1"/>
  <c r="C1119" i="1"/>
  <c r="I1118" i="1"/>
  <c r="H1118" i="1"/>
  <c r="G1118" i="1"/>
  <c r="F1118" i="1"/>
  <c r="E1118" i="1"/>
  <c r="D1118" i="1"/>
  <c r="C1118" i="1"/>
  <c r="I1117" i="1"/>
  <c r="H1117" i="1"/>
  <c r="G1117" i="1"/>
  <c r="F1117" i="1"/>
  <c r="E1117" i="1"/>
  <c r="D1117" i="1"/>
  <c r="C1117" i="1"/>
  <c r="I1116" i="1"/>
  <c r="H1116" i="1"/>
  <c r="G1116" i="1"/>
  <c r="F1116" i="1"/>
  <c r="E1116" i="1"/>
  <c r="D1116" i="1"/>
  <c r="C1116" i="1"/>
  <c r="I1115" i="1"/>
  <c r="H1115" i="1"/>
  <c r="G1115" i="1"/>
  <c r="F1115" i="1"/>
  <c r="E1115" i="1"/>
  <c r="D1115" i="1"/>
  <c r="C1115" i="1"/>
  <c r="I1114" i="1"/>
  <c r="H1114" i="1"/>
  <c r="G1114" i="1"/>
  <c r="F1114" i="1"/>
  <c r="E1114" i="1"/>
  <c r="D1114" i="1"/>
  <c r="C1114" i="1"/>
  <c r="I1113" i="1"/>
  <c r="H1113" i="1"/>
  <c r="G1113" i="1"/>
  <c r="F1113" i="1"/>
  <c r="E1113" i="1"/>
  <c r="D1113" i="1"/>
  <c r="C1113" i="1"/>
  <c r="I1112" i="1"/>
  <c r="H1112" i="1"/>
  <c r="G1112" i="1"/>
  <c r="F1112" i="1"/>
  <c r="E1112" i="1"/>
  <c r="D1112" i="1"/>
  <c r="C1112" i="1"/>
  <c r="I1111" i="1"/>
  <c r="H1111" i="1"/>
  <c r="G1111" i="1"/>
  <c r="F1111" i="1"/>
  <c r="E1111" i="1"/>
  <c r="D1111" i="1"/>
  <c r="C1111" i="1"/>
  <c r="I1110" i="1"/>
  <c r="H1110" i="1"/>
  <c r="G1110" i="1"/>
  <c r="F1110" i="1"/>
  <c r="E1110" i="1"/>
  <c r="D1110" i="1"/>
  <c r="C1110" i="1"/>
  <c r="I1109" i="1"/>
  <c r="H1109" i="1"/>
  <c r="G1109" i="1"/>
  <c r="F1109" i="1"/>
  <c r="E1109" i="1"/>
  <c r="D1109" i="1"/>
  <c r="C1109" i="1"/>
  <c r="I1108" i="1"/>
  <c r="H1108" i="1"/>
  <c r="G1108" i="1"/>
  <c r="F1108" i="1"/>
  <c r="E1108" i="1"/>
  <c r="D1108" i="1"/>
  <c r="C1108" i="1"/>
  <c r="I1107" i="1"/>
  <c r="H1107" i="1"/>
  <c r="G1107" i="1"/>
  <c r="F1107" i="1"/>
  <c r="E1107" i="1"/>
  <c r="D1107" i="1"/>
  <c r="C1107" i="1"/>
  <c r="I1106" i="1"/>
  <c r="H1106" i="1"/>
  <c r="G1106" i="1"/>
  <c r="F1106" i="1"/>
  <c r="E1106" i="1"/>
  <c r="D1106" i="1"/>
  <c r="C1106" i="1"/>
  <c r="I1105" i="1"/>
  <c r="H1105" i="1"/>
  <c r="G1105" i="1"/>
  <c r="F1105" i="1"/>
  <c r="E1105" i="1"/>
  <c r="D1105" i="1"/>
  <c r="C1105" i="1"/>
  <c r="I1104" i="1"/>
  <c r="H1104" i="1"/>
  <c r="G1104" i="1"/>
  <c r="F1104" i="1"/>
  <c r="E1104" i="1"/>
  <c r="D1104" i="1"/>
  <c r="C1104" i="1"/>
  <c r="I1103" i="1"/>
  <c r="H1103" i="1"/>
  <c r="G1103" i="1"/>
  <c r="F1103" i="1"/>
  <c r="E1103" i="1"/>
  <c r="D1103" i="1"/>
  <c r="C1103" i="1"/>
  <c r="I1102" i="1"/>
  <c r="H1102" i="1"/>
  <c r="G1102" i="1"/>
  <c r="F1102" i="1"/>
  <c r="E1102" i="1"/>
  <c r="D1102" i="1"/>
  <c r="C1102" i="1"/>
  <c r="I1101" i="1"/>
  <c r="H1101" i="1"/>
  <c r="G1101" i="1"/>
  <c r="F1101" i="1"/>
  <c r="E1101" i="1"/>
  <c r="D1101" i="1"/>
  <c r="C1101" i="1"/>
  <c r="I1100" i="1"/>
  <c r="H1100" i="1"/>
  <c r="G1100" i="1"/>
  <c r="F1100" i="1"/>
  <c r="E1100" i="1"/>
  <c r="D1100" i="1"/>
  <c r="C1100" i="1"/>
  <c r="I1099" i="1"/>
  <c r="H1099" i="1"/>
  <c r="G1099" i="1"/>
  <c r="F1099" i="1"/>
  <c r="E1099" i="1"/>
  <c r="D1099" i="1"/>
  <c r="C1099" i="1"/>
  <c r="I1098" i="1"/>
  <c r="H1098" i="1"/>
  <c r="G1098" i="1"/>
  <c r="F1098" i="1"/>
  <c r="E1098" i="1"/>
  <c r="D1098" i="1"/>
  <c r="C1098" i="1"/>
  <c r="I1097" i="1"/>
  <c r="H1097" i="1"/>
  <c r="G1097" i="1"/>
  <c r="F1097" i="1"/>
  <c r="E1097" i="1"/>
  <c r="D1097" i="1"/>
  <c r="C1097" i="1"/>
  <c r="I1096" i="1"/>
  <c r="H1096" i="1"/>
  <c r="G1096" i="1"/>
  <c r="F1096" i="1"/>
  <c r="E1096" i="1"/>
  <c r="D1096" i="1"/>
  <c r="C1096" i="1"/>
  <c r="I1095" i="1"/>
  <c r="H1095" i="1"/>
  <c r="G1095" i="1"/>
  <c r="F1095" i="1"/>
  <c r="E1095" i="1"/>
  <c r="D1095" i="1"/>
  <c r="C1095" i="1"/>
  <c r="I1094" i="1"/>
  <c r="H1094" i="1"/>
  <c r="G1094" i="1"/>
  <c r="F1094" i="1"/>
  <c r="E1094" i="1"/>
  <c r="D1094" i="1"/>
  <c r="C1094" i="1"/>
  <c r="I1093" i="1"/>
  <c r="H1093" i="1"/>
  <c r="G1093" i="1"/>
  <c r="F1093" i="1"/>
  <c r="E1093" i="1"/>
  <c r="D1093" i="1"/>
  <c r="C1093" i="1"/>
  <c r="I1092" i="1"/>
  <c r="H1092" i="1"/>
  <c r="G1092" i="1"/>
  <c r="F1092" i="1"/>
  <c r="E1092" i="1"/>
  <c r="D1092" i="1"/>
  <c r="C1092" i="1"/>
  <c r="I1091" i="1"/>
  <c r="H1091" i="1"/>
  <c r="G1091" i="1"/>
  <c r="F1091" i="1"/>
  <c r="E1091" i="1"/>
  <c r="D1091" i="1"/>
  <c r="C1091" i="1"/>
  <c r="I1090" i="1"/>
  <c r="H1090" i="1"/>
  <c r="G1090" i="1"/>
  <c r="F1090" i="1"/>
  <c r="E1090" i="1"/>
  <c r="D1090" i="1"/>
  <c r="C1090" i="1"/>
  <c r="I1089" i="1"/>
  <c r="H1089" i="1"/>
  <c r="G1089" i="1"/>
  <c r="F1089" i="1"/>
  <c r="E1089" i="1"/>
  <c r="D1089" i="1"/>
  <c r="C1089" i="1"/>
  <c r="I1088" i="1"/>
  <c r="H1088" i="1"/>
  <c r="G1088" i="1"/>
  <c r="F1088" i="1"/>
  <c r="E1088" i="1"/>
  <c r="D1088" i="1"/>
  <c r="C1088" i="1"/>
  <c r="I1087" i="1"/>
  <c r="H1087" i="1"/>
  <c r="G1087" i="1"/>
  <c r="F1087" i="1"/>
  <c r="E1087" i="1"/>
  <c r="D1087" i="1"/>
  <c r="C1087" i="1"/>
  <c r="I1086" i="1"/>
  <c r="H1086" i="1"/>
  <c r="G1086" i="1"/>
  <c r="F1086" i="1"/>
  <c r="E1086" i="1"/>
  <c r="D1086" i="1"/>
  <c r="C1086" i="1"/>
  <c r="I1085" i="1"/>
  <c r="H1085" i="1"/>
  <c r="G1085" i="1"/>
  <c r="F1085" i="1"/>
  <c r="E1085" i="1"/>
  <c r="D1085" i="1"/>
  <c r="C1085" i="1"/>
  <c r="I1084" i="1"/>
  <c r="H1084" i="1"/>
  <c r="G1084" i="1"/>
  <c r="F1084" i="1"/>
  <c r="E1084" i="1"/>
  <c r="D1084" i="1"/>
  <c r="C1084" i="1"/>
  <c r="I1083" i="1"/>
  <c r="H1083" i="1"/>
  <c r="G1083" i="1"/>
  <c r="F1083" i="1"/>
  <c r="E1083" i="1"/>
  <c r="D1083" i="1"/>
  <c r="C1083" i="1"/>
  <c r="I1082" i="1"/>
  <c r="H1082" i="1"/>
  <c r="G1082" i="1"/>
  <c r="F1082" i="1"/>
  <c r="E1082" i="1"/>
  <c r="D1082" i="1"/>
  <c r="C1082" i="1"/>
  <c r="I1081" i="1"/>
  <c r="H1081" i="1"/>
  <c r="G1081" i="1"/>
  <c r="F1081" i="1"/>
  <c r="E1081" i="1"/>
  <c r="D1081" i="1"/>
  <c r="C1081" i="1"/>
  <c r="I1080" i="1"/>
  <c r="H1080" i="1"/>
  <c r="G1080" i="1"/>
  <c r="F1080" i="1"/>
  <c r="E1080" i="1"/>
  <c r="D1080" i="1"/>
  <c r="C1080" i="1"/>
  <c r="I1079" i="1"/>
  <c r="H1079" i="1"/>
  <c r="G1079" i="1"/>
  <c r="F1079" i="1"/>
  <c r="E1079" i="1"/>
  <c r="D1079" i="1"/>
  <c r="C1079" i="1"/>
  <c r="I1078" i="1"/>
  <c r="H1078" i="1"/>
  <c r="G1078" i="1"/>
  <c r="F1078" i="1"/>
  <c r="E1078" i="1"/>
  <c r="D1078" i="1"/>
  <c r="C1078" i="1"/>
  <c r="I1077" i="1"/>
  <c r="H1077" i="1"/>
  <c r="G1077" i="1"/>
  <c r="F1077" i="1"/>
  <c r="E1077" i="1"/>
  <c r="D1077" i="1"/>
  <c r="C1077" i="1"/>
  <c r="I1076" i="1"/>
  <c r="H1076" i="1"/>
  <c r="G1076" i="1"/>
  <c r="F1076" i="1"/>
  <c r="E1076" i="1"/>
  <c r="D1076" i="1"/>
  <c r="C1076" i="1"/>
  <c r="I1075" i="1"/>
  <c r="H1075" i="1"/>
  <c r="G1075" i="1"/>
  <c r="F1075" i="1"/>
  <c r="E1075" i="1"/>
  <c r="D1075" i="1"/>
  <c r="C1075" i="1"/>
  <c r="I1074" i="1"/>
  <c r="H1074" i="1"/>
  <c r="G1074" i="1"/>
  <c r="F1074" i="1"/>
  <c r="E1074" i="1"/>
  <c r="D1074" i="1"/>
  <c r="C1074" i="1"/>
  <c r="I1073" i="1"/>
  <c r="H1073" i="1"/>
  <c r="G1073" i="1"/>
  <c r="F1073" i="1"/>
  <c r="E1073" i="1"/>
  <c r="D1073" i="1"/>
  <c r="C1073" i="1"/>
  <c r="I1072" i="1"/>
  <c r="H1072" i="1"/>
  <c r="G1072" i="1"/>
  <c r="F1072" i="1"/>
  <c r="E1072" i="1"/>
  <c r="D1072" i="1"/>
  <c r="C1072" i="1"/>
  <c r="I1071" i="1"/>
  <c r="H1071" i="1"/>
  <c r="G1071" i="1"/>
  <c r="F1071" i="1"/>
  <c r="E1071" i="1"/>
  <c r="D1071" i="1"/>
  <c r="C1071" i="1"/>
  <c r="I1070" i="1"/>
  <c r="H1070" i="1"/>
  <c r="G1070" i="1"/>
  <c r="F1070" i="1"/>
  <c r="E1070" i="1"/>
  <c r="D1070" i="1"/>
  <c r="C1070" i="1"/>
  <c r="I1069" i="1"/>
  <c r="H1069" i="1"/>
  <c r="G1069" i="1"/>
  <c r="F1069" i="1"/>
  <c r="E1069" i="1"/>
  <c r="D1069" i="1"/>
  <c r="C1069" i="1"/>
  <c r="I1068" i="1"/>
  <c r="H1068" i="1"/>
  <c r="G1068" i="1"/>
  <c r="F1068" i="1"/>
  <c r="E1068" i="1"/>
  <c r="D1068" i="1"/>
  <c r="C1068" i="1"/>
  <c r="I1067" i="1"/>
  <c r="H1067" i="1"/>
  <c r="G1067" i="1"/>
  <c r="F1067" i="1"/>
  <c r="E1067" i="1"/>
  <c r="D1067" i="1"/>
  <c r="C1067" i="1"/>
  <c r="I1066" i="1"/>
  <c r="H1066" i="1"/>
  <c r="G1066" i="1"/>
  <c r="F1066" i="1"/>
  <c r="E1066" i="1"/>
  <c r="D1066" i="1"/>
  <c r="C1066" i="1"/>
  <c r="I1065" i="1"/>
  <c r="H1065" i="1"/>
  <c r="G1065" i="1"/>
  <c r="F1065" i="1"/>
  <c r="E1065" i="1"/>
  <c r="D1065" i="1"/>
  <c r="C1065" i="1"/>
  <c r="I1064" i="1"/>
  <c r="H1064" i="1"/>
  <c r="G1064" i="1"/>
  <c r="F1064" i="1"/>
  <c r="E1064" i="1"/>
  <c r="D1064" i="1"/>
  <c r="C1064" i="1"/>
  <c r="I1063" i="1"/>
  <c r="H1063" i="1"/>
  <c r="G1063" i="1"/>
  <c r="F1063" i="1"/>
  <c r="E1063" i="1"/>
  <c r="D1063" i="1"/>
  <c r="C1063" i="1"/>
  <c r="I1062" i="1"/>
  <c r="H1062" i="1"/>
  <c r="G1062" i="1"/>
  <c r="F1062" i="1"/>
  <c r="E1062" i="1"/>
  <c r="D1062" i="1"/>
  <c r="C1062" i="1"/>
  <c r="I1061" i="1"/>
  <c r="H1061" i="1"/>
  <c r="G1061" i="1"/>
  <c r="F1061" i="1"/>
  <c r="E1061" i="1"/>
  <c r="D1061" i="1"/>
  <c r="C1061" i="1"/>
  <c r="I1060" i="1"/>
  <c r="H1060" i="1"/>
  <c r="G1060" i="1"/>
  <c r="F1060" i="1"/>
  <c r="E1060" i="1"/>
  <c r="D1060" i="1"/>
  <c r="C1060" i="1"/>
  <c r="I1059" i="1"/>
  <c r="H1059" i="1"/>
  <c r="G1059" i="1"/>
  <c r="F1059" i="1"/>
  <c r="E1059" i="1"/>
  <c r="D1059" i="1"/>
  <c r="C1059" i="1"/>
  <c r="I1058" i="1"/>
  <c r="H1058" i="1"/>
  <c r="G1058" i="1"/>
  <c r="F1058" i="1"/>
  <c r="E1058" i="1"/>
  <c r="D1058" i="1"/>
  <c r="C1058" i="1"/>
  <c r="I1057" i="1"/>
  <c r="H1057" i="1"/>
  <c r="G1057" i="1"/>
  <c r="F1057" i="1"/>
  <c r="E1057" i="1"/>
  <c r="D1057" i="1"/>
  <c r="C1057" i="1"/>
  <c r="I1056" i="1"/>
  <c r="H1056" i="1"/>
  <c r="G1056" i="1"/>
  <c r="F1056" i="1"/>
  <c r="E1056" i="1"/>
  <c r="D1056" i="1"/>
  <c r="C1056" i="1"/>
  <c r="I1055" i="1"/>
  <c r="H1055" i="1"/>
  <c r="G1055" i="1"/>
  <c r="F1055" i="1"/>
  <c r="E1055" i="1"/>
  <c r="D1055" i="1"/>
  <c r="C1055" i="1"/>
  <c r="I1054" i="1"/>
  <c r="H1054" i="1"/>
  <c r="G1054" i="1"/>
  <c r="F1054" i="1"/>
  <c r="E1054" i="1"/>
  <c r="D1054" i="1"/>
  <c r="C1054" i="1"/>
  <c r="I1053" i="1"/>
  <c r="H1053" i="1"/>
  <c r="G1053" i="1"/>
  <c r="F1053" i="1"/>
  <c r="E1053" i="1"/>
  <c r="D1053" i="1"/>
  <c r="C1053" i="1"/>
  <c r="I1052" i="1"/>
  <c r="H1052" i="1"/>
  <c r="G1052" i="1"/>
  <c r="F1052" i="1"/>
  <c r="E1052" i="1"/>
  <c r="D1052" i="1"/>
  <c r="C1052" i="1"/>
  <c r="I1051" i="1"/>
  <c r="H1051" i="1"/>
  <c r="G1051" i="1"/>
  <c r="F1051" i="1"/>
  <c r="E1051" i="1"/>
  <c r="D1051" i="1"/>
  <c r="C1051" i="1"/>
  <c r="I1050" i="1"/>
  <c r="H1050" i="1"/>
  <c r="G1050" i="1"/>
  <c r="F1050" i="1"/>
  <c r="E1050" i="1"/>
  <c r="D1050" i="1"/>
  <c r="C1050" i="1"/>
  <c r="I1049" i="1"/>
  <c r="H1049" i="1"/>
  <c r="G1049" i="1"/>
  <c r="F1049" i="1"/>
  <c r="E1049" i="1"/>
  <c r="D1049" i="1"/>
  <c r="C1049" i="1"/>
  <c r="I1048" i="1"/>
  <c r="H1048" i="1"/>
  <c r="G1048" i="1"/>
  <c r="F1048" i="1"/>
  <c r="E1048" i="1"/>
  <c r="D1048" i="1"/>
  <c r="C1048" i="1"/>
  <c r="I1047" i="1"/>
  <c r="H1047" i="1"/>
  <c r="G1047" i="1"/>
  <c r="F1047" i="1"/>
  <c r="E1047" i="1"/>
  <c r="D1047" i="1"/>
  <c r="C1047" i="1"/>
  <c r="I1046" i="1"/>
  <c r="H1046" i="1"/>
  <c r="G1046" i="1"/>
  <c r="F1046" i="1"/>
  <c r="E1046" i="1"/>
  <c r="D1046" i="1"/>
  <c r="C1046" i="1"/>
  <c r="I1045" i="1"/>
  <c r="H1045" i="1"/>
  <c r="G1045" i="1"/>
  <c r="F1045" i="1"/>
  <c r="E1045" i="1"/>
  <c r="D1045" i="1"/>
  <c r="C1045" i="1"/>
  <c r="I1044" i="1"/>
  <c r="H1044" i="1"/>
  <c r="G1044" i="1"/>
  <c r="F1044" i="1"/>
  <c r="E1044" i="1"/>
  <c r="D1044" i="1"/>
  <c r="C1044" i="1"/>
  <c r="I1043" i="1"/>
  <c r="H1043" i="1"/>
  <c r="G1043" i="1"/>
  <c r="F1043" i="1"/>
  <c r="E1043" i="1"/>
  <c r="D1043" i="1"/>
  <c r="C1043" i="1"/>
  <c r="I1042" i="1"/>
  <c r="H1042" i="1"/>
  <c r="G1042" i="1"/>
  <c r="F1042" i="1"/>
  <c r="E1042" i="1"/>
  <c r="D1042" i="1"/>
  <c r="C1042" i="1"/>
  <c r="I1041" i="1"/>
  <c r="H1041" i="1"/>
  <c r="G1041" i="1"/>
  <c r="F1041" i="1"/>
  <c r="E1041" i="1"/>
  <c r="D1041" i="1"/>
  <c r="C1041" i="1"/>
  <c r="I1040" i="1"/>
  <c r="H1040" i="1"/>
  <c r="G1040" i="1"/>
  <c r="F1040" i="1"/>
  <c r="E1040" i="1"/>
  <c r="D1040" i="1"/>
  <c r="C1040" i="1"/>
  <c r="I1039" i="1"/>
  <c r="H1039" i="1"/>
  <c r="G1039" i="1"/>
  <c r="F1039" i="1"/>
  <c r="E1039" i="1"/>
  <c r="D1039" i="1"/>
  <c r="C1039" i="1"/>
  <c r="I1038" i="1"/>
  <c r="H1038" i="1"/>
  <c r="G1038" i="1"/>
  <c r="F1038" i="1"/>
  <c r="E1038" i="1"/>
  <c r="D1038" i="1"/>
  <c r="C1038" i="1"/>
  <c r="I1037" i="1"/>
  <c r="H1037" i="1"/>
  <c r="G1037" i="1"/>
  <c r="F1037" i="1"/>
  <c r="E1037" i="1"/>
  <c r="D1037" i="1"/>
  <c r="C1037" i="1"/>
  <c r="I1036" i="1"/>
  <c r="H1036" i="1"/>
  <c r="G1036" i="1"/>
  <c r="F1036" i="1"/>
  <c r="E1036" i="1"/>
  <c r="D1036" i="1"/>
  <c r="C1036" i="1"/>
  <c r="I1035" i="1"/>
  <c r="H1035" i="1"/>
  <c r="G1035" i="1"/>
  <c r="F1035" i="1"/>
  <c r="E1035" i="1"/>
  <c r="D1035" i="1"/>
  <c r="C1035" i="1"/>
  <c r="I1034" i="1"/>
  <c r="H1034" i="1"/>
  <c r="G1034" i="1"/>
  <c r="F1034" i="1"/>
  <c r="E1034" i="1"/>
  <c r="D1034" i="1"/>
  <c r="C1034" i="1"/>
  <c r="I1033" i="1"/>
  <c r="H1033" i="1"/>
  <c r="G1033" i="1"/>
  <c r="F1033" i="1"/>
  <c r="E1033" i="1"/>
  <c r="D1033" i="1"/>
  <c r="C1033" i="1"/>
  <c r="I1032" i="1"/>
  <c r="H1032" i="1"/>
  <c r="G1032" i="1"/>
  <c r="F1032" i="1"/>
  <c r="E1032" i="1"/>
  <c r="D1032" i="1"/>
  <c r="C1032" i="1"/>
  <c r="I1031" i="1"/>
  <c r="H1031" i="1"/>
  <c r="G1031" i="1"/>
  <c r="F1031" i="1"/>
  <c r="E1031" i="1"/>
  <c r="D1031" i="1"/>
  <c r="C1031" i="1"/>
  <c r="I1030" i="1"/>
  <c r="H1030" i="1"/>
  <c r="G1030" i="1"/>
  <c r="F1030" i="1"/>
  <c r="E1030" i="1"/>
  <c r="D1030" i="1"/>
  <c r="C1030" i="1"/>
  <c r="I1029" i="1"/>
  <c r="H1029" i="1"/>
  <c r="G1029" i="1"/>
  <c r="F1029" i="1"/>
  <c r="E1029" i="1"/>
  <c r="D1029" i="1"/>
  <c r="C1029" i="1"/>
  <c r="I1028" i="1"/>
  <c r="H1028" i="1"/>
  <c r="G1028" i="1"/>
  <c r="F1028" i="1"/>
  <c r="E1028" i="1"/>
  <c r="D1028" i="1"/>
  <c r="C1028" i="1"/>
  <c r="I1027" i="1"/>
  <c r="H1027" i="1"/>
  <c r="G1027" i="1"/>
  <c r="F1027" i="1"/>
  <c r="E1027" i="1"/>
  <c r="D1027" i="1"/>
  <c r="C1027" i="1"/>
  <c r="I1026" i="1"/>
  <c r="H1026" i="1"/>
  <c r="G1026" i="1"/>
  <c r="F1026" i="1"/>
  <c r="E1026" i="1"/>
  <c r="D1026" i="1"/>
  <c r="C1026" i="1"/>
  <c r="I1025" i="1"/>
  <c r="H1025" i="1"/>
  <c r="G1025" i="1"/>
  <c r="F1025" i="1"/>
  <c r="E1025" i="1"/>
  <c r="D1025" i="1"/>
  <c r="C1025" i="1"/>
  <c r="I1024" i="1"/>
  <c r="H1024" i="1"/>
  <c r="G1024" i="1"/>
  <c r="F1024" i="1"/>
  <c r="E1024" i="1"/>
  <c r="D1024" i="1"/>
  <c r="C1024" i="1"/>
  <c r="I1023" i="1"/>
  <c r="H1023" i="1"/>
  <c r="G1023" i="1"/>
  <c r="F1023" i="1"/>
  <c r="E1023" i="1"/>
  <c r="D1023" i="1"/>
  <c r="C1023" i="1"/>
  <c r="I1022" i="1"/>
  <c r="H1022" i="1"/>
  <c r="G1022" i="1"/>
  <c r="F1022" i="1"/>
  <c r="E1022" i="1"/>
  <c r="D1022" i="1"/>
  <c r="C1022" i="1"/>
  <c r="I1021" i="1"/>
  <c r="H1021" i="1"/>
  <c r="G1021" i="1"/>
  <c r="F1021" i="1"/>
  <c r="E1021" i="1"/>
  <c r="D1021" i="1"/>
  <c r="C1021" i="1"/>
  <c r="I1020" i="1"/>
  <c r="H1020" i="1"/>
  <c r="G1020" i="1"/>
  <c r="F1020" i="1"/>
  <c r="E1020" i="1"/>
  <c r="D1020" i="1"/>
  <c r="C1020" i="1"/>
  <c r="I1019" i="1"/>
  <c r="H1019" i="1"/>
  <c r="G1019" i="1"/>
  <c r="F1019" i="1"/>
  <c r="E1019" i="1"/>
  <c r="D1019" i="1"/>
  <c r="C1019" i="1"/>
  <c r="I1018" i="1"/>
  <c r="H1018" i="1"/>
  <c r="G1018" i="1"/>
  <c r="F1018" i="1"/>
  <c r="E1018" i="1"/>
  <c r="D1018" i="1"/>
  <c r="C1018" i="1"/>
  <c r="I1017" i="1"/>
  <c r="H1017" i="1"/>
  <c r="G1017" i="1"/>
  <c r="F1017" i="1"/>
  <c r="E1017" i="1"/>
  <c r="D1017" i="1"/>
  <c r="C1017" i="1"/>
  <c r="I1016" i="1"/>
  <c r="H1016" i="1"/>
  <c r="G1016" i="1"/>
  <c r="F1016" i="1"/>
  <c r="E1016" i="1"/>
  <c r="D1016" i="1"/>
  <c r="C1016" i="1"/>
  <c r="I1015" i="1"/>
  <c r="H1015" i="1"/>
  <c r="G1015" i="1"/>
  <c r="F1015" i="1"/>
  <c r="E1015" i="1"/>
  <c r="D1015" i="1"/>
  <c r="C1015" i="1"/>
  <c r="I1014" i="1"/>
  <c r="H1014" i="1"/>
  <c r="G1014" i="1"/>
  <c r="F1014" i="1"/>
  <c r="E1014" i="1"/>
  <c r="D1014" i="1"/>
  <c r="C1014" i="1"/>
  <c r="I1013" i="1"/>
  <c r="H1013" i="1"/>
  <c r="G1013" i="1"/>
  <c r="F1013" i="1"/>
  <c r="E1013" i="1"/>
  <c r="D1013" i="1"/>
  <c r="C1013" i="1"/>
  <c r="I1012" i="1"/>
  <c r="H1012" i="1"/>
  <c r="G1012" i="1"/>
  <c r="F1012" i="1"/>
  <c r="E1012" i="1"/>
  <c r="D1012" i="1"/>
  <c r="C1012" i="1"/>
  <c r="I1011" i="1"/>
  <c r="H1011" i="1"/>
  <c r="G1011" i="1"/>
  <c r="F1011" i="1"/>
  <c r="E1011" i="1"/>
  <c r="D1011" i="1"/>
  <c r="C1011" i="1"/>
  <c r="I1010" i="1"/>
  <c r="H1010" i="1"/>
  <c r="G1010" i="1"/>
  <c r="F1010" i="1"/>
  <c r="E1010" i="1"/>
  <c r="D1010" i="1"/>
  <c r="C1010" i="1"/>
  <c r="I1009" i="1"/>
  <c r="H1009" i="1"/>
  <c r="G1009" i="1"/>
  <c r="F1009" i="1"/>
  <c r="E1009" i="1"/>
  <c r="D1009" i="1"/>
  <c r="C1009" i="1"/>
  <c r="I1008" i="1"/>
  <c r="H1008" i="1"/>
  <c r="G1008" i="1"/>
  <c r="F1008" i="1"/>
  <c r="E1008" i="1"/>
  <c r="D1008" i="1"/>
  <c r="C1008" i="1"/>
  <c r="I1007" i="1"/>
  <c r="H1007" i="1"/>
  <c r="G1007" i="1"/>
  <c r="F1007" i="1"/>
  <c r="E1007" i="1"/>
  <c r="D1007" i="1"/>
  <c r="C1007" i="1"/>
  <c r="I1006" i="1"/>
  <c r="H1006" i="1"/>
  <c r="G1006" i="1"/>
  <c r="F1006" i="1"/>
  <c r="E1006" i="1"/>
  <c r="D1006" i="1"/>
  <c r="C1006" i="1"/>
  <c r="I1005" i="1"/>
  <c r="H1005" i="1"/>
  <c r="G1005" i="1"/>
  <c r="F1005" i="1"/>
  <c r="E1005" i="1"/>
  <c r="D1005" i="1"/>
  <c r="C1005" i="1"/>
  <c r="I1004" i="1"/>
  <c r="H1004" i="1"/>
  <c r="G1004" i="1"/>
  <c r="F1004" i="1"/>
  <c r="E1004" i="1"/>
  <c r="D1004" i="1"/>
  <c r="C1004" i="1"/>
  <c r="I1003" i="1"/>
  <c r="H1003" i="1"/>
  <c r="G1003" i="1"/>
  <c r="F1003" i="1"/>
  <c r="E1003" i="1"/>
  <c r="D1003" i="1"/>
  <c r="C1003" i="1"/>
  <c r="I1002" i="1"/>
  <c r="H1002" i="1"/>
  <c r="G1002" i="1"/>
  <c r="F1002" i="1"/>
  <c r="E1002" i="1"/>
  <c r="D1002" i="1"/>
  <c r="C1002" i="1"/>
  <c r="I1001" i="1"/>
  <c r="H1001" i="1"/>
  <c r="G1001" i="1"/>
  <c r="F1001" i="1"/>
  <c r="E1001" i="1"/>
  <c r="D1001" i="1"/>
  <c r="C1001" i="1"/>
  <c r="I1000" i="1"/>
  <c r="H1000" i="1"/>
  <c r="G1000" i="1"/>
  <c r="F1000" i="1"/>
  <c r="E1000" i="1"/>
  <c r="D1000" i="1"/>
  <c r="C1000" i="1"/>
  <c r="I999" i="1"/>
  <c r="H999" i="1"/>
  <c r="G999" i="1"/>
  <c r="F999" i="1"/>
  <c r="E999" i="1"/>
  <c r="D999" i="1"/>
  <c r="C999" i="1"/>
  <c r="I998" i="1"/>
  <c r="H998" i="1"/>
  <c r="G998" i="1"/>
  <c r="F998" i="1"/>
  <c r="E998" i="1"/>
  <c r="D998" i="1"/>
  <c r="C998" i="1"/>
  <c r="I997" i="1"/>
  <c r="H997" i="1"/>
  <c r="G997" i="1"/>
  <c r="F997" i="1"/>
  <c r="E997" i="1"/>
  <c r="D997" i="1"/>
  <c r="C997" i="1"/>
  <c r="I996" i="1"/>
  <c r="H996" i="1"/>
  <c r="G996" i="1"/>
  <c r="F996" i="1"/>
  <c r="E996" i="1"/>
  <c r="D996" i="1"/>
  <c r="C996" i="1"/>
  <c r="I995" i="1"/>
  <c r="H995" i="1"/>
  <c r="G995" i="1"/>
  <c r="F995" i="1"/>
  <c r="E995" i="1"/>
  <c r="D995" i="1"/>
  <c r="C995" i="1"/>
  <c r="I994" i="1"/>
  <c r="H994" i="1"/>
  <c r="G994" i="1"/>
  <c r="F994" i="1"/>
  <c r="E994" i="1"/>
  <c r="D994" i="1"/>
  <c r="C994" i="1"/>
  <c r="I993" i="1"/>
  <c r="H993" i="1"/>
  <c r="G993" i="1"/>
  <c r="F993" i="1"/>
  <c r="E993" i="1"/>
  <c r="D993" i="1"/>
  <c r="C993" i="1"/>
  <c r="I992" i="1"/>
  <c r="H992" i="1"/>
  <c r="G992" i="1"/>
  <c r="F992" i="1"/>
  <c r="E992" i="1"/>
  <c r="D992" i="1"/>
  <c r="C992" i="1"/>
  <c r="I991" i="1"/>
  <c r="H991" i="1"/>
  <c r="G991" i="1"/>
  <c r="F991" i="1"/>
  <c r="E991" i="1"/>
  <c r="D991" i="1"/>
  <c r="C991" i="1"/>
  <c r="I990" i="1"/>
  <c r="H990" i="1"/>
  <c r="G990" i="1"/>
  <c r="F990" i="1"/>
  <c r="E990" i="1"/>
  <c r="D990" i="1"/>
  <c r="C990" i="1"/>
  <c r="I989" i="1"/>
  <c r="H989" i="1"/>
  <c r="G989" i="1"/>
  <c r="F989" i="1"/>
  <c r="E989" i="1"/>
  <c r="D989" i="1"/>
  <c r="C989" i="1"/>
  <c r="I988" i="1"/>
  <c r="H988" i="1"/>
  <c r="G988" i="1"/>
  <c r="F988" i="1"/>
  <c r="E988" i="1"/>
  <c r="D988" i="1"/>
  <c r="C988" i="1"/>
  <c r="I987" i="1"/>
  <c r="H987" i="1"/>
  <c r="G987" i="1"/>
  <c r="F987" i="1"/>
  <c r="E987" i="1"/>
  <c r="D987" i="1"/>
  <c r="C987" i="1"/>
  <c r="I986" i="1"/>
  <c r="H986" i="1"/>
  <c r="G986" i="1"/>
  <c r="F986" i="1"/>
  <c r="E986" i="1"/>
  <c r="D986" i="1"/>
  <c r="C986" i="1"/>
  <c r="I985" i="1"/>
  <c r="H985" i="1"/>
  <c r="G985" i="1"/>
  <c r="F985" i="1"/>
  <c r="E985" i="1"/>
  <c r="D985" i="1"/>
  <c r="C985" i="1"/>
  <c r="I984" i="1"/>
  <c r="H984" i="1"/>
  <c r="G984" i="1"/>
  <c r="F984" i="1"/>
  <c r="E984" i="1"/>
  <c r="D984" i="1"/>
  <c r="C984" i="1"/>
  <c r="I983" i="1"/>
  <c r="H983" i="1"/>
  <c r="G983" i="1"/>
  <c r="F983" i="1"/>
  <c r="E983" i="1"/>
  <c r="D983" i="1"/>
  <c r="C983" i="1"/>
  <c r="I982" i="1"/>
  <c r="H982" i="1"/>
  <c r="G982" i="1"/>
  <c r="F982" i="1"/>
  <c r="E982" i="1"/>
  <c r="D982" i="1"/>
  <c r="C982" i="1"/>
  <c r="I981" i="1"/>
  <c r="H981" i="1"/>
  <c r="G981" i="1"/>
  <c r="F981" i="1"/>
  <c r="E981" i="1"/>
  <c r="D981" i="1"/>
  <c r="C981" i="1"/>
  <c r="I980" i="1"/>
  <c r="H980" i="1"/>
  <c r="G980" i="1"/>
  <c r="F980" i="1"/>
  <c r="E980" i="1"/>
  <c r="D980" i="1"/>
  <c r="C980" i="1"/>
  <c r="I979" i="1"/>
  <c r="H979" i="1"/>
  <c r="G979" i="1"/>
  <c r="F979" i="1"/>
  <c r="E979" i="1"/>
  <c r="D979" i="1"/>
  <c r="C979" i="1"/>
  <c r="I978" i="1"/>
  <c r="H978" i="1"/>
  <c r="G978" i="1"/>
  <c r="F978" i="1"/>
  <c r="E978" i="1"/>
  <c r="D978" i="1"/>
  <c r="C978" i="1"/>
  <c r="I977" i="1"/>
  <c r="H977" i="1"/>
  <c r="G977" i="1"/>
  <c r="F977" i="1"/>
  <c r="E977" i="1"/>
  <c r="D977" i="1"/>
  <c r="C977" i="1"/>
  <c r="I976" i="1"/>
  <c r="H976" i="1"/>
  <c r="G976" i="1"/>
  <c r="F976" i="1"/>
  <c r="E976" i="1"/>
  <c r="D976" i="1"/>
  <c r="C976" i="1"/>
  <c r="I975" i="1"/>
  <c r="H975" i="1"/>
  <c r="G975" i="1"/>
  <c r="F975" i="1"/>
  <c r="E975" i="1"/>
  <c r="D975" i="1"/>
  <c r="C975" i="1"/>
  <c r="I974" i="1"/>
  <c r="H974" i="1"/>
  <c r="G974" i="1"/>
  <c r="F974" i="1"/>
  <c r="E974" i="1"/>
  <c r="D974" i="1"/>
  <c r="C974" i="1"/>
  <c r="I973" i="1"/>
  <c r="H973" i="1"/>
  <c r="G973" i="1"/>
  <c r="F973" i="1"/>
  <c r="E973" i="1"/>
  <c r="D973" i="1"/>
  <c r="C973" i="1"/>
  <c r="I972" i="1"/>
  <c r="H972" i="1"/>
  <c r="G972" i="1"/>
  <c r="F972" i="1"/>
  <c r="E972" i="1"/>
  <c r="D972" i="1"/>
  <c r="C972" i="1"/>
  <c r="I971" i="1"/>
  <c r="H971" i="1"/>
  <c r="G971" i="1"/>
  <c r="F971" i="1"/>
  <c r="E971" i="1"/>
  <c r="D971" i="1"/>
  <c r="C971" i="1"/>
  <c r="I970" i="1"/>
  <c r="H970" i="1"/>
  <c r="G970" i="1"/>
  <c r="F970" i="1"/>
  <c r="E970" i="1"/>
  <c r="D970" i="1"/>
  <c r="C970" i="1"/>
  <c r="I969" i="1"/>
  <c r="H969" i="1"/>
  <c r="G969" i="1"/>
  <c r="F969" i="1"/>
  <c r="E969" i="1"/>
  <c r="D969" i="1"/>
  <c r="C969" i="1"/>
  <c r="I968" i="1"/>
  <c r="H968" i="1"/>
  <c r="G968" i="1"/>
  <c r="F968" i="1"/>
  <c r="E968" i="1"/>
  <c r="D968" i="1"/>
  <c r="C968" i="1"/>
  <c r="I967" i="1"/>
  <c r="H967" i="1"/>
  <c r="G967" i="1"/>
  <c r="F967" i="1"/>
  <c r="E967" i="1"/>
  <c r="D967" i="1"/>
  <c r="C967" i="1"/>
  <c r="I966" i="1"/>
  <c r="H966" i="1"/>
  <c r="G966" i="1"/>
  <c r="F966" i="1"/>
  <c r="E966" i="1"/>
  <c r="D966" i="1"/>
  <c r="C966" i="1"/>
  <c r="I965" i="1"/>
  <c r="H965" i="1"/>
  <c r="G965" i="1"/>
  <c r="F965" i="1"/>
  <c r="E965" i="1"/>
  <c r="D965" i="1"/>
  <c r="C965" i="1"/>
  <c r="I964" i="1"/>
  <c r="H964" i="1"/>
  <c r="G964" i="1"/>
  <c r="F964" i="1"/>
  <c r="E964" i="1"/>
  <c r="D964" i="1"/>
  <c r="C964" i="1"/>
  <c r="I963" i="1"/>
  <c r="H963" i="1"/>
  <c r="G963" i="1"/>
  <c r="F963" i="1"/>
  <c r="E963" i="1"/>
  <c r="D963" i="1"/>
  <c r="C963" i="1"/>
  <c r="I962" i="1"/>
  <c r="H962" i="1"/>
  <c r="G962" i="1"/>
  <c r="F962" i="1"/>
  <c r="E962" i="1"/>
  <c r="D962" i="1"/>
  <c r="C962" i="1"/>
  <c r="I961" i="1"/>
  <c r="H961" i="1"/>
  <c r="G961" i="1"/>
  <c r="F961" i="1"/>
  <c r="E961" i="1"/>
  <c r="D961" i="1"/>
  <c r="C961" i="1"/>
  <c r="I960" i="1"/>
  <c r="H960" i="1"/>
  <c r="G960" i="1"/>
  <c r="F960" i="1"/>
  <c r="E960" i="1"/>
  <c r="D960" i="1"/>
  <c r="C960" i="1"/>
  <c r="I959" i="1"/>
  <c r="H959" i="1"/>
  <c r="G959" i="1"/>
  <c r="F959" i="1"/>
  <c r="E959" i="1"/>
  <c r="D959" i="1"/>
  <c r="C959" i="1"/>
  <c r="I958" i="1"/>
  <c r="H958" i="1"/>
  <c r="G958" i="1"/>
  <c r="F958" i="1"/>
  <c r="E958" i="1"/>
  <c r="D958" i="1"/>
  <c r="C958" i="1"/>
  <c r="I957" i="1"/>
  <c r="H957" i="1"/>
  <c r="G957" i="1"/>
  <c r="F957" i="1"/>
  <c r="E957" i="1"/>
  <c r="D957" i="1"/>
  <c r="C957" i="1"/>
  <c r="I956" i="1"/>
  <c r="H956" i="1"/>
  <c r="G956" i="1"/>
  <c r="F956" i="1"/>
  <c r="E956" i="1"/>
  <c r="D956" i="1"/>
  <c r="C956" i="1"/>
  <c r="I955" i="1"/>
  <c r="H955" i="1"/>
  <c r="G955" i="1"/>
  <c r="F955" i="1"/>
  <c r="E955" i="1"/>
  <c r="D955" i="1"/>
  <c r="C955" i="1"/>
  <c r="I954" i="1"/>
  <c r="H954" i="1"/>
  <c r="G954" i="1"/>
  <c r="F954" i="1"/>
  <c r="E954" i="1"/>
  <c r="D954" i="1"/>
  <c r="C954" i="1"/>
  <c r="I953" i="1"/>
  <c r="H953" i="1"/>
  <c r="G953" i="1"/>
  <c r="F953" i="1"/>
  <c r="E953" i="1"/>
  <c r="D953" i="1"/>
  <c r="C953" i="1"/>
  <c r="I952" i="1"/>
  <c r="H952" i="1"/>
  <c r="G952" i="1"/>
  <c r="F952" i="1"/>
  <c r="E952" i="1"/>
  <c r="D952" i="1"/>
  <c r="C952" i="1"/>
  <c r="I951" i="1"/>
  <c r="H951" i="1"/>
  <c r="G951" i="1"/>
  <c r="F951" i="1"/>
  <c r="E951" i="1"/>
  <c r="D951" i="1"/>
  <c r="C951" i="1"/>
  <c r="I950" i="1"/>
  <c r="H950" i="1"/>
  <c r="G950" i="1"/>
  <c r="F950" i="1"/>
  <c r="E950" i="1"/>
  <c r="D950" i="1"/>
  <c r="C950" i="1"/>
  <c r="I949" i="1"/>
  <c r="H949" i="1"/>
  <c r="G949" i="1"/>
  <c r="F949" i="1"/>
  <c r="E949" i="1"/>
  <c r="D949" i="1"/>
  <c r="C949" i="1"/>
  <c r="I948" i="1"/>
  <c r="H948" i="1"/>
  <c r="G948" i="1"/>
  <c r="F948" i="1"/>
  <c r="E948" i="1"/>
  <c r="D948" i="1"/>
  <c r="C948" i="1"/>
  <c r="I947" i="1"/>
  <c r="H947" i="1"/>
  <c r="G947" i="1"/>
  <c r="F947" i="1"/>
  <c r="E947" i="1"/>
  <c r="D947" i="1"/>
  <c r="C947" i="1"/>
  <c r="I946" i="1"/>
  <c r="H946" i="1"/>
  <c r="G946" i="1"/>
  <c r="F946" i="1"/>
  <c r="E946" i="1"/>
  <c r="D946" i="1"/>
  <c r="C946" i="1"/>
  <c r="I945" i="1"/>
  <c r="H945" i="1"/>
  <c r="G945" i="1"/>
  <c r="F945" i="1"/>
  <c r="E945" i="1"/>
  <c r="D945" i="1"/>
  <c r="C945" i="1"/>
  <c r="I944" i="1"/>
  <c r="H944" i="1"/>
  <c r="G944" i="1"/>
  <c r="F944" i="1"/>
  <c r="E944" i="1"/>
  <c r="D944" i="1"/>
  <c r="C944" i="1"/>
  <c r="I943" i="1"/>
  <c r="H943" i="1"/>
  <c r="G943" i="1"/>
  <c r="F943" i="1"/>
  <c r="E943" i="1"/>
  <c r="D943" i="1"/>
  <c r="C943" i="1"/>
  <c r="I942" i="1"/>
  <c r="H942" i="1"/>
  <c r="G942" i="1"/>
  <c r="F942" i="1"/>
  <c r="E942" i="1"/>
  <c r="D942" i="1"/>
  <c r="C942" i="1"/>
  <c r="I941" i="1"/>
  <c r="H941" i="1"/>
  <c r="G941" i="1"/>
  <c r="F941" i="1"/>
  <c r="E941" i="1"/>
  <c r="D941" i="1"/>
  <c r="C941" i="1"/>
  <c r="I940" i="1"/>
  <c r="H940" i="1"/>
  <c r="G940" i="1"/>
  <c r="F940" i="1"/>
  <c r="E940" i="1"/>
  <c r="D940" i="1"/>
  <c r="C940" i="1"/>
  <c r="I939" i="1"/>
  <c r="H939" i="1"/>
  <c r="G939" i="1"/>
  <c r="F939" i="1"/>
  <c r="E939" i="1"/>
  <c r="D939" i="1"/>
  <c r="C939" i="1"/>
  <c r="I938" i="1"/>
  <c r="H938" i="1"/>
  <c r="G938" i="1"/>
  <c r="F938" i="1"/>
  <c r="E938" i="1"/>
  <c r="D938" i="1"/>
  <c r="C938" i="1"/>
  <c r="I937" i="1"/>
  <c r="H937" i="1"/>
  <c r="G937" i="1"/>
  <c r="F937" i="1"/>
  <c r="E937" i="1"/>
  <c r="D937" i="1"/>
  <c r="C937" i="1"/>
  <c r="I936" i="1"/>
  <c r="H936" i="1"/>
  <c r="G936" i="1"/>
  <c r="F936" i="1"/>
  <c r="E936" i="1"/>
  <c r="D936" i="1"/>
  <c r="C936" i="1"/>
  <c r="I935" i="1"/>
  <c r="H935" i="1"/>
  <c r="G935" i="1"/>
  <c r="F935" i="1"/>
  <c r="E935" i="1"/>
  <c r="D935" i="1"/>
  <c r="C935" i="1"/>
  <c r="I934" i="1"/>
  <c r="H934" i="1"/>
  <c r="G934" i="1"/>
  <c r="F934" i="1"/>
  <c r="E934" i="1"/>
  <c r="D934" i="1"/>
  <c r="C934" i="1"/>
  <c r="I933" i="1"/>
  <c r="H933" i="1"/>
  <c r="G933" i="1"/>
  <c r="F933" i="1"/>
  <c r="E933" i="1"/>
  <c r="D933" i="1"/>
  <c r="C933" i="1"/>
  <c r="I932" i="1"/>
  <c r="H932" i="1"/>
  <c r="G932" i="1"/>
  <c r="F932" i="1"/>
  <c r="E932" i="1"/>
  <c r="D932" i="1"/>
  <c r="C932" i="1"/>
  <c r="I931" i="1"/>
  <c r="H931" i="1"/>
  <c r="G931" i="1"/>
  <c r="F931" i="1"/>
  <c r="E931" i="1"/>
  <c r="D931" i="1"/>
  <c r="C931" i="1"/>
  <c r="I930" i="1"/>
  <c r="H930" i="1"/>
  <c r="G930" i="1"/>
  <c r="F930" i="1"/>
  <c r="E930" i="1"/>
  <c r="D930" i="1"/>
  <c r="C930" i="1"/>
  <c r="I929" i="1"/>
  <c r="H929" i="1"/>
  <c r="G929" i="1"/>
  <c r="F929" i="1"/>
  <c r="E929" i="1"/>
  <c r="D929" i="1"/>
  <c r="C929" i="1"/>
  <c r="I928" i="1"/>
  <c r="H928" i="1"/>
  <c r="G928" i="1"/>
  <c r="F928" i="1"/>
  <c r="E928" i="1"/>
  <c r="D928" i="1"/>
  <c r="C928" i="1"/>
  <c r="I927" i="1"/>
  <c r="H927" i="1"/>
  <c r="G927" i="1"/>
  <c r="F927" i="1"/>
  <c r="E927" i="1"/>
  <c r="D927" i="1"/>
  <c r="C927" i="1"/>
  <c r="I926" i="1"/>
  <c r="H926" i="1"/>
  <c r="G926" i="1"/>
  <c r="F926" i="1"/>
  <c r="E926" i="1"/>
  <c r="D926" i="1"/>
  <c r="C926" i="1"/>
  <c r="I925" i="1"/>
  <c r="H925" i="1"/>
  <c r="G925" i="1"/>
  <c r="F925" i="1"/>
  <c r="E925" i="1"/>
  <c r="D925" i="1"/>
  <c r="C925" i="1"/>
  <c r="I924" i="1"/>
  <c r="H924" i="1"/>
  <c r="G924" i="1"/>
  <c r="F924" i="1"/>
  <c r="E924" i="1"/>
  <c r="D924" i="1"/>
  <c r="C924" i="1"/>
  <c r="I923" i="1"/>
  <c r="H923" i="1"/>
  <c r="G923" i="1"/>
  <c r="F923" i="1"/>
  <c r="E923" i="1"/>
  <c r="D923" i="1"/>
  <c r="C923" i="1"/>
  <c r="I922" i="1"/>
  <c r="H922" i="1"/>
  <c r="G922" i="1"/>
  <c r="F922" i="1"/>
  <c r="E922" i="1"/>
  <c r="D922" i="1"/>
  <c r="C922" i="1"/>
  <c r="I921" i="1"/>
  <c r="H921" i="1"/>
  <c r="G921" i="1"/>
  <c r="F921" i="1"/>
  <c r="E921" i="1"/>
  <c r="D921" i="1"/>
  <c r="C921" i="1"/>
  <c r="I920" i="1"/>
  <c r="H920" i="1"/>
  <c r="G920" i="1"/>
  <c r="F920" i="1"/>
  <c r="E920" i="1"/>
  <c r="D920" i="1"/>
  <c r="C920" i="1"/>
  <c r="I919" i="1"/>
  <c r="H919" i="1"/>
  <c r="G919" i="1"/>
  <c r="F919" i="1"/>
  <c r="E919" i="1"/>
  <c r="D919" i="1"/>
  <c r="C919" i="1"/>
  <c r="I918" i="1"/>
  <c r="H918" i="1"/>
  <c r="G918" i="1"/>
  <c r="F918" i="1"/>
  <c r="E918" i="1"/>
  <c r="D918" i="1"/>
  <c r="C918" i="1"/>
  <c r="I917" i="1"/>
  <c r="H917" i="1"/>
  <c r="G917" i="1"/>
  <c r="F917" i="1"/>
  <c r="E917" i="1"/>
  <c r="D917" i="1"/>
  <c r="C917" i="1"/>
  <c r="I916" i="1"/>
  <c r="H916" i="1"/>
  <c r="G916" i="1"/>
  <c r="F916" i="1"/>
  <c r="E916" i="1"/>
  <c r="D916" i="1"/>
  <c r="C916" i="1"/>
  <c r="I915" i="1"/>
  <c r="H915" i="1"/>
  <c r="G915" i="1"/>
  <c r="F915" i="1"/>
  <c r="E915" i="1"/>
  <c r="D915" i="1"/>
  <c r="C915" i="1"/>
  <c r="I914" i="1"/>
  <c r="H914" i="1"/>
  <c r="G914" i="1"/>
  <c r="F914" i="1"/>
  <c r="E914" i="1"/>
  <c r="D914" i="1"/>
  <c r="C914" i="1"/>
  <c r="I913" i="1"/>
  <c r="H913" i="1"/>
  <c r="G913" i="1"/>
  <c r="F913" i="1"/>
  <c r="E913" i="1"/>
  <c r="D913" i="1"/>
  <c r="C913" i="1"/>
  <c r="I912" i="1"/>
  <c r="H912" i="1"/>
  <c r="G912" i="1"/>
  <c r="F912" i="1"/>
  <c r="E912" i="1"/>
  <c r="D912" i="1"/>
  <c r="C912" i="1"/>
  <c r="I911" i="1"/>
  <c r="H911" i="1"/>
  <c r="G911" i="1"/>
  <c r="F911" i="1"/>
  <c r="E911" i="1"/>
  <c r="D911" i="1"/>
  <c r="C911" i="1"/>
  <c r="I910" i="1"/>
  <c r="H910" i="1"/>
  <c r="G910" i="1"/>
  <c r="F910" i="1"/>
  <c r="E910" i="1"/>
  <c r="D910" i="1"/>
  <c r="C910" i="1"/>
  <c r="I909" i="1"/>
  <c r="H909" i="1"/>
  <c r="G909" i="1"/>
  <c r="F909" i="1"/>
  <c r="E909" i="1"/>
  <c r="D909" i="1"/>
  <c r="C909" i="1"/>
  <c r="I908" i="1"/>
  <c r="H908" i="1"/>
  <c r="G908" i="1"/>
  <c r="F908" i="1"/>
  <c r="E908" i="1"/>
  <c r="D908" i="1"/>
  <c r="C908" i="1"/>
  <c r="I907" i="1"/>
  <c r="H907" i="1"/>
  <c r="G907" i="1"/>
  <c r="F907" i="1"/>
  <c r="E907" i="1"/>
  <c r="D907" i="1"/>
  <c r="C907" i="1"/>
  <c r="I906" i="1"/>
  <c r="H906" i="1"/>
  <c r="G906" i="1"/>
  <c r="F906" i="1"/>
  <c r="E906" i="1"/>
  <c r="D906" i="1"/>
  <c r="C906" i="1"/>
  <c r="I905" i="1"/>
  <c r="H905" i="1"/>
  <c r="G905" i="1"/>
  <c r="F905" i="1"/>
  <c r="E905" i="1"/>
  <c r="D905" i="1"/>
  <c r="C905" i="1"/>
  <c r="I904" i="1"/>
  <c r="H904" i="1"/>
  <c r="G904" i="1"/>
  <c r="F904" i="1"/>
  <c r="E904" i="1"/>
  <c r="D904" i="1"/>
  <c r="C904" i="1"/>
  <c r="I903" i="1"/>
  <c r="H903" i="1"/>
  <c r="G903" i="1"/>
  <c r="F903" i="1"/>
  <c r="E903" i="1"/>
  <c r="D903" i="1"/>
  <c r="C903" i="1"/>
  <c r="I902" i="1"/>
  <c r="H902" i="1"/>
  <c r="G902" i="1"/>
  <c r="F902" i="1"/>
  <c r="E902" i="1"/>
  <c r="D902" i="1"/>
  <c r="C902" i="1"/>
  <c r="I901" i="1"/>
  <c r="H901" i="1"/>
  <c r="G901" i="1"/>
  <c r="F901" i="1"/>
  <c r="E901" i="1"/>
  <c r="D901" i="1"/>
  <c r="C901" i="1"/>
  <c r="I900" i="1"/>
  <c r="H900" i="1"/>
  <c r="G900" i="1"/>
  <c r="F900" i="1"/>
  <c r="E900" i="1"/>
  <c r="D900" i="1"/>
  <c r="C900" i="1"/>
  <c r="I899" i="1"/>
  <c r="H899" i="1"/>
  <c r="G899" i="1"/>
  <c r="F899" i="1"/>
  <c r="E899" i="1"/>
  <c r="D899" i="1"/>
  <c r="C899" i="1"/>
  <c r="I898" i="1"/>
  <c r="H898" i="1"/>
  <c r="G898" i="1"/>
  <c r="F898" i="1"/>
  <c r="E898" i="1"/>
  <c r="D898" i="1"/>
  <c r="C898" i="1"/>
  <c r="I897" i="1"/>
  <c r="H897" i="1"/>
  <c r="G897" i="1"/>
  <c r="F897" i="1"/>
  <c r="E897" i="1"/>
  <c r="D897" i="1"/>
  <c r="C897" i="1"/>
  <c r="I896" i="1"/>
  <c r="H896" i="1"/>
  <c r="G896" i="1"/>
  <c r="F896" i="1"/>
  <c r="E896" i="1"/>
  <c r="D896" i="1"/>
  <c r="C896" i="1"/>
  <c r="I895" i="1"/>
  <c r="H895" i="1"/>
  <c r="G895" i="1"/>
  <c r="F895" i="1"/>
  <c r="E895" i="1"/>
  <c r="D895" i="1"/>
  <c r="C895" i="1"/>
  <c r="I894" i="1"/>
  <c r="H894" i="1"/>
  <c r="G894" i="1"/>
  <c r="F894" i="1"/>
  <c r="E894" i="1"/>
  <c r="D894" i="1"/>
  <c r="C894" i="1"/>
  <c r="I893" i="1"/>
  <c r="H893" i="1"/>
  <c r="G893" i="1"/>
  <c r="F893" i="1"/>
  <c r="E893" i="1"/>
  <c r="D893" i="1"/>
  <c r="C893" i="1"/>
  <c r="I892" i="1"/>
  <c r="H892" i="1"/>
  <c r="G892" i="1"/>
  <c r="F892" i="1"/>
  <c r="E892" i="1"/>
  <c r="D892" i="1"/>
  <c r="C892" i="1"/>
  <c r="I891" i="1"/>
  <c r="H891" i="1"/>
  <c r="G891" i="1"/>
  <c r="F891" i="1"/>
  <c r="E891" i="1"/>
  <c r="D891" i="1"/>
  <c r="C891" i="1"/>
  <c r="I890" i="1"/>
  <c r="H890" i="1"/>
  <c r="G890" i="1"/>
  <c r="F890" i="1"/>
  <c r="E890" i="1"/>
  <c r="D890" i="1"/>
  <c r="C890" i="1"/>
  <c r="I889" i="1"/>
  <c r="H889" i="1"/>
  <c r="G889" i="1"/>
  <c r="F889" i="1"/>
  <c r="E889" i="1"/>
  <c r="D889" i="1"/>
  <c r="C889" i="1"/>
  <c r="I888" i="1"/>
  <c r="H888" i="1"/>
  <c r="G888" i="1"/>
  <c r="F888" i="1"/>
  <c r="E888" i="1"/>
  <c r="D888" i="1"/>
  <c r="C888" i="1"/>
  <c r="I887" i="1"/>
  <c r="H887" i="1"/>
  <c r="G887" i="1"/>
  <c r="F887" i="1"/>
  <c r="E887" i="1"/>
  <c r="D887" i="1"/>
  <c r="C887" i="1"/>
  <c r="I886" i="1"/>
  <c r="H886" i="1"/>
  <c r="G886" i="1"/>
  <c r="F886" i="1"/>
  <c r="E886" i="1"/>
  <c r="D886" i="1"/>
  <c r="C886" i="1"/>
  <c r="I885" i="1"/>
  <c r="H885" i="1"/>
  <c r="G885" i="1"/>
  <c r="F885" i="1"/>
  <c r="E885" i="1"/>
  <c r="D885" i="1"/>
  <c r="C885" i="1"/>
  <c r="I884" i="1"/>
  <c r="H884" i="1"/>
  <c r="G884" i="1"/>
  <c r="F884" i="1"/>
  <c r="E884" i="1"/>
  <c r="D884" i="1"/>
  <c r="C884" i="1"/>
  <c r="I883" i="1"/>
  <c r="H883" i="1"/>
  <c r="G883" i="1"/>
  <c r="F883" i="1"/>
  <c r="E883" i="1"/>
  <c r="D883" i="1"/>
  <c r="C883" i="1"/>
  <c r="I882" i="1"/>
  <c r="H882" i="1"/>
  <c r="G882" i="1"/>
  <c r="F882" i="1"/>
  <c r="E882" i="1"/>
  <c r="D882" i="1"/>
  <c r="C882" i="1"/>
  <c r="I881" i="1"/>
  <c r="H881" i="1"/>
  <c r="G881" i="1"/>
  <c r="F881" i="1"/>
  <c r="E881" i="1"/>
  <c r="D881" i="1"/>
  <c r="C881" i="1"/>
  <c r="I880" i="1"/>
  <c r="H880" i="1"/>
  <c r="G880" i="1"/>
  <c r="F880" i="1"/>
  <c r="E880" i="1"/>
  <c r="D880" i="1"/>
  <c r="C880" i="1"/>
  <c r="I879" i="1"/>
  <c r="H879" i="1"/>
  <c r="G879" i="1"/>
  <c r="F879" i="1"/>
  <c r="E879" i="1"/>
  <c r="D879" i="1"/>
  <c r="C879" i="1"/>
  <c r="I878" i="1"/>
  <c r="H878" i="1"/>
  <c r="G878" i="1"/>
  <c r="F878" i="1"/>
  <c r="E878" i="1"/>
  <c r="D878" i="1"/>
  <c r="C878" i="1"/>
  <c r="I877" i="1"/>
  <c r="H877" i="1"/>
  <c r="G877" i="1"/>
  <c r="F877" i="1"/>
  <c r="E877" i="1"/>
  <c r="D877" i="1"/>
  <c r="C877" i="1"/>
  <c r="I876" i="1"/>
  <c r="H876" i="1"/>
  <c r="G876" i="1"/>
  <c r="F876" i="1"/>
  <c r="E876" i="1"/>
  <c r="D876" i="1"/>
  <c r="C876" i="1"/>
  <c r="I875" i="1"/>
  <c r="H875" i="1"/>
  <c r="G875" i="1"/>
  <c r="F875" i="1"/>
  <c r="E875" i="1"/>
  <c r="D875" i="1"/>
  <c r="C875" i="1"/>
  <c r="I874" i="1"/>
  <c r="H874" i="1"/>
  <c r="G874" i="1"/>
  <c r="F874" i="1"/>
  <c r="E874" i="1"/>
  <c r="D874" i="1"/>
  <c r="C874" i="1"/>
  <c r="I873" i="1"/>
  <c r="H873" i="1"/>
  <c r="G873" i="1"/>
  <c r="F873" i="1"/>
  <c r="E873" i="1"/>
  <c r="D873" i="1"/>
  <c r="C873" i="1"/>
  <c r="I872" i="1"/>
  <c r="H872" i="1"/>
  <c r="G872" i="1"/>
  <c r="F872" i="1"/>
  <c r="E872" i="1"/>
  <c r="D872" i="1"/>
  <c r="C872" i="1"/>
  <c r="I871" i="1"/>
  <c r="H871" i="1"/>
  <c r="G871" i="1"/>
  <c r="F871" i="1"/>
  <c r="E871" i="1"/>
  <c r="D871" i="1"/>
  <c r="C871" i="1"/>
  <c r="I870" i="1"/>
  <c r="H870" i="1"/>
  <c r="G870" i="1"/>
  <c r="F870" i="1"/>
  <c r="E870" i="1"/>
  <c r="D870" i="1"/>
  <c r="C870" i="1"/>
  <c r="I869" i="1"/>
  <c r="H869" i="1"/>
  <c r="G869" i="1"/>
  <c r="F869" i="1"/>
  <c r="E869" i="1"/>
  <c r="D869" i="1"/>
  <c r="C869" i="1"/>
  <c r="I868" i="1"/>
  <c r="H868" i="1"/>
  <c r="G868" i="1"/>
  <c r="F868" i="1"/>
  <c r="E868" i="1"/>
  <c r="D868" i="1"/>
  <c r="C868" i="1"/>
  <c r="I867" i="1"/>
  <c r="H867" i="1"/>
  <c r="G867" i="1"/>
  <c r="F867" i="1"/>
  <c r="E867" i="1"/>
  <c r="D867" i="1"/>
  <c r="C867" i="1"/>
  <c r="I866" i="1"/>
  <c r="H866" i="1"/>
  <c r="G866" i="1"/>
  <c r="F866" i="1"/>
  <c r="E866" i="1"/>
  <c r="D866" i="1"/>
  <c r="C866" i="1"/>
  <c r="I865" i="1"/>
  <c r="H865" i="1"/>
  <c r="G865" i="1"/>
  <c r="F865" i="1"/>
  <c r="E865" i="1"/>
  <c r="D865" i="1"/>
  <c r="C865" i="1"/>
  <c r="I864" i="1"/>
  <c r="H864" i="1"/>
  <c r="G864" i="1"/>
  <c r="F864" i="1"/>
  <c r="E864" i="1"/>
  <c r="D864" i="1"/>
  <c r="C864" i="1"/>
  <c r="I863" i="1"/>
  <c r="H863" i="1"/>
  <c r="G863" i="1"/>
  <c r="F863" i="1"/>
  <c r="E863" i="1"/>
  <c r="D863" i="1"/>
  <c r="C863" i="1"/>
  <c r="I862" i="1"/>
  <c r="H862" i="1"/>
  <c r="G862" i="1"/>
  <c r="F862" i="1"/>
  <c r="E862" i="1"/>
  <c r="D862" i="1"/>
  <c r="C862" i="1"/>
  <c r="I861" i="1"/>
  <c r="H861" i="1"/>
  <c r="G861" i="1"/>
  <c r="F861" i="1"/>
  <c r="E861" i="1"/>
  <c r="D861" i="1"/>
  <c r="C861" i="1"/>
  <c r="I860" i="1"/>
  <c r="H860" i="1"/>
  <c r="G860" i="1"/>
  <c r="F860" i="1"/>
  <c r="E860" i="1"/>
  <c r="D860" i="1"/>
  <c r="C860" i="1"/>
  <c r="I859" i="1"/>
  <c r="H859" i="1"/>
  <c r="G859" i="1"/>
  <c r="F859" i="1"/>
  <c r="E859" i="1"/>
  <c r="D859" i="1"/>
  <c r="C859" i="1"/>
  <c r="I858" i="1"/>
  <c r="H858" i="1"/>
  <c r="G858" i="1"/>
  <c r="F858" i="1"/>
  <c r="E858" i="1"/>
  <c r="D858" i="1"/>
  <c r="C858" i="1"/>
  <c r="I857" i="1"/>
  <c r="H857" i="1"/>
  <c r="G857" i="1"/>
  <c r="F857" i="1"/>
  <c r="E857" i="1"/>
  <c r="D857" i="1"/>
  <c r="C857" i="1"/>
  <c r="I856" i="1"/>
  <c r="H856" i="1"/>
  <c r="G856" i="1"/>
  <c r="F856" i="1"/>
  <c r="E856" i="1"/>
  <c r="D856" i="1"/>
  <c r="C856" i="1"/>
  <c r="I855" i="1"/>
  <c r="H855" i="1"/>
  <c r="G855" i="1"/>
  <c r="F855" i="1"/>
  <c r="E855" i="1"/>
  <c r="D855" i="1"/>
  <c r="C855" i="1"/>
  <c r="I854" i="1"/>
  <c r="H854" i="1"/>
  <c r="G854" i="1"/>
  <c r="F854" i="1"/>
  <c r="E854" i="1"/>
  <c r="D854" i="1"/>
  <c r="C854" i="1"/>
  <c r="I853" i="1"/>
  <c r="H853" i="1"/>
  <c r="G853" i="1"/>
  <c r="F853" i="1"/>
  <c r="E853" i="1"/>
  <c r="D853" i="1"/>
  <c r="C853" i="1"/>
  <c r="I852" i="1"/>
  <c r="H852" i="1"/>
  <c r="G852" i="1"/>
  <c r="F852" i="1"/>
  <c r="E852" i="1"/>
  <c r="D852" i="1"/>
  <c r="C852" i="1"/>
  <c r="I851" i="1"/>
  <c r="H851" i="1"/>
  <c r="G851" i="1"/>
  <c r="F851" i="1"/>
  <c r="E851" i="1"/>
  <c r="D851" i="1"/>
  <c r="C851" i="1"/>
  <c r="I850" i="1"/>
  <c r="H850" i="1"/>
  <c r="G850" i="1"/>
  <c r="F850" i="1"/>
  <c r="E850" i="1"/>
  <c r="D850" i="1"/>
  <c r="C850" i="1"/>
  <c r="I849" i="1"/>
  <c r="H849" i="1"/>
  <c r="G849" i="1"/>
  <c r="F849" i="1"/>
  <c r="E849" i="1"/>
  <c r="D849" i="1"/>
  <c r="C849" i="1"/>
  <c r="I848" i="1"/>
  <c r="H848" i="1"/>
  <c r="G848" i="1"/>
  <c r="F848" i="1"/>
  <c r="E848" i="1"/>
  <c r="D848" i="1"/>
  <c r="C848" i="1"/>
  <c r="I847" i="1"/>
  <c r="H847" i="1"/>
  <c r="G847" i="1"/>
  <c r="F847" i="1"/>
  <c r="E847" i="1"/>
  <c r="D847" i="1"/>
  <c r="C847" i="1"/>
  <c r="I846" i="1"/>
  <c r="H846" i="1"/>
  <c r="G846" i="1"/>
  <c r="F846" i="1"/>
  <c r="E846" i="1"/>
  <c r="D846" i="1"/>
  <c r="C846" i="1"/>
  <c r="I845" i="1"/>
  <c r="H845" i="1"/>
  <c r="G845" i="1"/>
  <c r="F845" i="1"/>
  <c r="E845" i="1"/>
  <c r="D845" i="1"/>
  <c r="C845" i="1"/>
  <c r="I844" i="1"/>
  <c r="H844" i="1"/>
  <c r="G844" i="1"/>
  <c r="F844" i="1"/>
  <c r="E844" i="1"/>
  <c r="D844" i="1"/>
  <c r="C844" i="1"/>
  <c r="I843" i="1"/>
  <c r="H843" i="1"/>
  <c r="G843" i="1"/>
  <c r="F843" i="1"/>
  <c r="E843" i="1"/>
  <c r="D843" i="1"/>
  <c r="C843" i="1"/>
  <c r="I842" i="1"/>
  <c r="H842" i="1"/>
  <c r="G842" i="1"/>
  <c r="F842" i="1"/>
  <c r="E842" i="1"/>
  <c r="D842" i="1"/>
  <c r="C842" i="1"/>
  <c r="I841" i="1"/>
  <c r="H841" i="1"/>
  <c r="G841" i="1"/>
  <c r="F841" i="1"/>
  <c r="E841" i="1"/>
  <c r="D841" i="1"/>
  <c r="C841" i="1"/>
  <c r="I840" i="1"/>
  <c r="H840" i="1"/>
  <c r="G840" i="1"/>
  <c r="F840" i="1"/>
  <c r="E840" i="1"/>
  <c r="D840" i="1"/>
  <c r="C840" i="1"/>
  <c r="I839" i="1"/>
  <c r="H839" i="1"/>
  <c r="G839" i="1"/>
  <c r="F839" i="1"/>
  <c r="E839" i="1"/>
  <c r="D839" i="1"/>
  <c r="C839" i="1"/>
  <c r="I838" i="1"/>
  <c r="H838" i="1"/>
  <c r="G838" i="1"/>
  <c r="F838" i="1"/>
  <c r="E838" i="1"/>
  <c r="D838" i="1"/>
  <c r="C838" i="1"/>
  <c r="I837" i="1"/>
  <c r="H837" i="1"/>
  <c r="G837" i="1"/>
  <c r="F837" i="1"/>
  <c r="E837" i="1"/>
  <c r="D837" i="1"/>
  <c r="C837" i="1"/>
  <c r="I836" i="1"/>
  <c r="H836" i="1"/>
  <c r="G836" i="1"/>
  <c r="F836" i="1"/>
  <c r="E836" i="1"/>
  <c r="D836" i="1"/>
  <c r="C836" i="1"/>
  <c r="I835" i="1"/>
  <c r="H835" i="1"/>
  <c r="G835" i="1"/>
  <c r="F835" i="1"/>
  <c r="E835" i="1"/>
  <c r="D835" i="1"/>
  <c r="C835" i="1"/>
  <c r="I834" i="1"/>
  <c r="H834" i="1"/>
  <c r="G834" i="1"/>
  <c r="F834" i="1"/>
  <c r="E834" i="1"/>
  <c r="D834" i="1"/>
  <c r="C834" i="1"/>
  <c r="I833" i="1"/>
  <c r="H833" i="1"/>
  <c r="G833" i="1"/>
  <c r="F833" i="1"/>
  <c r="E833" i="1"/>
  <c r="D833" i="1"/>
  <c r="C833" i="1"/>
  <c r="I832" i="1"/>
  <c r="H832" i="1"/>
  <c r="G832" i="1"/>
  <c r="F832" i="1"/>
  <c r="E832" i="1"/>
  <c r="D832" i="1"/>
  <c r="C832" i="1"/>
  <c r="I831" i="1"/>
  <c r="H831" i="1"/>
  <c r="G831" i="1"/>
  <c r="F831" i="1"/>
  <c r="E831" i="1"/>
  <c r="D831" i="1"/>
  <c r="C831" i="1"/>
  <c r="I830" i="1"/>
  <c r="H830" i="1"/>
  <c r="G830" i="1"/>
  <c r="F830" i="1"/>
  <c r="E830" i="1"/>
  <c r="D830" i="1"/>
  <c r="C830" i="1"/>
  <c r="I829" i="1"/>
  <c r="H829" i="1"/>
  <c r="G829" i="1"/>
  <c r="F829" i="1"/>
  <c r="E829" i="1"/>
  <c r="D829" i="1"/>
  <c r="C829" i="1"/>
  <c r="I828" i="1"/>
  <c r="H828" i="1"/>
  <c r="G828" i="1"/>
  <c r="F828" i="1"/>
  <c r="E828" i="1"/>
  <c r="D828" i="1"/>
  <c r="C828" i="1"/>
  <c r="I827" i="1"/>
  <c r="H827" i="1"/>
  <c r="G827" i="1"/>
  <c r="F827" i="1"/>
  <c r="E827" i="1"/>
  <c r="D827" i="1"/>
  <c r="C827" i="1"/>
  <c r="I826" i="1"/>
  <c r="H826" i="1"/>
  <c r="G826" i="1"/>
  <c r="F826" i="1"/>
  <c r="E826" i="1"/>
  <c r="D826" i="1"/>
  <c r="C826" i="1"/>
  <c r="I825" i="1"/>
  <c r="H825" i="1"/>
  <c r="G825" i="1"/>
  <c r="F825" i="1"/>
  <c r="E825" i="1"/>
  <c r="D825" i="1"/>
  <c r="C825" i="1"/>
  <c r="I824" i="1"/>
  <c r="H824" i="1"/>
  <c r="G824" i="1"/>
  <c r="F824" i="1"/>
  <c r="E824" i="1"/>
  <c r="D824" i="1"/>
  <c r="C824" i="1"/>
  <c r="I823" i="1"/>
  <c r="H823" i="1"/>
  <c r="G823" i="1"/>
  <c r="F823" i="1"/>
  <c r="E823" i="1"/>
  <c r="D823" i="1"/>
  <c r="C823" i="1"/>
  <c r="I822" i="1"/>
  <c r="H822" i="1"/>
  <c r="G822" i="1"/>
  <c r="F822" i="1"/>
  <c r="E822" i="1"/>
  <c r="D822" i="1"/>
  <c r="C822" i="1"/>
  <c r="I821" i="1"/>
  <c r="H821" i="1"/>
  <c r="G821" i="1"/>
  <c r="F821" i="1"/>
  <c r="E821" i="1"/>
  <c r="D821" i="1"/>
  <c r="C821" i="1"/>
  <c r="I820" i="1"/>
  <c r="H820" i="1"/>
  <c r="G820" i="1"/>
  <c r="F820" i="1"/>
  <c r="E820" i="1"/>
  <c r="D820" i="1"/>
  <c r="C820" i="1"/>
  <c r="I819" i="1"/>
  <c r="H819" i="1"/>
  <c r="G819" i="1"/>
  <c r="F819" i="1"/>
  <c r="E819" i="1"/>
  <c r="D819" i="1"/>
  <c r="C819" i="1"/>
  <c r="I818" i="1"/>
  <c r="H818" i="1"/>
  <c r="G818" i="1"/>
  <c r="F818" i="1"/>
  <c r="E818" i="1"/>
  <c r="D818" i="1"/>
  <c r="C818" i="1"/>
  <c r="I817" i="1"/>
  <c r="H817" i="1"/>
  <c r="G817" i="1"/>
  <c r="F817" i="1"/>
  <c r="E817" i="1"/>
  <c r="D817" i="1"/>
  <c r="C817" i="1"/>
  <c r="I816" i="1"/>
  <c r="H816" i="1"/>
  <c r="G816" i="1"/>
  <c r="F816" i="1"/>
  <c r="E816" i="1"/>
  <c r="D816" i="1"/>
  <c r="C816" i="1"/>
  <c r="I815" i="1"/>
  <c r="H815" i="1"/>
  <c r="G815" i="1"/>
  <c r="F815" i="1"/>
  <c r="E815" i="1"/>
  <c r="D815" i="1"/>
  <c r="C815" i="1"/>
  <c r="I814" i="1"/>
  <c r="H814" i="1"/>
  <c r="G814" i="1"/>
  <c r="F814" i="1"/>
  <c r="E814" i="1"/>
  <c r="D814" i="1"/>
  <c r="C814" i="1"/>
  <c r="I813" i="1"/>
  <c r="H813" i="1"/>
  <c r="G813" i="1"/>
  <c r="F813" i="1"/>
  <c r="E813" i="1"/>
  <c r="D813" i="1"/>
  <c r="C813" i="1"/>
  <c r="I812" i="1"/>
  <c r="H812" i="1"/>
  <c r="G812" i="1"/>
  <c r="F812" i="1"/>
  <c r="E812" i="1"/>
  <c r="D812" i="1"/>
  <c r="C812" i="1"/>
  <c r="I811" i="1"/>
  <c r="H811" i="1"/>
  <c r="G811" i="1"/>
  <c r="F811" i="1"/>
  <c r="E811" i="1"/>
  <c r="D811" i="1"/>
  <c r="C811" i="1"/>
  <c r="I810" i="1"/>
  <c r="H810" i="1"/>
  <c r="G810" i="1"/>
  <c r="F810" i="1"/>
  <c r="E810" i="1"/>
  <c r="D810" i="1"/>
  <c r="C810" i="1"/>
  <c r="I809" i="1"/>
  <c r="H809" i="1"/>
  <c r="G809" i="1"/>
  <c r="F809" i="1"/>
  <c r="E809" i="1"/>
  <c r="D809" i="1"/>
  <c r="C809" i="1"/>
  <c r="I808" i="1"/>
  <c r="H808" i="1"/>
  <c r="G808" i="1"/>
  <c r="F808" i="1"/>
  <c r="E808" i="1"/>
  <c r="D808" i="1"/>
  <c r="C808" i="1"/>
  <c r="I807" i="1"/>
  <c r="H807" i="1"/>
  <c r="G807" i="1"/>
  <c r="F807" i="1"/>
  <c r="E807" i="1"/>
  <c r="D807" i="1"/>
  <c r="C807" i="1"/>
  <c r="I806" i="1"/>
  <c r="H806" i="1"/>
  <c r="G806" i="1"/>
  <c r="F806" i="1"/>
  <c r="E806" i="1"/>
  <c r="D806" i="1"/>
  <c r="C806" i="1"/>
  <c r="I805" i="1"/>
  <c r="H805" i="1"/>
  <c r="G805" i="1"/>
  <c r="F805" i="1"/>
  <c r="E805" i="1"/>
  <c r="D805" i="1"/>
  <c r="C805" i="1"/>
  <c r="I804" i="1"/>
  <c r="H804" i="1"/>
  <c r="G804" i="1"/>
  <c r="F804" i="1"/>
  <c r="E804" i="1"/>
  <c r="D804" i="1"/>
  <c r="C804" i="1"/>
  <c r="I803" i="1"/>
  <c r="H803" i="1"/>
  <c r="G803" i="1"/>
  <c r="F803" i="1"/>
  <c r="E803" i="1"/>
  <c r="D803" i="1"/>
  <c r="C803" i="1"/>
  <c r="I802" i="1"/>
  <c r="H802" i="1"/>
  <c r="G802" i="1"/>
  <c r="F802" i="1"/>
  <c r="E802" i="1"/>
  <c r="D802" i="1"/>
  <c r="C802" i="1"/>
  <c r="I801" i="1"/>
  <c r="H801" i="1"/>
  <c r="G801" i="1"/>
  <c r="F801" i="1"/>
  <c r="E801" i="1"/>
  <c r="D801" i="1"/>
  <c r="C801" i="1"/>
  <c r="I800" i="1"/>
  <c r="H800" i="1"/>
  <c r="G800" i="1"/>
  <c r="F800" i="1"/>
  <c r="E800" i="1"/>
  <c r="D800" i="1"/>
  <c r="C800" i="1"/>
  <c r="I799" i="1"/>
  <c r="H799" i="1"/>
  <c r="G799" i="1"/>
  <c r="F799" i="1"/>
  <c r="E799" i="1"/>
  <c r="D799" i="1"/>
  <c r="C799" i="1"/>
  <c r="I798" i="1"/>
  <c r="H798" i="1"/>
  <c r="G798" i="1"/>
  <c r="F798" i="1"/>
  <c r="E798" i="1"/>
  <c r="D798" i="1"/>
  <c r="C798" i="1"/>
  <c r="I797" i="1"/>
  <c r="H797" i="1"/>
  <c r="G797" i="1"/>
  <c r="F797" i="1"/>
  <c r="E797" i="1"/>
  <c r="D797" i="1"/>
  <c r="C797" i="1"/>
  <c r="I796" i="1"/>
  <c r="H796" i="1"/>
  <c r="G796" i="1"/>
  <c r="F796" i="1"/>
  <c r="E796" i="1"/>
  <c r="D796" i="1"/>
  <c r="C796" i="1"/>
  <c r="I795" i="1"/>
  <c r="H795" i="1"/>
  <c r="G795" i="1"/>
  <c r="F795" i="1"/>
  <c r="E795" i="1"/>
  <c r="D795" i="1"/>
  <c r="C795" i="1"/>
  <c r="I794" i="1"/>
  <c r="H794" i="1"/>
  <c r="G794" i="1"/>
  <c r="F794" i="1"/>
  <c r="E794" i="1"/>
  <c r="D794" i="1"/>
  <c r="C794" i="1"/>
  <c r="I793" i="1"/>
  <c r="H793" i="1"/>
  <c r="G793" i="1"/>
  <c r="F793" i="1"/>
  <c r="E793" i="1"/>
  <c r="D793" i="1"/>
  <c r="C793" i="1"/>
  <c r="I792" i="1"/>
  <c r="H792" i="1"/>
  <c r="G792" i="1"/>
  <c r="F792" i="1"/>
  <c r="E792" i="1"/>
  <c r="D792" i="1"/>
  <c r="C792" i="1"/>
  <c r="I791" i="1"/>
  <c r="H791" i="1"/>
  <c r="G791" i="1"/>
  <c r="F791" i="1"/>
  <c r="E791" i="1"/>
  <c r="D791" i="1"/>
  <c r="C791" i="1"/>
  <c r="I790" i="1"/>
  <c r="H790" i="1"/>
  <c r="G790" i="1"/>
  <c r="F790" i="1"/>
  <c r="E790" i="1"/>
  <c r="D790" i="1"/>
  <c r="C790" i="1"/>
  <c r="I789" i="1"/>
  <c r="H789" i="1"/>
  <c r="G789" i="1"/>
  <c r="F789" i="1"/>
  <c r="E789" i="1"/>
  <c r="D789" i="1"/>
  <c r="C789" i="1"/>
  <c r="I788" i="1"/>
  <c r="H788" i="1"/>
  <c r="G788" i="1"/>
  <c r="F788" i="1"/>
  <c r="E788" i="1"/>
  <c r="D788" i="1"/>
  <c r="C788" i="1"/>
  <c r="I787" i="1"/>
  <c r="H787" i="1"/>
  <c r="G787" i="1"/>
  <c r="F787" i="1"/>
  <c r="E787" i="1"/>
  <c r="D787" i="1"/>
  <c r="C787" i="1"/>
  <c r="I786" i="1"/>
  <c r="H786" i="1"/>
  <c r="G786" i="1"/>
  <c r="F786" i="1"/>
  <c r="E786" i="1"/>
  <c r="D786" i="1"/>
  <c r="C786" i="1"/>
  <c r="I785" i="1"/>
  <c r="H785" i="1"/>
  <c r="G785" i="1"/>
  <c r="F785" i="1"/>
  <c r="E785" i="1"/>
  <c r="D785" i="1"/>
  <c r="C785" i="1"/>
  <c r="I784" i="1"/>
  <c r="H784" i="1"/>
  <c r="G784" i="1"/>
  <c r="F784" i="1"/>
  <c r="E784" i="1"/>
  <c r="D784" i="1"/>
  <c r="C784" i="1"/>
  <c r="I783" i="1"/>
  <c r="H783" i="1"/>
  <c r="G783" i="1"/>
  <c r="F783" i="1"/>
  <c r="E783" i="1"/>
  <c r="D783" i="1"/>
  <c r="C783" i="1"/>
  <c r="I782" i="1"/>
  <c r="H782" i="1"/>
  <c r="G782" i="1"/>
  <c r="F782" i="1"/>
  <c r="E782" i="1"/>
  <c r="D782" i="1"/>
  <c r="C782" i="1"/>
  <c r="I781" i="1"/>
  <c r="H781" i="1"/>
  <c r="G781" i="1"/>
  <c r="F781" i="1"/>
  <c r="E781" i="1"/>
  <c r="D781" i="1"/>
  <c r="C781" i="1"/>
  <c r="I780" i="1"/>
  <c r="H780" i="1"/>
  <c r="G780" i="1"/>
  <c r="F780" i="1"/>
  <c r="E780" i="1"/>
  <c r="D780" i="1"/>
  <c r="C780" i="1"/>
  <c r="I779" i="1"/>
  <c r="H779" i="1"/>
  <c r="G779" i="1"/>
  <c r="F779" i="1"/>
  <c r="E779" i="1"/>
  <c r="D779" i="1"/>
  <c r="C779" i="1"/>
  <c r="I778" i="1"/>
  <c r="H778" i="1"/>
  <c r="G778" i="1"/>
  <c r="F778" i="1"/>
  <c r="E778" i="1"/>
  <c r="D778" i="1"/>
  <c r="C778" i="1"/>
  <c r="I777" i="1"/>
  <c r="H777" i="1"/>
  <c r="G777" i="1"/>
  <c r="F777" i="1"/>
  <c r="E777" i="1"/>
  <c r="D777" i="1"/>
  <c r="C777" i="1"/>
  <c r="I776" i="1"/>
  <c r="H776" i="1"/>
  <c r="G776" i="1"/>
  <c r="F776" i="1"/>
  <c r="E776" i="1"/>
  <c r="D776" i="1"/>
  <c r="C776" i="1"/>
  <c r="I775" i="1"/>
  <c r="H775" i="1"/>
  <c r="G775" i="1"/>
  <c r="F775" i="1"/>
  <c r="E775" i="1"/>
  <c r="D775" i="1"/>
  <c r="C775" i="1"/>
  <c r="I774" i="1"/>
  <c r="H774" i="1"/>
  <c r="G774" i="1"/>
  <c r="F774" i="1"/>
  <c r="E774" i="1"/>
  <c r="D774" i="1"/>
  <c r="C774" i="1"/>
  <c r="I773" i="1"/>
  <c r="H773" i="1"/>
  <c r="G773" i="1"/>
  <c r="F773" i="1"/>
  <c r="E773" i="1"/>
  <c r="D773" i="1"/>
  <c r="C773" i="1"/>
  <c r="I772" i="1"/>
  <c r="H772" i="1"/>
  <c r="G772" i="1"/>
  <c r="F772" i="1"/>
  <c r="E772" i="1"/>
  <c r="D772" i="1"/>
  <c r="C772" i="1"/>
  <c r="I771" i="1"/>
  <c r="H771" i="1"/>
  <c r="G771" i="1"/>
  <c r="F771" i="1"/>
  <c r="E771" i="1"/>
  <c r="D771" i="1"/>
  <c r="C771" i="1"/>
  <c r="I770" i="1"/>
  <c r="H770" i="1"/>
  <c r="G770" i="1"/>
  <c r="F770" i="1"/>
  <c r="E770" i="1"/>
  <c r="D770" i="1"/>
  <c r="C770" i="1"/>
  <c r="I769" i="1"/>
  <c r="H769" i="1"/>
  <c r="G769" i="1"/>
  <c r="F769" i="1"/>
  <c r="E769" i="1"/>
  <c r="D769" i="1"/>
  <c r="C769" i="1"/>
  <c r="I768" i="1"/>
  <c r="H768" i="1"/>
  <c r="G768" i="1"/>
  <c r="F768" i="1"/>
  <c r="E768" i="1"/>
  <c r="D768" i="1"/>
  <c r="C768" i="1"/>
  <c r="I767" i="1"/>
  <c r="H767" i="1"/>
  <c r="G767" i="1"/>
  <c r="F767" i="1"/>
  <c r="E767" i="1"/>
  <c r="D767" i="1"/>
  <c r="C767" i="1"/>
  <c r="I766" i="1"/>
  <c r="H766" i="1"/>
  <c r="G766" i="1"/>
  <c r="F766" i="1"/>
  <c r="E766" i="1"/>
  <c r="D766" i="1"/>
  <c r="C766" i="1"/>
  <c r="I765" i="1"/>
  <c r="H765" i="1"/>
  <c r="G765" i="1"/>
  <c r="F765" i="1"/>
  <c r="E765" i="1"/>
  <c r="D765" i="1"/>
  <c r="C765" i="1"/>
  <c r="I764" i="1"/>
  <c r="H764" i="1"/>
  <c r="G764" i="1"/>
  <c r="F764" i="1"/>
  <c r="E764" i="1"/>
  <c r="D764" i="1"/>
  <c r="C764" i="1"/>
  <c r="I763" i="1"/>
  <c r="H763" i="1"/>
  <c r="G763" i="1"/>
  <c r="F763" i="1"/>
  <c r="E763" i="1"/>
  <c r="D763" i="1"/>
  <c r="C763" i="1"/>
  <c r="I762" i="1"/>
  <c r="H762" i="1"/>
  <c r="G762" i="1"/>
  <c r="F762" i="1"/>
  <c r="E762" i="1"/>
  <c r="D762" i="1"/>
  <c r="C762" i="1"/>
  <c r="I761" i="1"/>
  <c r="H761" i="1"/>
  <c r="G761" i="1"/>
  <c r="F761" i="1"/>
  <c r="E761" i="1"/>
  <c r="D761" i="1"/>
  <c r="C761" i="1"/>
  <c r="I760" i="1"/>
  <c r="H760" i="1"/>
  <c r="G760" i="1"/>
  <c r="F760" i="1"/>
  <c r="E760" i="1"/>
  <c r="D760" i="1"/>
  <c r="C760" i="1"/>
  <c r="I759" i="1"/>
  <c r="H759" i="1"/>
  <c r="G759" i="1"/>
  <c r="F759" i="1"/>
  <c r="E759" i="1"/>
  <c r="D759" i="1"/>
  <c r="C759" i="1"/>
  <c r="I758" i="1"/>
  <c r="H758" i="1"/>
  <c r="G758" i="1"/>
  <c r="F758" i="1"/>
  <c r="E758" i="1"/>
  <c r="D758" i="1"/>
  <c r="C758" i="1"/>
  <c r="I757" i="1"/>
  <c r="H757" i="1"/>
  <c r="G757" i="1"/>
  <c r="F757" i="1"/>
  <c r="E757" i="1"/>
  <c r="D757" i="1"/>
  <c r="C757" i="1"/>
  <c r="I756" i="1"/>
  <c r="H756" i="1"/>
  <c r="G756" i="1"/>
  <c r="F756" i="1"/>
  <c r="E756" i="1"/>
  <c r="D756" i="1"/>
  <c r="C756" i="1"/>
  <c r="I755" i="1"/>
  <c r="H755" i="1"/>
  <c r="G755" i="1"/>
  <c r="F755" i="1"/>
  <c r="E755" i="1"/>
  <c r="D755" i="1"/>
  <c r="C755" i="1"/>
  <c r="I754" i="1"/>
  <c r="H754" i="1"/>
  <c r="G754" i="1"/>
  <c r="F754" i="1"/>
  <c r="E754" i="1"/>
  <c r="D754" i="1"/>
  <c r="C754" i="1"/>
  <c r="I753" i="1"/>
  <c r="H753" i="1"/>
  <c r="G753" i="1"/>
  <c r="F753" i="1"/>
  <c r="E753" i="1"/>
  <c r="D753" i="1"/>
  <c r="C753" i="1"/>
  <c r="I752" i="1"/>
  <c r="H752" i="1"/>
  <c r="G752" i="1"/>
  <c r="F752" i="1"/>
  <c r="E752" i="1"/>
  <c r="D752" i="1"/>
  <c r="C752" i="1"/>
  <c r="I751" i="1"/>
  <c r="H751" i="1"/>
  <c r="G751" i="1"/>
  <c r="F751" i="1"/>
  <c r="E751" i="1"/>
  <c r="D751" i="1"/>
  <c r="C751" i="1"/>
  <c r="I750" i="1"/>
  <c r="H750" i="1"/>
  <c r="G750" i="1"/>
  <c r="F750" i="1"/>
  <c r="E750" i="1"/>
  <c r="D750" i="1"/>
  <c r="C750" i="1"/>
  <c r="I749" i="1"/>
  <c r="H749" i="1"/>
  <c r="G749" i="1"/>
  <c r="F749" i="1"/>
  <c r="E749" i="1"/>
  <c r="D749" i="1"/>
  <c r="C749" i="1"/>
  <c r="I748" i="1"/>
  <c r="H748" i="1"/>
  <c r="G748" i="1"/>
  <c r="F748" i="1"/>
  <c r="E748" i="1"/>
  <c r="D748" i="1"/>
  <c r="C748" i="1"/>
  <c r="I747" i="1"/>
  <c r="H747" i="1"/>
  <c r="G747" i="1"/>
  <c r="F747" i="1"/>
  <c r="E747" i="1"/>
  <c r="D747" i="1"/>
  <c r="C747" i="1"/>
  <c r="I746" i="1"/>
  <c r="H746" i="1"/>
  <c r="G746" i="1"/>
  <c r="F746" i="1"/>
  <c r="E746" i="1"/>
  <c r="D746" i="1"/>
  <c r="C746" i="1"/>
  <c r="I745" i="1"/>
  <c r="H745" i="1"/>
  <c r="G745" i="1"/>
  <c r="F745" i="1"/>
  <c r="E745" i="1"/>
  <c r="D745" i="1"/>
  <c r="C745" i="1"/>
  <c r="I744" i="1"/>
  <c r="H744" i="1"/>
  <c r="G744" i="1"/>
  <c r="F744" i="1"/>
  <c r="E744" i="1"/>
  <c r="D744" i="1"/>
  <c r="C744" i="1"/>
  <c r="I743" i="1"/>
  <c r="H743" i="1"/>
  <c r="G743" i="1"/>
  <c r="F743" i="1"/>
  <c r="E743" i="1"/>
  <c r="D743" i="1"/>
  <c r="C743" i="1"/>
  <c r="I742" i="1"/>
  <c r="H742" i="1"/>
  <c r="G742" i="1"/>
  <c r="F742" i="1"/>
  <c r="E742" i="1"/>
  <c r="D742" i="1"/>
  <c r="C742" i="1"/>
  <c r="I741" i="1"/>
  <c r="H741" i="1"/>
  <c r="G741" i="1"/>
  <c r="F741" i="1"/>
  <c r="E741" i="1"/>
  <c r="D741" i="1"/>
  <c r="C741" i="1"/>
  <c r="I740" i="1"/>
  <c r="H740" i="1"/>
  <c r="G740" i="1"/>
  <c r="F740" i="1"/>
  <c r="E740" i="1"/>
  <c r="D740" i="1"/>
  <c r="C740" i="1"/>
  <c r="I739" i="1"/>
  <c r="H739" i="1"/>
  <c r="G739" i="1"/>
  <c r="F739" i="1"/>
  <c r="E739" i="1"/>
  <c r="D739" i="1"/>
  <c r="C739" i="1"/>
  <c r="I738" i="1"/>
  <c r="H738" i="1"/>
  <c r="G738" i="1"/>
  <c r="F738" i="1"/>
  <c r="E738" i="1"/>
  <c r="D738" i="1"/>
  <c r="C738" i="1"/>
  <c r="I737" i="1"/>
  <c r="H737" i="1"/>
  <c r="G737" i="1"/>
  <c r="F737" i="1"/>
  <c r="E737" i="1"/>
  <c r="D737" i="1"/>
  <c r="C737" i="1"/>
  <c r="I736" i="1"/>
  <c r="H736" i="1"/>
  <c r="G736" i="1"/>
  <c r="F736" i="1"/>
  <c r="E736" i="1"/>
  <c r="D736" i="1"/>
  <c r="C736" i="1"/>
  <c r="I735" i="1"/>
  <c r="H735" i="1"/>
  <c r="G735" i="1"/>
  <c r="F735" i="1"/>
  <c r="E735" i="1"/>
  <c r="D735" i="1"/>
  <c r="C735" i="1"/>
  <c r="I734" i="1"/>
  <c r="H734" i="1"/>
  <c r="G734" i="1"/>
  <c r="F734" i="1"/>
  <c r="E734" i="1"/>
  <c r="D734" i="1"/>
  <c r="C734" i="1"/>
  <c r="I733" i="1"/>
  <c r="H733" i="1"/>
  <c r="G733" i="1"/>
  <c r="F733" i="1"/>
  <c r="E733" i="1"/>
  <c r="D733" i="1"/>
  <c r="C733" i="1"/>
  <c r="I732" i="1"/>
  <c r="H732" i="1"/>
  <c r="G732" i="1"/>
  <c r="F732" i="1"/>
  <c r="E732" i="1"/>
  <c r="D732" i="1"/>
  <c r="C732" i="1"/>
  <c r="I731" i="1"/>
  <c r="H731" i="1"/>
  <c r="G731" i="1"/>
  <c r="F731" i="1"/>
  <c r="E731" i="1"/>
  <c r="D731" i="1"/>
  <c r="C731" i="1"/>
  <c r="I730" i="1"/>
  <c r="H730" i="1"/>
  <c r="G730" i="1"/>
  <c r="F730" i="1"/>
  <c r="E730" i="1"/>
  <c r="D730" i="1"/>
  <c r="C730" i="1"/>
  <c r="I729" i="1"/>
  <c r="H729" i="1"/>
  <c r="G729" i="1"/>
  <c r="F729" i="1"/>
  <c r="E729" i="1"/>
  <c r="D729" i="1"/>
  <c r="C729" i="1"/>
  <c r="I728" i="1"/>
  <c r="H728" i="1"/>
  <c r="G728" i="1"/>
  <c r="F728" i="1"/>
  <c r="E728" i="1"/>
  <c r="D728" i="1"/>
  <c r="C728" i="1"/>
  <c r="I727" i="1"/>
  <c r="H727" i="1"/>
  <c r="G727" i="1"/>
  <c r="F727" i="1"/>
  <c r="E727" i="1"/>
  <c r="D727" i="1"/>
  <c r="C727" i="1"/>
  <c r="I726" i="1"/>
  <c r="H726" i="1"/>
  <c r="G726" i="1"/>
  <c r="F726" i="1"/>
  <c r="E726" i="1"/>
  <c r="D726" i="1"/>
  <c r="C726" i="1"/>
  <c r="I725" i="1"/>
  <c r="H725" i="1"/>
  <c r="G725" i="1"/>
  <c r="F725" i="1"/>
  <c r="E725" i="1"/>
  <c r="D725" i="1"/>
  <c r="C725" i="1"/>
  <c r="I724" i="1"/>
  <c r="H724" i="1"/>
  <c r="G724" i="1"/>
  <c r="F724" i="1"/>
  <c r="E724" i="1"/>
  <c r="D724" i="1"/>
  <c r="C724" i="1"/>
  <c r="I723" i="1"/>
  <c r="H723" i="1"/>
  <c r="G723" i="1"/>
  <c r="F723" i="1"/>
  <c r="E723" i="1"/>
  <c r="D723" i="1"/>
  <c r="C723" i="1"/>
  <c r="I722" i="1"/>
  <c r="H722" i="1"/>
  <c r="G722" i="1"/>
  <c r="F722" i="1"/>
  <c r="E722" i="1"/>
  <c r="D722" i="1"/>
  <c r="C722" i="1"/>
  <c r="I721" i="1"/>
  <c r="H721" i="1"/>
  <c r="G721" i="1"/>
  <c r="F721" i="1"/>
  <c r="E721" i="1"/>
  <c r="D721" i="1"/>
  <c r="C721" i="1"/>
  <c r="I720" i="1"/>
  <c r="H720" i="1"/>
  <c r="G720" i="1"/>
  <c r="F720" i="1"/>
  <c r="E720" i="1"/>
  <c r="D720" i="1"/>
  <c r="C720" i="1"/>
  <c r="I719" i="1"/>
  <c r="H719" i="1"/>
  <c r="G719" i="1"/>
  <c r="F719" i="1"/>
  <c r="E719" i="1"/>
  <c r="D719" i="1"/>
  <c r="C719" i="1"/>
  <c r="I718" i="1"/>
  <c r="H718" i="1"/>
  <c r="G718" i="1"/>
  <c r="F718" i="1"/>
  <c r="E718" i="1"/>
  <c r="D718" i="1"/>
  <c r="C718" i="1"/>
  <c r="I717" i="1"/>
  <c r="H717" i="1"/>
  <c r="G717" i="1"/>
  <c r="F717" i="1"/>
  <c r="E717" i="1"/>
  <c r="D717" i="1"/>
  <c r="C717" i="1"/>
  <c r="I716" i="1"/>
  <c r="H716" i="1"/>
  <c r="G716" i="1"/>
  <c r="F716" i="1"/>
  <c r="E716" i="1"/>
  <c r="D716" i="1"/>
  <c r="C716" i="1"/>
  <c r="I715" i="1"/>
  <c r="H715" i="1"/>
  <c r="G715" i="1"/>
  <c r="F715" i="1"/>
  <c r="E715" i="1"/>
  <c r="D715" i="1"/>
  <c r="C715" i="1"/>
  <c r="I714" i="1"/>
  <c r="H714" i="1"/>
  <c r="G714" i="1"/>
  <c r="F714" i="1"/>
  <c r="E714" i="1"/>
  <c r="D714" i="1"/>
  <c r="C714" i="1"/>
  <c r="I713" i="1"/>
  <c r="H713" i="1"/>
  <c r="G713" i="1"/>
  <c r="F713" i="1"/>
  <c r="E713" i="1"/>
  <c r="D713" i="1"/>
  <c r="C713" i="1"/>
  <c r="I712" i="1"/>
  <c r="H712" i="1"/>
  <c r="G712" i="1"/>
  <c r="F712" i="1"/>
  <c r="E712" i="1"/>
  <c r="D712" i="1"/>
  <c r="C712" i="1"/>
  <c r="I711" i="1"/>
  <c r="H711" i="1"/>
  <c r="G711" i="1"/>
  <c r="F711" i="1"/>
  <c r="E711" i="1"/>
  <c r="D711" i="1"/>
  <c r="C711" i="1"/>
  <c r="I710" i="1"/>
  <c r="H710" i="1"/>
  <c r="G710" i="1"/>
  <c r="F710" i="1"/>
  <c r="E710" i="1"/>
  <c r="D710" i="1"/>
  <c r="C710" i="1"/>
  <c r="I709" i="1"/>
  <c r="H709" i="1"/>
  <c r="G709" i="1"/>
  <c r="F709" i="1"/>
  <c r="E709" i="1"/>
  <c r="D709" i="1"/>
  <c r="C709" i="1"/>
  <c r="I708" i="1"/>
  <c r="H708" i="1"/>
  <c r="G708" i="1"/>
  <c r="F708" i="1"/>
  <c r="E708" i="1"/>
  <c r="D708" i="1"/>
  <c r="C708" i="1"/>
  <c r="I707" i="1"/>
  <c r="H707" i="1"/>
  <c r="G707" i="1"/>
  <c r="F707" i="1"/>
  <c r="E707" i="1"/>
  <c r="D707" i="1"/>
  <c r="C707" i="1"/>
  <c r="I706" i="1"/>
  <c r="H706" i="1"/>
  <c r="G706" i="1"/>
  <c r="F706" i="1"/>
  <c r="E706" i="1"/>
  <c r="D706" i="1"/>
  <c r="C706" i="1"/>
  <c r="I705" i="1"/>
  <c r="H705" i="1"/>
  <c r="G705" i="1"/>
  <c r="F705" i="1"/>
  <c r="E705" i="1"/>
  <c r="D705" i="1"/>
  <c r="C705" i="1"/>
  <c r="I704" i="1"/>
  <c r="H704" i="1"/>
  <c r="G704" i="1"/>
  <c r="F704" i="1"/>
  <c r="E704" i="1"/>
  <c r="D704" i="1"/>
  <c r="C704" i="1"/>
  <c r="I703" i="1"/>
  <c r="H703" i="1"/>
  <c r="G703" i="1"/>
  <c r="F703" i="1"/>
  <c r="E703" i="1"/>
  <c r="D703" i="1"/>
  <c r="C703" i="1"/>
  <c r="I702" i="1"/>
  <c r="H702" i="1"/>
  <c r="G702" i="1"/>
  <c r="F702" i="1"/>
  <c r="E702" i="1"/>
  <c r="D702" i="1"/>
  <c r="C702" i="1"/>
  <c r="I701" i="1"/>
  <c r="H701" i="1"/>
  <c r="G701" i="1"/>
  <c r="F701" i="1"/>
  <c r="E701" i="1"/>
  <c r="D701" i="1"/>
  <c r="C701" i="1"/>
  <c r="I700" i="1"/>
  <c r="H700" i="1"/>
  <c r="G700" i="1"/>
  <c r="F700" i="1"/>
  <c r="E700" i="1"/>
  <c r="D700" i="1"/>
  <c r="C700" i="1"/>
  <c r="I699" i="1"/>
  <c r="H699" i="1"/>
  <c r="G699" i="1"/>
  <c r="F699" i="1"/>
  <c r="E699" i="1"/>
  <c r="D699" i="1"/>
  <c r="C699" i="1"/>
  <c r="I698" i="1"/>
  <c r="H698" i="1"/>
  <c r="G698" i="1"/>
  <c r="F698" i="1"/>
  <c r="E698" i="1"/>
  <c r="D698" i="1"/>
  <c r="C698" i="1"/>
  <c r="I697" i="1"/>
  <c r="H697" i="1"/>
  <c r="G697" i="1"/>
  <c r="F697" i="1"/>
  <c r="E697" i="1"/>
  <c r="D697" i="1"/>
  <c r="C697" i="1"/>
  <c r="I696" i="1"/>
  <c r="H696" i="1"/>
  <c r="G696" i="1"/>
  <c r="F696" i="1"/>
  <c r="E696" i="1"/>
  <c r="D696" i="1"/>
  <c r="C696" i="1"/>
  <c r="I695" i="1"/>
  <c r="H695" i="1"/>
  <c r="G695" i="1"/>
  <c r="F695" i="1"/>
  <c r="E695" i="1"/>
  <c r="D695" i="1"/>
  <c r="C695" i="1"/>
  <c r="I694" i="1"/>
  <c r="H694" i="1"/>
  <c r="G694" i="1"/>
  <c r="F694" i="1"/>
  <c r="E694" i="1"/>
  <c r="D694" i="1"/>
  <c r="C694" i="1"/>
  <c r="I693" i="1"/>
  <c r="H693" i="1"/>
  <c r="G693" i="1"/>
  <c r="F693" i="1"/>
  <c r="E693" i="1"/>
  <c r="D693" i="1"/>
  <c r="C693" i="1"/>
  <c r="I692" i="1"/>
  <c r="H692" i="1"/>
  <c r="G692" i="1"/>
  <c r="F692" i="1"/>
  <c r="E692" i="1"/>
  <c r="D692" i="1"/>
  <c r="C692" i="1"/>
  <c r="I691" i="1"/>
  <c r="H691" i="1"/>
  <c r="G691" i="1"/>
  <c r="F691" i="1"/>
  <c r="E691" i="1"/>
  <c r="D691" i="1"/>
  <c r="C691" i="1"/>
  <c r="I690" i="1"/>
  <c r="H690" i="1"/>
  <c r="G690" i="1"/>
  <c r="F690" i="1"/>
  <c r="E690" i="1"/>
  <c r="D690" i="1"/>
  <c r="C690" i="1"/>
  <c r="I689" i="1"/>
  <c r="H689" i="1"/>
  <c r="G689" i="1"/>
  <c r="F689" i="1"/>
  <c r="E689" i="1"/>
  <c r="D689" i="1"/>
  <c r="C689" i="1"/>
  <c r="I688" i="1"/>
  <c r="H688" i="1"/>
  <c r="G688" i="1"/>
  <c r="F688" i="1"/>
  <c r="E688" i="1"/>
  <c r="D688" i="1"/>
  <c r="C688" i="1"/>
  <c r="I687" i="1"/>
  <c r="H687" i="1"/>
  <c r="G687" i="1"/>
  <c r="F687" i="1"/>
  <c r="E687" i="1"/>
  <c r="D687" i="1"/>
  <c r="C687" i="1"/>
  <c r="I686" i="1"/>
  <c r="H686" i="1"/>
  <c r="G686" i="1"/>
  <c r="F686" i="1"/>
  <c r="E686" i="1"/>
  <c r="D686" i="1"/>
  <c r="C686" i="1"/>
  <c r="I685" i="1"/>
  <c r="H685" i="1"/>
  <c r="G685" i="1"/>
  <c r="F685" i="1"/>
  <c r="E685" i="1"/>
  <c r="D685" i="1"/>
  <c r="C685" i="1"/>
  <c r="I684" i="1"/>
  <c r="H684" i="1"/>
  <c r="G684" i="1"/>
  <c r="F684" i="1"/>
  <c r="E684" i="1"/>
  <c r="D684" i="1"/>
  <c r="C684" i="1"/>
  <c r="I683" i="1"/>
  <c r="H683" i="1"/>
  <c r="G683" i="1"/>
  <c r="F683" i="1"/>
  <c r="E683" i="1"/>
  <c r="D683" i="1"/>
  <c r="C683" i="1"/>
  <c r="I682" i="1"/>
  <c r="H682" i="1"/>
  <c r="G682" i="1"/>
  <c r="F682" i="1"/>
  <c r="E682" i="1"/>
  <c r="D682" i="1"/>
  <c r="C682" i="1"/>
  <c r="I681" i="1"/>
  <c r="H681" i="1"/>
  <c r="G681" i="1"/>
  <c r="F681" i="1"/>
  <c r="E681" i="1"/>
  <c r="D681" i="1"/>
  <c r="C681" i="1"/>
  <c r="I680" i="1"/>
  <c r="H680" i="1"/>
  <c r="G680" i="1"/>
  <c r="F680" i="1"/>
  <c r="E680" i="1"/>
  <c r="D680" i="1"/>
  <c r="C680" i="1"/>
  <c r="I679" i="1"/>
  <c r="H679" i="1"/>
  <c r="G679" i="1"/>
  <c r="F679" i="1"/>
  <c r="E679" i="1"/>
  <c r="D679" i="1"/>
  <c r="C679" i="1"/>
  <c r="I678" i="1"/>
  <c r="H678" i="1"/>
  <c r="G678" i="1"/>
  <c r="F678" i="1"/>
  <c r="E678" i="1"/>
  <c r="D678" i="1"/>
  <c r="C678" i="1"/>
  <c r="I677" i="1"/>
  <c r="H677" i="1"/>
  <c r="G677" i="1"/>
  <c r="F677" i="1"/>
  <c r="E677" i="1"/>
  <c r="D677" i="1"/>
  <c r="C677" i="1"/>
  <c r="I676" i="1"/>
  <c r="H676" i="1"/>
  <c r="G676" i="1"/>
  <c r="F676" i="1"/>
  <c r="E676" i="1"/>
  <c r="D676" i="1"/>
  <c r="C676" i="1"/>
  <c r="I675" i="1"/>
  <c r="H675" i="1"/>
  <c r="G675" i="1"/>
  <c r="F675" i="1"/>
  <c r="E675" i="1"/>
  <c r="D675" i="1"/>
  <c r="C675" i="1"/>
  <c r="I674" i="1"/>
  <c r="H674" i="1"/>
  <c r="G674" i="1"/>
  <c r="F674" i="1"/>
  <c r="E674" i="1"/>
  <c r="D674" i="1"/>
  <c r="C674" i="1"/>
  <c r="I673" i="1"/>
  <c r="H673" i="1"/>
  <c r="G673" i="1"/>
  <c r="F673" i="1"/>
  <c r="E673" i="1"/>
  <c r="D673" i="1"/>
  <c r="C673" i="1"/>
  <c r="I672" i="1"/>
  <c r="H672" i="1"/>
  <c r="G672" i="1"/>
  <c r="F672" i="1"/>
  <c r="E672" i="1"/>
  <c r="D672" i="1"/>
  <c r="C672" i="1"/>
  <c r="I671" i="1"/>
  <c r="H671" i="1"/>
  <c r="G671" i="1"/>
  <c r="F671" i="1"/>
  <c r="E671" i="1"/>
  <c r="D671" i="1"/>
  <c r="C671" i="1"/>
  <c r="I670" i="1"/>
  <c r="H670" i="1"/>
  <c r="G670" i="1"/>
  <c r="F670" i="1"/>
  <c r="E670" i="1"/>
  <c r="D670" i="1"/>
  <c r="C670" i="1"/>
  <c r="I669" i="1"/>
  <c r="H669" i="1"/>
  <c r="G669" i="1"/>
  <c r="F669" i="1"/>
  <c r="E669" i="1"/>
  <c r="D669" i="1"/>
  <c r="C669" i="1"/>
  <c r="I668" i="1"/>
  <c r="H668" i="1"/>
  <c r="G668" i="1"/>
  <c r="F668" i="1"/>
  <c r="E668" i="1"/>
  <c r="D668" i="1"/>
  <c r="C668" i="1"/>
  <c r="I667" i="1"/>
  <c r="H667" i="1"/>
  <c r="G667" i="1"/>
  <c r="F667" i="1"/>
  <c r="E667" i="1"/>
  <c r="D667" i="1"/>
  <c r="C667" i="1"/>
  <c r="I666" i="1"/>
  <c r="H666" i="1"/>
  <c r="G666" i="1"/>
  <c r="F666" i="1"/>
  <c r="E666" i="1"/>
  <c r="D666" i="1"/>
  <c r="C666" i="1"/>
  <c r="I665" i="1"/>
  <c r="H665" i="1"/>
  <c r="G665" i="1"/>
  <c r="F665" i="1"/>
  <c r="E665" i="1"/>
  <c r="D665" i="1"/>
  <c r="C665" i="1"/>
  <c r="I664" i="1"/>
  <c r="H664" i="1"/>
  <c r="G664" i="1"/>
  <c r="F664" i="1"/>
  <c r="E664" i="1"/>
  <c r="D664" i="1"/>
  <c r="C664" i="1"/>
  <c r="I663" i="1"/>
  <c r="H663" i="1"/>
  <c r="G663" i="1"/>
  <c r="F663" i="1"/>
  <c r="E663" i="1"/>
  <c r="D663" i="1"/>
  <c r="C663" i="1"/>
  <c r="I662" i="1"/>
  <c r="H662" i="1"/>
  <c r="G662" i="1"/>
  <c r="F662" i="1"/>
  <c r="E662" i="1"/>
  <c r="D662" i="1"/>
  <c r="C662" i="1"/>
  <c r="I661" i="1"/>
  <c r="H661" i="1"/>
  <c r="G661" i="1"/>
  <c r="F661" i="1"/>
  <c r="E661" i="1"/>
  <c r="D661" i="1"/>
  <c r="C661" i="1"/>
  <c r="I660" i="1"/>
  <c r="H660" i="1"/>
  <c r="G660" i="1"/>
  <c r="F660" i="1"/>
  <c r="E660" i="1"/>
  <c r="D660" i="1"/>
  <c r="C660" i="1"/>
  <c r="I659" i="1"/>
  <c r="H659" i="1"/>
  <c r="G659" i="1"/>
  <c r="F659" i="1"/>
  <c r="E659" i="1"/>
  <c r="D659" i="1"/>
  <c r="C659" i="1"/>
  <c r="I658" i="1"/>
  <c r="H658" i="1"/>
  <c r="G658" i="1"/>
  <c r="F658" i="1"/>
  <c r="E658" i="1"/>
  <c r="D658" i="1"/>
  <c r="C658" i="1"/>
  <c r="I657" i="1"/>
  <c r="H657" i="1"/>
  <c r="G657" i="1"/>
  <c r="F657" i="1"/>
  <c r="E657" i="1"/>
  <c r="D657" i="1"/>
  <c r="C657" i="1"/>
  <c r="I656" i="1"/>
  <c r="H656" i="1"/>
  <c r="G656" i="1"/>
  <c r="F656" i="1"/>
  <c r="E656" i="1"/>
  <c r="D656" i="1"/>
  <c r="C656" i="1"/>
  <c r="I655" i="1"/>
  <c r="H655" i="1"/>
  <c r="G655" i="1"/>
  <c r="F655" i="1"/>
  <c r="E655" i="1"/>
  <c r="D655" i="1"/>
  <c r="C655" i="1"/>
  <c r="I654" i="1"/>
  <c r="H654" i="1"/>
  <c r="G654" i="1"/>
  <c r="F654" i="1"/>
  <c r="E654" i="1"/>
  <c r="D654" i="1"/>
  <c r="C654" i="1"/>
  <c r="I653" i="1"/>
  <c r="H653" i="1"/>
  <c r="G653" i="1"/>
  <c r="F653" i="1"/>
  <c r="E653" i="1"/>
  <c r="D653" i="1"/>
  <c r="C653" i="1"/>
  <c r="I652" i="1"/>
  <c r="H652" i="1"/>
  <c r="G652" i="1"/>
  <c r="F652" i="1"/>
  <c r="E652" i="1"/>
  <c r="D652" i="1"/>
  <c r="C652" i="1"/>
  <c r="I651" i="1"/>
  <c r="H651" i="1"/>
  <c r="G651" i="1"/>
  <c r="F651" i="1"/>
  <c r="E651" i="1"/>
  <c r="D651" i="1"/>
  <c r="C651" i="1"/>
  <c r="I650" i="1"/>
  <c r="H650" i="1"/>
  <c r="G650" i="1"/>
  <c r="F650" i="1"/>
  <c r="E650" i="1"/>
  <c r="D650" i="1"/>
  <c r="C650" i="1"/>
  <c r="I649" i="1"/>
  <c r="H649" i="1"/>
  <c r="G649" i="1"/>
  <c r="F649" i="1"/>
  <c r="E649" i="1"/>
  <c r="D649" i="1"/>
  <c r="C649" i="1"/>
  <c r="I648" i="1"/>
  <c r="H648" i="1"/>
  <c r="G648" i="1"/>
  <c r="F648" i="1"/>
  <c r="E648" i="1"/>
  <c r="D648" i="1"/>
  <c r="C648" i="1"/>
  <c r="I647" i="1"/>
  <c r="H647" i="1"/>
  <c r="G647" i="1"/>
  <c r="F647" i="1"/>
  <c r="E647" i="1"/>
  <c r="D647" i="1"/>
  <c r="C647" i="1"/>
  <c r="I646" i="1"/>
  <c r="H646" i="1"/>
  <c r="G646" i="1"/>
  <c r="F646" i="1"/>
  <c r="E646" i="1"/>
  <c r="D646" i="1"/>
  <c r="C646" i="1"/>
  <c r="I645" i="1"/>
  <c r="H645" i="1"/>
  <c r="G645" i="1"/>
  <c r="F645" i="1"/>
  <c r="E645" i="1"/>
  <c r="D645" i="1"/>
  <c r="C645" i="1"/>
  <c r="I644" i="1"/>
  <c r="H644" i="1"/>
  <c r="G644" i="1"/>
  <c r="F644" i="1"/>
  <c r="E644" i="1"/>
  <c r="D644" i="1"/>
  <c r="C644" i="1"/>
  <c r="I643" i="1"/>
  <c r="H643" i="1"/>
  <c r="G643" i="1"/>
  <c r="F643" i="1"/>
  <c r="E643" i="1"/>
  <c r="D643" i="1"/>
  <c r="C643" i="1"/>
  <c r="I642" i="1"/>
  <c r="H642" i="1"/>
  <c r="G642" i="1"/>
  <c r="F642" i="1"/>
  <c r="E642" i="1"/>
  <c r="D642" i="1"/>
  <c r="C642" i="1"/>
  <c r="I641" i="1"/>
  <c r="H641" i="1"/>
  <c r="G641" i="1"/>
  <c r="F641" i="1"/>
  <c r="E641" i="1"/>
  <c r="D641" i="1"/>
  <c r="C641" i="1"/>
  <c r="I640" i="1"/>
  <c r="H640" i="1"/>
  <c r="G640" i="1"/>
  <c r="F640" i="1"/>
  <c r="E640" i="1"/>
  <c r="D640" i="1"/>
  <c r="C640" i="1"/>
  <c r="I639" i="1"/>
  <c r="H639" i="1"/>
  <c r="G639" i="1"/>
  <c r="F639" i="1"/>
  <c r="E639" i="1"/>
  <c r="D639" i="1"/>
  <c r="C639" i="1"/>
  <c r="I638" i="1"/>
  <c r="H638" i="1"/>
  <c r="G638" i="1"/>
  <c r="F638" i="1"/>
  <c r="E638" i="1"/>
  <c r="D638" i="1"/>
  <c r="C638" i="1"/>
  <c r="I637" i="1"/>
  <c r="H637" i="1"/>
  <c r="G637" i="1"/>
  <c r="F637" i="1"/>
  <c r="E637" i="1"/>
  <c r="D637" i="1"/>
  <c r="C637" i="1"/>
  <c r="I636" i="1"/>
  <c r="H636" i="1"/>
  <c r="G636" i="1"/>
  <c r="F636" i="1"/>
  <c r="E636" i="1"/>
  <c r="D636" i="1"/>
  <c r="C636" i="1"/>
  <c r="I635" i="1"/>
  <c r="H635" i="1"/>
  <c r="G635" i="1"/>
  <c r="F635" i="1"/>
  <c r="E635" i="1"/>
  <c r="D635" i="1"/>
  <c r="C635" i="1"/>
  <c r="I634" i="1"/>
  <c r="H634" i="1"/>
  <c r="G634" i="1"/>
  <c r="F634" i="1"/>
  <c r="E634" i="1"/>
  <c r="D634" i="1"/>
  <c r="C634" i="1"/>
  <c r="I633" i="1"/>
  <c r="H633" i="1"/>
  <c r="G633" i="1"/>
  <c r="F633" i="1"/>
  <c r="E633" i="1"/>
  <c r="D633" i="1"/>
  <c r="C633" i="1"/>
  <c r="I632" i="1"/>
  <c r="H632" i="1"/>
  <c r="G632" i="1"/>
  <c r="F632" i="1"/>
  <c r="E632" i="1"/>
  <c r="D632" i="1"/>
  <c r="C632" i="1"/>
  <c r="I631" i="1"/>
  <c r="H631" i="1"/>
  <c r="G631" i="1"/>
  <c r="F631" i="1"/>
  <c r="E631" i="1"/>
  <c r="D631" i="1"/>
  <c r="C631" i="1"/>
  <c r="I630" i="1"/>
  <c r="H630" i="1"/>
  <c r="G630" i="1"/>
  <c r="F630" i="1"/>
  <c r="E630" i="1"/>
  <c r="D630" i="1"/>
  <c r="C630" i="1"/>
  <c r="I629" i="1"/>
  <c r="H629" i="1"/>
  <c r="G629" i="1"/>
  <c r="F629" i="1"/>
  <c r="E629" i="1"/>
  <c r="D629" i="1"/>
  <c r="C629" i="1"/>
  <c r="I628" i="1"/>
  <c r="H628" i="1"/>
  <c r="G628" i="1"/>
  <c r="F628" i="1"/>
  <c r="E628" i="1"/>
  <c r="D628" i="1"/>
  <c r="C628" i="1"/>
  <c r="I627" i="1"/>
  <c r="H627" i="1"/>
  <c r="G627" i="1"/>
  <c r="F627" i="1"/>
  <c r="E627" i="1"/>
  <c r="D627" i="1"/>
  <c r="C627" i="1"/>
  <c r="I626" i="1"/>
  <c r="H626" i="1"/>
  <c r="G626" i="1"/>
  <c r="F626" i="1"/>
  <c r="E626" i="1"/>
  <c r="D626" i="1"/>
  <c r="C626" i="1"/>
  <c r="I625" i="1"/>
  <c r="H625" i="1"/>
  <c r="G625" i="1"/>
  <c r="F625" i="1"/>
  <c r="E625" i="1"/>
  <c r="D625" i="1"/>
  <c r="C625" i="1"/>
  <c r="I624" i="1"/>
  <c r="H624" i="1"/>
  <c r="G624" i="1"/>
  <c r="F624" i="1"/>
  <c r="E624" i="1"/>
  <c r="D624" i="1"/>
  <c r="C624" i="1"/>
  <c r="I623" i="1"/>
  <c r="H623" i="1"/>
  <c r="G623" i="1"/>
  <c r="F623" i="1"/>
  <c r="E623" i="1"/>
  <c r="D623" i="1"/>
  <c r="C623" i="1"/>
  <c r="I622" i="1"/>
  <c r="H622" i="1"/>
  <c r="G622" i="1"/>
  <c r="F622" i="1"/>
  <c r="E622" i="1"/>
  <c r="D622" i="1"/>
  <c r="C622" i="1"/>
  <c r="I621" i="1"/>
  <c r="H621" i="1"/>
  <c r="G621" i="1"/>
  <c r="F621" i="1"/>
  <c r="E621" i="1"/>
  <c r="D621" i="1"/>
  <c r="C621" i="1"/>
  <c r="I620" i="1"/>
  <c r="H620" i="1"/>
  <c r="G620" i="1"/>
  <c r="F620" i="1"/>
  <c r="E620" i="1"/>
  <c r="D620" i="1"/>
  <c r="C620" i="1"/>
  <c r="I619" i="1"/>
  <c r="H619" i="1"/>
  <c r="G619" i="1"/>
  <c r="F619" i="1"/>
  <c r="E619" i="1"/>
  <c r="D619" i="1"/>
  <c r="C619" i="1"/>
  <c r="I618" i="1"/>
  <c r="H618" i="1"/>
  <c r="G618" i="1"/>
  <c r="F618" i="1"/>
  <c r="E618" i="1"/>
  <c r="D618" i="1"/>
  <c r="C618" i="1"/>
  <c r="I617" i="1"/>
  <c r="H617" i="1"/>
  <c r="G617" i="1"/>
  <c r="F617" i="1"/>
  <c r="E617" i="1"/>
  <c r="D617" i="1"/>
  <c r="C617" i="1"/>
  <c r="I616" i="1"/>
  <c r="H616" i="1"/>
  <c r="G616" i="1"/>
  <c r="F616" i="1"/>
  <c r="E616" i="1"/>
  <c r="D616" i="1"/>
  <c r="C616" i="1"/>
  <c r="I615" i="1"/>
  <c r="H615" i="1"/>
  <c r="G615" i="1"/>
  <c r="F615" i="1"/>
  <c r="E615" i="1"/>
  <c r="D615" i="1"/>
  <c r="C615" i="1"/>
  <c r="I614" i="1"/>
  <c r="H614" i="1"/>
  <c r="G614" i="1"/>
  <c r="F614" i="1"/>
  <c r="E614" i="1"/>
  <c r="D614" i="1"/>
  <c r="C614" i="1"/>
  <c r="I613" i="1"/>
  <c r="H613" i="1"/>
  <c r="G613" i="1"/>
  <c r="F613" i="1"/>
  <c r="E613" i="1"/>
  <c r="D613" i="1"/>
  <c r="C613" i="1"/>
  <c r="I612" i="1"/>
  <c r="H612" i="1"/>
  <c r="G612" i="1"/>
  <c r="F612" i="1"/>
  <c r="E612" i="1"/>
  <c r="D612" i="1"/>
  <c r="C612" i="1"/>
  <c r="I611" i="1"/>
  <c r="H611" i="1"/>
  <c r="G611" i="1"/>
  <c r="F611" i="1"/>
  <c r="E611" i="1"/>
  <c r="D611" i="1"/>
  <c r="C611" i="1"/>
  <c r="I610" i="1"/>
  <c r="H610" i="1"/>
  <c r="G610" i="1"/>
  <c r="F610" i="1"/>
  <c r="E610" i="1"/>
  <c r="D610" i="1"/>
  <c r="C610" i="1"/>
  <c r="I609" i="1"/>
  <c r="H609" i="1"/>
  <c r="G609" i="1"/>
  <c r="F609" i="1"/>
  <c r="E609" i="1"/>
  <c r="D609" i="1"/>
  <c r="C609" i="1"/>
  <c r="I608" i="1"/>
  <c r="H608" i="1"/>
  <c r="G608" i="1"/>
  <c r="F608" i="1"/>
  <c r="E608" i="1"/>
  <c r="D608" i="1"/>
  <c r="C608" i="1"/>
  <c r="I607" i="1"/>
  <c r="H607" i="1"/>
  <c r="G607" i="1"/>
  <c r="F607" i="1"/>
  <c r="E607" i="1"/>
  <c r="D607" i="1"/>
  <c r="C607" i="1"/>
  <c r="I606" i="1"/>
  <c r="H606" i="1"/>
  <c r="G606" i="1"/>
  <c r="F606" i="1"/>
  <c r="E606" i="1"/>
  <c r="D606" i="1"/>
  <c r="C606" i="1"/>
  <c r="I605" i="1"/>
  <c r="H605" i="1"/>
  <c r="G605" i="1"/>
  <c r="F605" i="1"/>
  <c r="E605" i="1"/>
  <c r="D605" i="1"/>
  <c r="C605" i="1"/>
  <c r="I604" i="1"/>
  <c r="H604" i="1"/>
  <c r="G604" i="1"/>
  <c r="F604" i="1"/>
  <c r="E604" i="1"/>
  <c r="D604" i="1"/>
  <c r="C604" i="1"/>
  <c r="I603" i="1"/>
  <c r="H603" i="1"/>
  <c r="G603" i="1"/>
  <c r="F603" i="1"/>
  <c r="E603" i="1"/>
  <c r="D603" i="1"/>
  <c r="C603" i="1"/>
  <c r="I602" i="1"/>
  <c r="H602" i="1"/>
  <c r="G602" i="1"/>
  <c r="F602" i="1"/>
  <c r="E602" i="1"/>
  <c r="D602" i="1"/>
  <c r="C602" i="1"/>
  <c r="I601" i="1"/>
  <c r="H601" i="1"/>
  <c r="G601" i="1"/>
  <c r="F601" i="1"/>
  <c r="E601" i="1"/>
  <c r="D601" i="1"/>
  <c r="C601" i="1"/>
  <c r="I600" i="1"/>
  <c r="H600" i="1"/>
  <c r="G600" i="1"/>
  <c r="F600" i="1"/>
  <c r="E600" i="1"/>
  <c r="D600" i="1"/>
  <c r="C600" i="1"/>
  <c r="I599" i="1"/>
  <c r="H599" i="1"/>
  <c r="G599" i="1"/>
  <c r="F599" i="1"/>
  <c r="E599" i="1"/>
  <c r="D599" i="1"/>
  <c r="C599" i="1"/>
  <c r="I598" i="1"/>
  <c r="H598" i="1"/>
  <c r="G598" i="1"/>
  <c r="F598" i="1"/>
  <c r="E598" i="1"/>
  <c r="D598" i="1"/>
  <c r="C598" i="1"/>
  <c r="I597" i="1"/>
  <c r="H597" i="1"/>
  <c r="G597" i="1"/>
  <c r="F597" i="1"/>
  <c r="E597" i="1"/>
  <c r="D597" i="1"/>
  <c r="C597" i="1"/>
  <c r="I596" i="1"/>
  <c r="H596" i="1"/>
  <c r="G596" i="1"/>
  <c r="F596" i="1"/>
  <c r="E596" i="1"/>
  <c r="D596" i="1"/>
  <c r="C596" i="1"/>
  <c r="I595" i="1"/>
  <c r="H595" i="1"/>
  <c r="G595" i="1"/>
  <c r="F595" i="1"/>
  <c r="E595" i="1"/>
  <c r="D595" i="1"/>
  <c r="C595" i="1"/>
  <c r="I594" i="1"/>
  <c r="H594" i="1"/>
  <c r="G594" i="1"/>
  <c r="F594" i="1"/>
  <c r="E594" i="1"/>
  <c r="D594" i="1"/>
  <c r="C594" i="1"/>
  <c r="I593" i="1"/>
  <c r="H593" i="1"/>
  <c r="G593" i="1"/>
  <c r="F593" i="1"/>
  <c r="E593" i="1"/>
  <c r="D593" i="1"/>
  <c r="C593" i="1"/>
  <c r="I592" i="1"/>
  <c r="H592" i="1"/>
  <c r="G592" i="1"/>
  <c r="F592" i="1"/>
  <c r="E592" i="1"/>
  <c r="D592" i="1"/>
  <c r="C592" i="1"/>
  <c r="I591" i="1"/>
  <c r="H591" i="1"/>
  <c r="G591" i="1"/>
  <c r="F591" i="1"/>
  <c r="E591" i="1"/>
  <c r="D591" i="1"/>
  <c r="C591" i="1"/>
  <c r="I590" i="1"/>
  <c r="H590" i="1"/>
  <c r="G590" i="1"/>
  <c r="F590" i="1"/>
  <c r="E590" i="1"/>
  <c r="D590" i="1"/>
  <c r="C590" i="1"/>
  <c r="I589" i="1"/>
  <c r="H589" i="1"/>
  <c r="G589" i="1"/>
  <c r="F589" i="1"/>
  <c r="E589" i="1"/>
  <c r="D589" i="1"/>
  <c r="C589" i="1"/>
  <c r="I588" i="1"/>
  <c r="H588" i="1"/>
  <c r="G588" i="1"/>
  <c r="F588" i="1"/>
  <c r="E588" i="1"/>
  <c r="D588" i="1"/>
  <c r="C588" i="1"/>
  <c r="I587" i="1"/>
  <c r="H587" i="1"/>
  <c r="G587" i="1"/>
  <c r="F587" i="1"/>
  <c r="E587" i="1"/>
  <c r="D587" i="1"/>
  <c r="C587" i="1"/>
  <c r="I586" i="1"/>
  <c r="H586" i="1"/>
  <c r="G586" i="1"/>
  <c r="F586" i="1"/>
  <c r="E586" i="1"/>
  <c r="D586" i="1"/>
  <c r="C586" i="1"/>
  <c r="I585" i="1"/>
  <c r="H585" i="1"/>
  <c r="G585" i="1"/>
  <c r="F585" i="1"/>
  <c r="E585" i="1"/>
  <c r="D585" i="1"/>
  <c r="C585" i="1"/>
  <c r="I584" i="1"/>
  <c r="H584" i="1"/>
  <c r="G584" i="1"/>
  <c r="F584" i="1"/>
  <c r="E584" i="1"/>
  <c r="D584" i="1"/>
  <c r="C584" i="1"/>
  <c r="I583" i="1"/>
  <c r="H583" i="1"/>
  <c r="G583" i="1"/>
  <c r="F583" i="1"/>
  <c r="E583" i="1"/>
  <c r="D583" i="1"/>
  <c r="C583" i="1"/>
  <c r="I582" i="1"/>
  <c r="H582" i="1"/>
  <c r="G582" i="1"/>
  <c r="F582" i="1"/>
  <c r="E582" i="1"/>
  <c r="D582" i="1"/>
  <c r="C582" i="1"/>
  <c r="I581" i="1"/>
  <c r="H581" i="1"/>
  <c r="G581" i="1"/>
  <c r="F581" i="1"/>
  <c r="E581" i="1"/>
  <c r="D581" i="1"/>
  <c r="C581" i="1"/>
  <c r="I580" i="1"/>
  <c r="H580" i="1"/>
  <c r="G580" i="1"/>
  <c r="F580" i="1"/>
  <c r="E580" i="1"/>
  <c r="D580" i="1"/>
  <c r="C580" i="1"/>
  <c r="I579" i="1"/>
  <c r="H579" i="1"/>
  <c r="G579" i="1"/>
  <c r="F579" i="1"/>
  <c r="E579" i="1"/>
  <c r="D579" i="1"/>
  <c r="C579" i="1"/>
  <c r="I578" i="1"/>
  <c r="H578" i="1"/>
  <c r="G578" i="1"/>
  <c r="F578" i="1"/>
  <c r="E578" i="1"/>
  <c r="D578" i="1"/>
  <c r="C578" i="1"/>
  <c r="I577" i="1"/>
  <c r="H577" i="1"/>
  <c r="G577" i="1"/>
  <c r="F577" i="1"/>
  <c r="E577" i="1"/>
  <c r="D577" i="1"/>
  <c r="C577" i="1"/>
  <c r="I576" i="1"/>
  <c r="H576" i="1"/>
  <c r="G576" i="1"/>
  <c r="F576" i="1"/>
  <c r="E576" i="1"/>
  <c r="D576" i="1"/>
  <c r="C576" i="1"/>
  <c r="I575" i="1"/>
  <c r="H575" i="1"/>
  <c r="G575" i="1"/>
  <c r="F575" i="1"/>
  <c r="E575" i="1"/>
  <c r="D575" i="1"/>
  <c r="C575" i="1"/>
  <c r="I574" i="1"/>
  <c r="H574" i="1"/>
  <c r="G574" i="1"/>
  <c r="F574" i="1"/>
  <c r="E574" i="1"/>
  <c r="D574" i="1"/>
  <c r="C574" i="1"/>
  <c r="I573" i="1"/>
  <c r="H573" i="1"/>
  <c r="G573" i="1"/>
  <c r="F573" i="1"/>
  <c r="E573" i="1"/>
  <c r="D573" i="1"/>
  <c r="C573" i="1"/>
  <c r="I572" i="1"/>
  <c r="H572" i="1"/>
  <c r="G572" i="1"/>
  <c r="F572" i="1"/>
  <c r="E572" i="1"/>
  <c r="D572" i="1"/>
  <c r="C572" i="1"/>
  <c r="I571" i="1"/>
  <c r="H571" i="1"/>
  <c r="G571" i="1"/>
  <c r="F571" i="1"/>
  <c r="E571" i="1"/>
  <c r="D571" i="1"/>
  <c r="C571" i="1"/>
  <c r="I570" i="1"/>
  <c r="H570" i="1"/>
  <c r="G570" i="1"/>
  <c r="F570" i="1"/>
  <c r="E570" i="1"/>
  <c r="D570" i="1"/>
  <c r="C570" i="1"/>
  <c r="I569" i="1"/>
  <c r="H569" i="1"/>
  <c r="G569" i="1"/>
  <c r="F569" i="1"/>
  <c r="E569" i="1"/>
  <c r="D569" i="1"/>
  <c r="C569" i="1"/>
  <c r="I568" i="1"/>
  <c r="H568" i="1"/>
  <c r="G568" i="1"/>
  <c r="F568" i="1"/>
  <c r="E568" i="1"/>
  <c r="D568" i="1"/>
  <c r="C568" i="1"/>
  <c r="I567" i="1"/>
  <c r="H567" i="1"/>
  <c r="G567" i="1"/>
  <c r="F567" i="1"/>
  <c r="E567" i="1"/>
  <c r="D567" i="1"/>
  <c r="C567" i="1"/>
  <c r="I566" i="1"/>
  <c r="H566" i="1"/>
  <c r="G566" i="1"/>
  <c r="F566" i="1"/>
  <c r="E566" i="1"/>
  <c r="D566" i="1"/>
  <c r="C566" i="1"/>
  <c r="I565" i="1"/>
  <c r="H565" i="1"/>
  <c r="G565" i="1"/>
  <c r="F565" i="1"/>
  <c r="E565" i="1"/>
  <c r="D565" i="1"/>
  <c r="C565" i="1"/>
  <c r="I564" i="1"/>
  <c r="H564" i="1"/>
  <c r="G564" i="1"/>
  <c r="F564" i="1"/>
  <c r="E564" i="1"/>
  <c r="D564" i="1"/>
  <c r="C564" i="1"/>
  <c r="I563" i="1"/>
  <c r="H563" i="1"/>
  <c r="G563" i="1"/>
  <c r="F563" i="1"/>
  <c r="E563" i="1"/>
  <c r="D563" i="1"/>
  <c r="C563" i="1"/>
  <c r="I562" i="1"/>
  <c r="H562" i="1"/>
  <c r="G562" i="1"/>
  <c r="F562" i="1"/>
  <c r="E562" i="1"/>
  <c r="D562" i="1"/>
  <c r="C562" i="1"/>
  <c r="I561" i="1"/>
  <c r="H561" i="1"/>
  <c r="G561" i="1"/>
  <c r="F561" i="1"/>
  <c r="E561" i="1"/>
  <c r="D561" i="1"/>
  <c r="C561" i="1"/>
  <c r="I560" i="1"/>
  <c r="H560" i="1"/>
  <c r="G560" i="1"/>
  <c r="F560" i="1"/>
  <c r="E560" i="1"/>
  <c r="D560" i="1"/>
  <c r="C560" i="1"/>
  <c r="I559" i="1"/>
  <c r="H559" i="1"/>
  <c r="G559" i="1"/>
  <c r="F559" i="1"/>
  <c r="E559" i="1"/>
  <c r="D559" i="1"/>
  <c r="C559" i="1"/>
  <c r="I558" i="1"/>
  <c r="H558" i="1"/>
  <c r="G558" i="1"/>
  <c r="F558" i="1"/>
  <c r="E558" i="1"/>
  <c r="D558" i="1"/>
  <c r="C558" i="1"/>
  <c r="I557" i="1"/>
  <c r="H557" i="1"/>
  <c r="G557" i="1"/>
  <c r="F557" i="1"/>
  <c r="E557" i="1"/>
  <c r="D557" i="1"/>
  <c r="C557" i="1"/>
  <c r="I556" i="1"/>
  <c r="H556" i="1"/>
  <c r="G556" i="1"/>
  <c r="F556" i="1"/>
  <c r="E556" i="1"/>
  <c r="D556" i="1"/>
  <c r="C556" i="1"/>
  <c r="I555" i="1"/>
  <c r="H555" i="1"/>
  <c r="G555" i="1"/>
  <c r="F555" i="1"/>
  <c r="E555" i="1"/>
  <c r="D555" i="1"/>
  <c r="C555" i="1"/>
  <c r="I554" i="1"/>
  <c r="H554" i="1"/>
  <c r="G554" i="1"/>
  <c r="F554" i="1"/>
  <c r="E554" i="1"/>
  <c r="D554" i="1"/>
  <c r="C554" i="1"/>
  <c r="I553" i="1"/>
  <c r="H553" i="1"/>
  <c r="G553" i="1"/>
  <c r="F553" i="1"/>
  <c r="E553" i="1"/>
  <c r="D553" i="1"/>
  <c r="C553" i="1"/>
  <c r="I552" i="1"/>
  <c r="H552" i="1"/>
  <c r="G552" i="1"/>
  <c r="F552" i="1"/>
  <c r="E552" i="1"/>
  <c r="D552" i="1"/>
  <c r="C552" i="1"/>
  <c r="I551" i="1"/>
  <c r="H551" i="1"/>
  <c r="G551" i="1"/>
  <c r="F551" i="1"/>
  <c r="E551" i="1"/>
  <c r="D551" i="1"/>
  <c r="C551" i="1"/>
  <c r="I550" i="1"/>
  <c r="H550" i="1"/>
  <c r="G550" i="1"/>
  <c r="F550" i="1"/>
  <c r="E550" i="1"/>
  <c r="D550" i="1"/>
  <c r="C550" i="1"/>
  <c r="I549" i="1"/>
  <c r="H549" i="1"/>
  <c r="G549" i="1"/>
  <c r="F549" i="1"/>
  <c r="E549" i="1"/>
  <c r="D549" i="1"/>
  <c r="C549" i="1"/>
  <c r="I548" i="1"/>
  <c r="H548" i="1"/>
  <c r="G548" i="1"/>
  <c r="F548" i="1"/>
  <c r="E548" i="1"/>
  <c r="D548" i="1"/>
  <c r="C548" i="1"/>
  <c r="I547" i="1"/>
  <c r="H547" i="1"/>
  <c r="G547" i="1"/>
  <c r="F547" i="1"/>
  <c r="E547" i="1"/>
  <c r="D547" i="1"/>
  <c r="C547" i="1"/>
  <c r="I546" i="1"/>
  <c r="H546" i="1"/>
  <c r="G546" i="1"/>
  <c r="F546" i="1"/>
  <c r="E546" i="1"/>
  <c r="D546" i="1"/>
  <c r="C546" i="1"/>
  <c r="I545" i="1"/>
  <c r="H545" i="1"/>
  <c r="G545" i="1"/>
  <c r="F545" i="1"/>
  <c r="E545" i="1"/>
  <c r="D545" i="1"/>
  <c r="C545" i="1"/>
  <c r="I544" i="1"/>
  <c r="H544" i="1"/>
  <c r="G544" i="1"/>
  <c r="F544" i="1"/>
  <c r="E544" i="1"/>
  <c r="D544" i="1"/>
  <c r="C544" i="1"/>
  <c r="I543" i="1"/>
  <c r="H543" i="1"/>
  <c r="G543" i="1"/>
  <c r="F543" i="1"/>
  <c r="E543" i="1"/>
  <c r="D543" i="1"/>
  <c r="C543" i="1"/>
  <c r="I542" i="1"/>
  <c r="H542" i="1"/>
  <c r="G542" i="1"/>
  <c r="F542" i="1"/>
  <c r="E542" i="1"/>
  <c r="D542" i="1"/>
  <c r="C542" i="1"/>
  <c r="I541" i="1"/>
  <c r="H541" i="1"/>
  <c r="G541" i="1"/>
  <c r="F541" i="1"/>
  <c r="E541" i="1"/>
  <c r="D541" i="1"/>
  <c r="C541" i="1"/>
  <c r="I540" i="1"/>
  <c r="H540" i="1"/>
  <c r="G540" i="1"/>
  <c r="F540" i="1"/>
  <c r="E540" i="1"/>
  <c r="D540" i="1"/>
  <c r="C540" i="1"/>
  <c r="I539" i="1"/>
  <c r="H539" i="1"/>
  <c r="G539" i="1"/>
  <c r="F539" i="1"/>
  <c r="E539" i="1"/>
  <c r="D539" i="1"/>
  <c r="C539" i="1"/>
  <c r="I538" i="1"/>
  <c r="H538" i="1"/>
  <c r="G538" i="1"/>
  <c r="F538" i="1"/>
  <c r="E538" i="1"/>
  <c r="D538" i="1"/>
  <c r="C538" i="1"/>
  <c r="I537" i="1"/>
  <c r="H537" i="1"/>
  <c r="G537" i="1"/>
  <c r="F537" i="1"/>
  <c r="E537" i="1"/>
  <c r="D537" i="1"/>
  <c r="C537" i="1"/>
  <c r="I536" i="1"/>
  <c r="H536" i="1"/>
  <c r="G536" i="1"/>
  <c r="F536" i="1"/>
  <c r="E536" i="1"/>
  <c r="D536" i="1"/>
  <c r="C536" i="1"/>
  <c r="I535" i="1"/>
  <c r="H535" i="1"/>
  <c r="G535" i="1"/>
  <c r="F535" i="1"/>
  <c r="E535" i="1"/>
  <c r="D535" i="1"/>
  <c r="C535" i="1"/>
  <c r="I534" i="1"/>
  <c r="H534" i="1"/>
  <c r="G534" i="1"/>
  <c r="F534" i="1"/>
  <c r="E534" i="1"/>
  <c r="D534" i="1"/>
  <c r="C534" i="1"/>
  <c r="I533" i="1"/>
  <c r="H533" i="1"/>
  <c r="G533" i="1"/>
  <c r="F533" i="1"/>
  <c r="E533" i="1"/>
  <c r="D533" i="1"/>
  <c r="C533" i="1"/>
  <c r="I532" i="1"/>
  <c r="H532" i="1"/>
  <c r="G532" i="1"/>
  <c r="F532" i="1"/>
  <c r="E532" i="1"/>
  <c r="D532" i="1"/>
  <c r="C532" i="1"/>
  <c r="I531" i="1"/>
  <c r="H531" i="1"/>
  <c r="G531" i="1"/>
  <c r="F531" i="1"/>
  <c r="E531" i="1"/>
  <c r="D531" i="1"/>
  <c r="C531" i="1"/>
  <c r="I530" i="1"/>
  <c r="H530" i="1"/>
  <c r="G530" i="1"/>
  <c r="F530" i="1"/>
  <c r="E530" i="1"/>
  <c r="D530" i="1"/>
  <c r="C530" i="1"/>
  <c r="I529" i="1"/>
  <c r="H529" i="1"/>
  <c r="G529" i="1"/>
  <c r="F529" i="1"/>
  <c r="E529" i="1"/>
  <c r="D529" i="1"/>
  <c r="C529" i="1"/>
  <c r="I528" i="1"/>
  <c r="H528" i="1"/>
  <c r="G528" i="1"/>
  <c r="F528" i="1"/>
  <c r="E528" i="1"/>
  <c r="D528" i="1"/>
  <c r="C528" i="1"/>
  <c r="I527" i="1"/>
  <c r="H527" i="1"/>
  <c r="G527" i="1"/>
  <c r="F527" i="1"/>
  <c r="E527" i="1"/>
  <c r="D527" i="1"/>
  <c r="C527" i="1"/>
  <c r="I526" i="1"/>
  <c r="H526" i="1"/>
  <c r="G526" i="1"/>
  <c r="F526" i="1"/>
  <c r="E526" i="1"/>
  <c r="D526" i="1"/>
  <c r="C526" i="1"/>
  <c r="I525" i="1"/>
  <c r="H525" i="1"/>
  <c r="G525" i="1"/>
  <c r="F525" i="1"/>
  <c r="E525" i="1"/>
  <c r="D525" i="1"/>
  <c r="C525" i="1"/>
  <c r="I524" i="1"/>
  <c r="H524" i="1"/>
  <c r="G524" i="1"/>
  <c r="F524" i="1"/>
  <c r="E524" i="1"/>
  <c r="D524" i="1"/>
  <c r="C524" i="1"/>
  <c r="I523" i="1"/>
  <c r="H523" i="1"/>
  <c r="G523" i="1"/>
  <c r="F523" i="1"/>
  <c r="E523" i="1"/>
  <c r="D523" i="1"/>
  <c r="C523" i="1"/>
  <c r="I522" i="1"/>
  <c r="H522" i="1"/>
  <c r="G522" i="1"/>
  <c r="F522" i="1"/>
  <c r="E522" i="1"/>
  <c r="D522" i="1"/>
  <c r="C522" i="1"/>
  <c r="I521" i="1"/>
  <c r="H521" i="1"/>
  <c r="G521" i="1"/>
  <c r="F521" i="1"/>
  <c r="E521" i="1"/>
  <c r="D521" i="1"/>
  <c r="C521" i="1"/>
  <c r="I520" i="1"/>
  <c r="H520" i="1"/>
  <c r="G520" i="1"/>
  <c r="F520" i="1"/>
  <c r="E520" i="1"/>
  <c r="D520" i="1"/>
  <c r="C520" i="1"/>
  <c r="I519" i="1"/>
  <c r="H519" i="1"/>
  <c r="G519" i="1"/>
  <c r="F519" i="1"/>
  <c r="E519" i="1"/>
  <c r="D519" i="1"/>
  <c r="C519" i="1"/>
  <c r="I518" i="1"/>
  <c r="H518" i="1"/>
  <c r="G518" i="1"/>
  <c r="F518" i="1"/>
  <c r="E518" i="1"/>
  <c r="D518" i="1"/>
  <c r="C518" i="1"/>
  <c r="I517" i="1"/>
  <c r="H517" i="1"/>
  <c r="G517" i="1"/>
  <c r="F517" i="1"/>
  <c r="E517" i="1"/>
  <c r="D517" i="1"/>
  <c r="C517" i="1"/>
  <c r="I516" i="1"/>
  <c r="H516" i="1"/>
  <c r="G516" i="1"/>
  <c r="F516" i="1"/>
  <c r="E516" i="1"/>
  <c r="D516" i="1"/>
  <c r="C516" i="1"/>
  <c r="I515" i="1"/>
  <c r="H515" i="1"/>
  <c r="G515" i="1"/>
  <c r="F515" i="1"/>
  <c r="E515" i="1"/>
  <c r="D515" i="1"/>
  <c r="C515" i="1"/>
  <c r="I514" i="1"/>
  <c r="H514" i="1"/>
  <c r="G514" i="1"/>
  <c r="F514" i="1"/>
  <c r="E514" i="1"/>
  <c r="D514" i="1"/>
  <c r="C514" i="1"/>
  <c r="I513" i="1"/>
  <c r="H513" i="1"/>
  <c r="G513" i="1"/>
  <c r="F513" i="1"/>
  <c r="E513" i="1"/>
  <c r="D513" i="1"/>
  <c r="C513" i="1"/>
  <c r="I512" i="1"/>
  <c r="H512" i="1"/>
  <c r="G512" i="1"/>
  <c r="F512" i="1"/>
  <c r="E512" i="1"/>
  <c r="D512" i="1"/>
  <c r="C512" i="1"/>
  <c r="I511" i="1"/>
  <c r="H511" i="1"/>
  <c r="G511" i="1"/>
  <c r="F511" i="1"/>
  <c r="E511" i="1"/>
  <c r="D511" i="1"/>
  <c r="C511" i="1"/>
  <c r="I510" i="1"/>
  <c r="H510" i="1"/>
  <c r="G510" i="1"/>
  <c r="F510" i="1"/>
  <c r="E510" i="1"/>
  <c r="D510" i="1"/>
  <c r="C510" i="1"/>
  <c r="I509" i="1"/>
  <c r="H509" i="1"/>
  <c r="G509" i="1"/>
  <c r="F509" i="1"/>
  <c r="E509" i="1"/>
  <c r="D509" i="1"/>
  <c r="C509" i="1"/>
  <c r="I508" i="1"/>
  <c r="H508" i="1"/>
  <c r="G508" i="1"/>
  <c r="F508" i="1"/>
  <c r="E508" i="1"/>
  <c r="D508" i="1"/>
  <c r="C508" i="1"/>
  <c r="I507" i="1"/>
  <c r="H507" i="1"/>
  <c r="G507" i="1"/>
  <c r="F507" i="1"/>
  <c r="E507" i="1"/>
  <c r="D507" i="1"/>
  <c r="C507" i="1"/>
  <c r="I506" i="1"/>
  <c r="H506" i="1"/>
  <c r="G506" i="1"/>
  <c r="F506" i="1"/>
  <c r="E506" i="1"/>
  <c r="D506" i="1"/>
  <c r="C506" i="1"/>
  <c r="I505" i="1"/>
  <c r="H505" i="1"/>
  <c r="G505" i="1"/>
  <c r="F505" i="1"/>
  <c r="E505" i="1"/>
  <c r="D505" i="1"/>
  <c r="C505" i="1"/>
  <c r="I504" i="1"/>
  <c r="H504" i="1"/>
  <c r="G504" i="1"/>
  <c r="F504" i="1"/>
  <c r="E504" i="1"/>
  <c r="D504" i="1"/>
  <c r="C504" i="1"/>
  <c r="I503" i="1"/>
  <c r="H503" i="1"/>
  <c r="G503" i="1"/>
  <c r="F503" i="1"/>
  <c r="E503" i="1"/>
  <c r="D503" i="1"/>
  <c r="C503" i="1"/>
  <c r="I502" i="1"/>
  <c r="H502" i="1"/>
  <c r="G502" i="1"/>
  <c r="F502" i="1"/>
  <c r="E502" i="1"/>
  <c r="D502" i="1"/>
  <c r="C502" i="1"/>
  <c r="I501" i="1"/>
  <c r="H501" i="1"/>
  <c r="G501" i="1"/>
  <c r="F501" i="1"/>
  <c r="E501" i="1"/>
  <c r="D501" i="1"/>
  <c r="C501" i="1"/>
  <c r="I500" i="1"/>
  <c r="H500" i="1"/>
  <c r="G500" i="1"/>
  <c r="F500" i="1"/>
  <c r="E500" i="1"/>
  <c r="D500" i="1"/>
  <c r="C500" i="1"/>
  <c r="I499" i="1"/>
  <c r="H499" i="1"/>
  <c r="G499" i="1"/>
  <c r="F499" i="1"/>
  <c r="E499" i="1"/>
  <c r="D499" i="1"/>
  <c r="C499" i="1"/>
  <c r="I498" i="1"/>
  <c r="H498" i="1"/>
  <c r="G498" i="1"/>
  <c r="F498" i="1"/>
  <c r="E498" i="1"/>
  <c r="D498" i="1"/>
  <c r="C498" i="1"/>
  <c r="I497" i="1"/>
  <c r="H497" i="1"/>
  <c r="G497" i="1"/>
  <c r="F497" i="1"/>
  <c r="E497" i="1"/>
  <c r="D497" i="1"/>
  <c r="C497" i="1"/>
  <c r="I496" i="1"/>
  <c r="H496" i="1"/>
  <c r="G496" i="1"/>
  <c r="F496" i="1"/>
  <c r="E496" i="1"/>
  <c r="D496" i="1"/>
  <c r="C496" i="1"/>
  <c r="I495" i="1"/>
  <c r="H495" i="1"/>
  <c r="G495" i="1"/>
  <c r="F495" i="1"/>
  <c r="E495" i="1"/>
  <c r="D495" i="1"/>
  <c r="C495" i="1"/>
  <c r="I494" i="1"/>
  <c r="H494" i="1"/>
  <c r="G494" i="1"/>
  <c r="F494" i="1"/>
  <c r="E494" i="1"/>
  <c r="D494" i="1"/>
  <c r="C494" i="1"/>
  <c r="I493" i="1"/>
  <c r="H493" i="1"/>
  <c r="G493" i="1"/>
  <c r="F493" i="1"/>
  <c r="E493" i="1"/>
  <c r="D493" i="1"/>
  <c r="C493" i="1"/>
  <c r="I492" i="1"/>
  <c r="H492" i="1"/>
  <c r="G492" i="1"/>
  <c r="F492" i="1"/>
  <c r="E492" i="1"/>
  <c r="D492" i="1"/>
  <c r="C492" i="1"/>
  <c r="I491" i="1"/>
  <c r="H491" i="1"/>
  <c r="G491" i="1"/>
  <c r="F491" i="1"/>
  <c r="E491" i="1"/>
  <c r="D491" i="1"/>
  <c r="C491" i="1"/>
  <c r="I490" i="1"/>
  <c r="H490" i="1"/>
  <c r="G490" i="1"/>
  <c r="F490" i="1"/>
  <c r="E490" i="1"/>
  <c r="D490" i="1"/>
  <c r="C490" i="1"/>
  <c r="I489" i="1"/>
  <c r="H489" i="1"/>
  <c r="G489" i="1"/>
  <c r="F489" i="1"/>
  <c r="E489" i="1"/>
  <c r="D489" i="1"/>
  <c r="C489" i="1"/>
  <c r="I488" i="1"/>
  <c r="H488" i="1"/>
  <c r="G488" i="1"/>
  <c r="F488" i="1"/>
  <c r="E488" i="1"/>
  <c r="D488" i="1"/>
  <c r="C488" i="1"/>
  <c r="I487" i="1"/>
  <c r="H487" i="1"/>
  <c r="G487" i="1"/>
  <c r="F487" i="1"/>
  <c r="E487" i="1"/>
  <c r="D487" i="1"/>
  <c r="C487" i="1"/>
  <c r="I486" i="1"/>
  <c r="H486" i="1"/>
  <c r="G486" i="1"/>
  <c r="F486" i="1"/>
  <c r="E486" i="1"/>
  <c r="D486" i="1"/>
  <c r="C486" i="1"/>
  <c r="I485" i="1"/>
  <c r="H485" i="1"/>
  <c r="G485" i="1"/>
  <c r="F485" i="1"/>
  <c r="E485" i="1"/>
  <c r="D485" i="1"/>
  <c r="C485" i="1"/>
  <c r="I484" i="1"/>
  <c r="H484" i="1"/>
  <c r="G484" i="1"/>
  <c r="F484" i="1"/>
  <c r="E484" i="1"/>
  <c r="D484" i="1"/>
  <c r="C484" i="1"/>
  <c r="I483" i="1"/>
  <c r="H483" i="1"/>
  <c r="G483" i="1"/>
  <c r="F483" i="1"/>
  <c r="E483" i="1"/>
  <c r="D483" i="1"/>
  <c r="C483" i="1"/>
  <c r="I482" i="1"/>
  <c r="H482" i="1"/>
  <c r="G482" i="1"/>
  <c r="F482" i="1"/>
  <c r="E482" i="1"/>
  <c r="D482" i="1"/>
  <c r="C482" i="1"/>
  <c r="I481" i="1"/>
  <c r="H481" i="1"/>
  <c r="G481" i="1"/>
  <c r="F481" i="1"/>
  <c r="E481" i="1"/>
  <c r="D481" i="1"/>
  <c r="C481" i="1"/>
  <c r="I480" i="1"/>
  <c r="H480" i="1"/>
  <c r="G480" i="1"/>
  <c r="F480" i="1"/>
  <c r="E480" i="1"/>
  <c r="D480" i="1"/>
  <c r="C480" i="1"/>
  <c r="I479" i="1"/>
  <c r="H479" i="1"/>
  <c r="G479" i="1"/>
  <c r="F479" i="1"/>
  <c r="E479" i="1"/>
  <c r="D479" i="1"/>
  <c r="C479" i="1"/>
  <c r="I478" i="1"/>
  <c r="H478" i="1"/>
  <c r="G478" i="1"/>
  <c r="F478" i="1"/>
  <c r="E478" i="1"/>
  <c r="D478" i="1"/>
  <c r="C478" i="1"/>
  <c r="I477" i="1"/>
  <c r="H477" i="1"/>
  <c r="G477" i="1"/>
  <c r="F477" i="1"/>
  <c r="E477" i="1"/>
  <c r="D477" i="1"/>
  <c r="C477" i="1"/>
  <c r="I476" i="1"/>
  <c r="H476" i="1"/>
  <c r="G476" i="1"/>
  <c r="F476" i="1"/>
  <c r="E476" i="1"/>
  <c r="D476" i="1"/>
  <c r="C476" i="1"/>
  <c r="I475" i="1"/>
  <c r="H475" i="1"/>
  <c r="G475" i="1"/>
  <c r="F475" i="1"/>
  <c r="E475" i="1"/>
  <c r="D475" i="1"/>
  <c r="C475" i="1"/>
  <c r="I474" i="1"/>
  <c r="H474" i="1"/>
  <c r="G474" i="1"/>
  <c r="F474" i="1"/>
  <c r="E474" i="1"/>
  <c r="D474" i="1"/>
  <c r="C474" i="1"/>
  <c r="I473" i="1"/>
  <c r="H473" i="1"/>
  <c r="G473" i="1"/>
  <c r="F473" i="1"/>
  <c r="E473" i="1"/>
  <c r="D473" i="1"/>
  <c r="C473" i="1"/>
  <c r="I472" i="1"/>
  <c r="H472" i="1"/>
  <c r="G472" i="1"/>
  <c r="F472" i="1"/>
  <c r="E472" i="1"/>
  <c r="D472" i="1"/>
  <c r="C472" i="1"/>
  <c r="I471" i="1"/>
  <c r="H471" i="1"/>
  <c r="G471" i="1"/>
  <c r="F471" i="1"/>
  <c r="E471" i="1"/>
  <c r="D471" i="1"/>
  <c r="C471" i="1"/>
  <c r="I470" i="1"/>
  <c r="H470" i="1"/>
  <c r="G470" i="1"/>
  <c r="F470" i="1"/>
  <c r="E470" i="1"/>
  <c r="D470" i="1"/>
  <c r="C470" i="1"/>
  <c r="I469" i="1"/>
  <c r="H469" i="1"/>
  <c r="G469" i="1"/>
  <c r="F469" i="1"/>
  <c r="E469" i="1"/>
  <c r="D469" i="1"/>
  <c r="C469" i="1"/>
  <c r="I468" i="1"/>
  <c r="H468" i="1"/>
  <c r="G468" i="1"/>
  <c r="F468" i="1"/>
  <c r="E468" i="1"/>
  <c r="D468" i="1"/>
  <c r="C468" i="1"/>
  <c r="I467" i="1"/>
  <c r="H467" i="1"/>
  <c r="G467" i="1"/>
  <c r="F467" i="1"/>
  <c r="E467" i="1"/>
  <c r="D467" i="1"/>
  <c r="C467" i="1"/>
  <c r="I466" i="1"/>
  <c r="H466" i="1"/>
  <c r="G466" i="1"/>
  <c r="F466" i="1"/>
  <c r="E466" i="1"/>
  <c r="D466" i="1"/>
  <c r="C466" i="1"/>
  <c r="I465" i="1"/>
  <c r="H465" i="1"/>
  <c r="G465" i="1"/>
  <c r="F465" i="1"/>
  <c r="E465" i="1"/>
  <c r="D465" i="1"/>
  <c r="C465" i="1"/>
  <c r="I464" i="1"/>
  <c r="H464" i="1"/>
  <c r="G464" i="1"/>
  <c r="F464" i="1"/>
  <c r="E464" i="1"/>
  <c r="D464" i="1"/>
  <c r="C464" i="1"/>
  <c r="I463" i="1"/>
  <c r="H463" i="1"/>
  <c r="G463" i="1"/>
  <c r="F463" i="1"/>
  <c r="E463" i="1"/>
  <c r="D463" i="1"/>
  <c r="C463" i="1"/>
  <c r="I462" i="1"/>
  <c r="H462" i="1"/>
  <c r="G462" i="1"/>
  <c r="F462" i="1"/>
  <c r="E462" i="1"/>
  <c r="D462" i="1"/>
  <c r="C462" i="1"/>
  <c r="I461" i="1"/>
  <c r="H461" i="1"/>
  <c r="G461" i="1"/>
  <c r="F461" i="1"/>
  <c r="E461" i="1"/>
  <c r="D461" i="1"/>
  <c r="C461" i="1"/>
  <c r="I460" i="1"/>
  <c r="H460" i="1"/>
  <c r="G460" i="1"/>
  <c r="F460" i="1"/>
  <c r="E460" i="1"/>
  <c r="D460" i="1"/>
  <c r="C460" i="1"/>
  <c r="I459" i="1"/>
  <c r="H459" i="1"/>
  <c r="G459" i="1"/>
  <c r="F459" i="1"/>
  <c r="E459" i="1"/>
  <c r="D459" i="1"/>
  <c r="C459" i="1"/>
  <c r="I458" i="1"/>
  <c r="H458" i="1"/>
  <c r="G458" i="1"/>
  <c r="F458" i="1"/>
  <c r="E458" i="1"/>
  <c r="D458" i="1"/>
  <c r="C458" i="1"/>
  <c r="I457" i="1"/>
  <c r="H457" i="1"/>
  <c r="G457" i="1"/>
  <c r="F457" i="1"/>
  <c r="E457" i="1"/>
  <c r="D457" i="1"/>
  <c r="C457" i="1"/>
  <c r="I456" i="1"/>
  <c r="H456" i="1"/>
  <c r="G456" i="1"/>
  <c r="F456" i="1"/>
  <c r="E456" i="1"/>
  <c r="D456" i="1"/>
  <c r="C456" i="1"/>
  <c r="I455" i="1"/>
  <c r="H455" i="1"/>
  <c r="G455" i="1"/>
  <c r="F455" i="1"/>
  <c r="E455" i="1"/>
  <c r="D455" i="1"/>
  <c r="C455" i="1"/>
  <c r="I454" i="1"/>
  <c r="H454" i="1"/>
  <c r="G454" i="1"/>
  <c r="F454" i="1"/>
  <c r="E454" i="1"/>
  <c r="D454" i="1"/>
  <c r="C454" i="1"/>
  <c r="I453" i="1"/>
  <c r="H453" i="1"/>
  <c r="G453" i="1"/>
  <c r="F453" i="1"/>
  <c r="E453" i="1"/>
  <c r="D453" i="1"/>
  <c r="C453" i="1"/>
  <c r="I452" i="1"/>
  <c r="H452" i="1"/>
  <c r="G452" i="1"/>
  <c r="F452" i="1"/>
  <c r="E452" i="1"/>
  <c r="D452" i="1"/>
  <c r="C452" i="1"/>
  <c r="I451" i="1"/>
  <c r="H451" i="1"/>
  <c r="G451" i="1"/>
  <c r="F451" i="1"/>
  <c r="E451" i="1"/>
  <c r="D451" i="1"/>
  <c r="C451" i="1"/>
  <c r="I450" i="1"/>
  <c r="H450" i="1"/>
  <c r="G450" i="1"/>
  <c r="F450" i="1"/>
  <c r="E450" i="1"/>
  <c r="D450" i="1"/>
  <c r="C450" i="1"/>
  <c r="I449" i="1"/>
  <c r="H449" i="1"/>
  <c r="G449" i="1"/>
  <c r="F449" i="1"/>
  <c r="E449" i="1"/>
  <c r="D449" i="1"/>
  <c r="C449" i="1"/>
  <c r="I448" i="1"/>
  <c r="H448" i="1"/>
  <c r="G448" i="1"/>
  <c r="F448" i="1"/>
  <c r="E448" i="1"/>
  <c r="D448" i="1"/>
  <c r="C448" i="1"/>
  <c r="I447" i="1"/>
  <c r="H447" i="1"/>
  <c r="G447" i="1"/>
  <c r="F447" i="1"/>
  <c r="E447" i="1"/>
  <c r="D447" i="1"/>
  <c r="C447" i="1"/>
  <c r="I446" i="1"/>
  <c r="H446" i="1"/>
  <c r="G446" i="1"/>
  <c r="F446" i="1"/>
  <c r="E446" i="1"/>
  <c r="D446" i="1"/>
  <c r="C446" i="1"/>
  <c r="I445" i="1"/>
  <c r="H445" i="1"/>
  <c r="G445" i="1"/>
  <c r="F445" i="1"/>
  <c r="E445" i="1"/>
  <c r="D445" i="1"/>
  <c r="C445" i="1"/>
  <c r="I444" i="1"/>
  <c r="H444" i="1"/>
  <c r="G444" i="1"/>
  <c r="F444" i="1"/>
  <c r="E444" i="1"/>
  <c r="D444" i="1"/>
  <c r="C444" i="1"/>
  <c r="I443" i="1"/>
  <c r="H443" i="1"/>
  <c r="G443" i="1"/>
  <c r="F443" i="1"/>
  <c r="E443" i="1"/>
  <c r="D443" i="1"/>
  <c r="C443" i="1"/>
  <c r="I442" i="1"/>
  <c r="H442" i="1"/>
  <c r="G442" i="1"/>
  <c r="F442" i="1"/>
  <c r="E442" i="1"/>
  <c r="D442" i="1"/>
  <c r="C442" i="1"/>
  <c r="I441" i="1"/>
  <c r="H441" i="1"/>
  <c r="G441" i="1"/>
  <c r="F441" i="1"/>
  <c r="E441" i="1"/>
  <c r="D441" i="1"/>
  <c r="C441" i="1"/>
  <c r="I440" i="1"/>
  <c r="H440" i="1"/>
  <c r="G440" i="1"/>
  <c r="F440" i="1"/>
  <c r="E440" i="1"/>
  <c r="D440" i="1"/>
  <c r="C440" i="1"/>
  <c r="I439" i="1"/>
  <c r="H439" i="1"/>
  <c r="G439" i="1"/>
  <c r="F439" i="1"/>
  <c r="E439" i="1"/>
  <c r="D439" i="1"/>
  <c r="C439" i="1"/>
  <c r="I438" i="1"/>
  <c r="H438" i="1"/>
  <c r="G438" i="1"/>
  <c r="F438" i="1"/>
  <c r="E438" i="1"/>
  <c r="D438" i="1"/>
  <c r="C438" i="1"/>
  <c r="I437" i="1"/>
  <c r="H437" i="1"/>
  <c r="G437" i="1"/>
  <c r="F437" i="1"/>
  <c r="E437" i="1"/>
  <c r="D437" i="1"/>
  <c r="C437" i="1"/>
  <c r="I436" i="1"/>
  <c r="H436" i="1"/>
  <c r="G436" i="1"/>
  <c r="F436" i="1"/>
  <c r="E436" i="1"/>
  <c r="D436" i="1"/>
  <c r="C436" i="1"/>
  <c r="I435" i="1"/>
  <c r="H435" i="1"/>
  <c r="G435" i="1"/>
  <c r="F435" i="1"/>
  <c r="E435" i="1"/>
  <c r="D435" i="1"/>
  <c r="C435" i="1"/>
  <c r="I434" i="1"/>
  <c r="H434" i="1"/>
  <c r="G434" i="1"/>
  <c r="F434" i="1"/>
  <c r="E434" i="1"/>
  <c r="D434" i="1"/>
  <c r="C434" i="1"/>
  <c r="I433" i="1"/>
  <c r="H433" i="1"/>
  <c r="G433" i="1"/>
  <c r="F433" i="1"/>
  <c r="E433" i="1"/>
  <c r="D433" i="1"/>
  <c r="C433" i="1"/>
  <c r="I432" i="1"/>
  <c r="H432" i="1"/>
  <c r="G432" i="1"/>
  <c r="F432" i="1"/>
  <c r="E432" i="1"/>
  <c r="D432" i="1"/>
  <c r="C432" i="1"/>
  <c r="I431" i="1"/>
  <c r="H431" i="1"/>
  <c r="G431" i="1"/>
  <c r="F431" i="1"/>
  <c r="E431" i="1"/>
  <c r="D431" i="1"/>
  <c r="C431" i="1"/>
  <c r="I430" i="1"/>
  <c r="H430" i="1"/>
  <c r="G430" i="1"/>
  <c r="F430" i="1"/>
  <c r="E430" i="1"/>
  <c r="D430" i="1"/>
  <c r="C430" i="1"/>
  <c r="I429" i="1"/>
  <c r="H429" i="1"/>
  <c r="G429" i="1"/>
  <c r="F429" i="1"/>
  <c r="E429" i="1"/>
  <c r="D429" i="1"/>
  <c r="C429" i="1"/>
  <c r="I428" i="1"/>
  <c r="H428" i="1"/>
  <c r="G428" i="1"/>
  <c r="F428" i="1"/>
  <c r="E428" i="1"/>
  <c r="D428" i="1"/>
  <c r="C428" i="1"/>
  <c r="I427" i="1"/>
  <c r="H427" i="1"/>
  <c r="G427" i="1"/>
  <c r="F427" i="1"/>
  <c r="E427" i="1"/>
  <c r="D427" i="1"/>
  <c r="C427" i="1"/>
  <c r="I426" i="1"/>
  <c r="H426" i="1"/>
  <c r="G426" i="1"/>
  <c r="F426" i="1"/>
  <c r="E426" i="1"/>
  <c r="D426" i="1"/>
  <c r="C426" i="1"/>
  <c r="I425" i="1"/>
  <c r="H425" i="1"/>
  <c r="G425" i="1"/>
  <c r="F425" i="1"/>
  <c r="E425" i="1"/>
  <c r="D425" i="1"/>
  <c r="C425" i="1"/>
  <c r="I424" i="1"/>
  <c r="H424" i="1"/>
  <c r="G424" i="1"/>
  <c r="F424" i="1"/>
  <c r="E424" i="1"/>
  <c r="D424" i="1"/>
  <c r="C424" i="1"/>
  <c r="I423" i="1"/>
  <c r="H423" i="1"/>
  <c r="G423" i="1"/>
  <c r="F423" i="1"/>
  <c r="E423" i="1"/>
  <c r="D423" i="1"/>
  <c r="C423" i="1"/>
  <c r="I422" i="1"/>
  <c r="H422" i="1"/>
  <c r="G422" i="1"/>
  <c r="F422" i="1"/>
  <c r="E422" i="1"/>
  <c r="D422" i="1"/>
  <c r="C422" i="1"/>
  <c r="I421" i="1"/>
  <c r="H421" i="1"/>
  <c r="G421" i="1"/>
  <c r="F421" i="1"/>
  <c r="E421" i="1"/>
  <c r="D421" i="1"/>
  <c r="C421" i="1"/>
  <c r="I420" i="1"/>
  <c r="H420" i="1"/>
  <c r="G420" i="1"/>
  <c r="F420" i="1"/>
  <c r="E420" i="1"/>
  <c r="D420" i="1"/>
  <c r="C420" i="1"/>
  <c r="I419" i="1"/>
  <c r="H419" i="1"/>
  <c r="G419" i="1"/>
  <c r="F419" i="1"/>
  <c r="E419" i="1"/>
  <c r="D419" i="1"/>
  <c r="C419" i="1"/>
  <c r="I418" i="1"/>
  <c r="H418" i="1"/>
  <c r="G418" i="1"/>
  <c r="F418" i="1"/>
  <c r="E418" i="1"/>
  <c r="D418" i="1"/>
  <c r="C418" i="1"/>
  <c r="I417" i="1"/>
  <c r="H417" i="1"/>
  <c r="G417" i="1"/>
  <c r="F417" i="1"/>
  <c r="E417" i="1"/>
  <c r="D417" i="1"/>
  <c r="C417" i="1"/>
  <c r="I416" i="1"/>
  <c r="H416" i="1"/>
  <c r="G416" i="1"/>
  <c r="F416" i="1"/>
  <c r="E416" i="1"/>
  <c r="D416" i="1"/>
  <c r="C416" i="1"/>
  <c r="I415" i="1"/>
  <c r="H415" i="1"/>
  <c r="G415" i="1"/>
  <c r="F415" i="1"/>
  <c r="E415" i="1"/>
  <c r="D415" i="1"/>
  <c r="C415" i="1"/>
  <c r="I414" i="1"/>
  <c r="H414" i="1"/>
  <c r="G414" i="1"/>
  <c r="F414" i="1"/>
  <c r="E414" i="1"/>
  <c r="D414" i="1"/>
  <c r="C414" i="1"/>
  <c r="I413" i="1"/>
  <c r="H413" i="1"/>
  <c r="G413" i="1"/>
  <c r="F413" i="1"/>
  <c r="E413" i="1"/>
  <c r="D413" i="1"/>
  <c r="C413" i="1"/>
  <c r="I412" i="1"/>
  <c r="H412" i="1"/>
  <c r="G412" i="1"/>
  <c r="F412" i="1"/>
  <c r="E412" i="1"/>
  <c r="D412" i="1"/>
  <c r="C412" i="1"/>
  <c r="I411" i="1"/>
  <c r="H411" i="1"/>
  <c r="G411" i="1"/>
  <c r="F411" i="1"/>
  <c r="E411" i="1"/>
  <c r="D411" i="1"/>
  <c r="C411" i="1"/>
  <c r="I410" i="1"/>
  <c r="H410" i="1"/>
  <c r="G410" i="1"/>
  <c r="F410" i="1"/>
  <c r="E410" i="1"/>
  <c r="D410" i="1"/>
  <c r="C410" i="1"/>
  <c r="I409" i="1"/>
  <c r="H409" i="1"/>
  <c r="G409" i="1"/>
  <c r="F409" i="1"/>
  <c r="E409" i="1"/>
  <c r="D409" i="1"/>
  <c r="C409" i="1"/>
  <c r="I408" i="1"/>
  <c r="H408" i="1"/>
  <c r="G408" i="1"/>
  <c r="F408" i="1"/>
  <c r="E408" i="1"/>
  <c r="D408" i="1"/>
  <c r="C408" i="1"/>
  <c r="I407" i="1"/>
  <c r="H407" i="1"/>
  <c r="G407" i="1"/>
  <c r="F407" i="1"/>
  <c r="E407" i="1"/>
  <c r="D407" i="1"/>
  <c r="C407" i="1"/>
  <c r="I406" i="1"/>
  <c r="H406" i="1"/>
  <c r="G406" i="1"/>
  <c r="F406" i="1"/>
  <c r="E406" i="1"/>
  <c r="D406" i="1"/>
  <c r="C406" i="1"/>
  <c r="I405" i="1"/>
  <c r="H405" i="1"/>
  <c r="G405" i="1"/>
  <c r="F405" i="1"/>
  <c r="E405" i="1"/>
  <c r="D405" i="1"/>
  <c r="C405" i="1"/>
  <c r="I404" i="1"/>
  <c r="H404" i="1"/>
  <c r="G404" i="1"/>
  <c r="F404" i="1"/>
  <c r="E404" i="1"/>
  <c r="D404" i="1"/>
  <c r="C404" i="1"/>
  <c r="I403" i="1"/>
  <c r="H403" i="1"/>
  <c r="G403" i="1"/>
  <c r="F403" i="1"/>
  <c r="E403" i="1"/>
  <c r="D403" i="1"/>
  <c r="C403" i="1"/>
  <c r="I402" i="1"/>
  <c r="H402" i="1"/>
  <c r="G402" i="1"/>
  <c r="F402" i="1"/>
  <c r="E402" i="1"/>
  <c r="D402" i="1"/>
  <c r="C402" i="1"/>
  <c r="I401" i="1"/>
  <c r="H401" i="1"/>
  <c r="G401" i="1"/>
  <c r="F401" i="1"/>
  <c r="E401" i="1"/>
  <c r="D401" i="1"/>
  <c r="C401" i="1"/>
  <c r="I400" i="1"/>
  <c r="H400" i="1"/>
  <c r="G400" i="1"/>
  <c r="F400" i="1"/>
  <c r="E400" i="1"/>
  <c r="D400" i="1"/>
  <c r="C400" i="1"/>
  <c r="I399" i="1"/>
  <c r="H399" i="1"/>
  <c r="G399" i="1"/>
  <c r="F399" i="1"/>
  <c r="E399" i="1"/>
  <c r="D399" i="1"/>
  <c r="C399" i="1"/>
  <c r="I398" i="1"/>
  <c r="H398" i="1"/>
  <c r="G398" i="1"/>
  <c r="F398" i="1"/>
  <c r="E398" i="1"/>
  <c r="D398" i="1"/>
  <c r="C398" i="1"/>
  <c r="I397" i="1"/>
  <c r="H397" i="1"/>
  <c r="G397" i="1"/>
  <c r="F397" i="1"/>
  <c r="E397" i="1"/>
  <c r="D397" i="1"/>
  <c r="C397" i="1"/>
  <c r="I396" i="1"/>
  <c r="H396" i="1"/>
  <c r="G396" i="1"/>
  <c r="F396" i="1"/>
  <c r="E396" i="1"/>
  <c r="D396" i="1"/>
  <c r="C396" i="1"/>
  <c r="I395" i="1"/>
  <c r="H395" i="1"/>
  <c r="G395" i="1"/>
  <c r="F395" i="1"/>
  <c r="E395" i="1"/>
  <c r="D395" i="1"/>
  <c r="C395" i="1"/>
  <c r="I394" i="1"/>
  <c r="H394" i="1"/>
  <c r="G394" i="1"/>
  <c r="F394" i="1"/>
  <c r="E394" i="1"/>
  <c r="D394" i="1"/>
  <c r="C394" i="1"/>
  <c r="I393" i="1"/>
  <c r="H393" i="1"/>
  <c r="G393" i="1"/>
  <c r="F393" i="1"/>
  <c r="E393" i="1"/>
  <c r="D393" i="1"/>
  <c r="C393" i="1"/>
  <c r="I392" i="1"/>
  <c r="H392" i="1"/>
  <c r="G392" i="1"/>
  <c r="F392" i="1"/>
  <c r="E392" i="1"/>
  <c r="D392" i="1"/>
  <c r="C392" i="1"/>
  <c r="I391" i="1"/>
  <c r="H391" i="1"/>
  <c r="G391" i="1"/>
  <c r="F391" i="1"/>
  <c r="E391" i="1"/>
  <c r="D391" i="1"/>
  <c r="C391" i="1"/>
  <c r="I390" i="1"/>
  <c r="H390" i="1"/>
  <c r="G390" i="1"/>
  <c r="F390" i="1"/>
  <c r="E390" i="1"/>
  <c r="D390" i="1"/>
  <c r="C390" i="1"/>
  <c r="I389" i="1"/>
  <c r="H389" i="1"/>
  <c r="G389" i="1"/>
  <c r="F389" i="1"/>
  <c r="E389" i="1"/>
  <c r="D389" i="1"/>
  <c r="C389" i="1"/>
  <c r="I388" i="1"/>
  <c r="H388" i="1"/>
  <c r="G388" i="1"/>
  <c r="F388" i="1"/>
  <c r="E388" i="1"/>
  <c r="D388" i="1"/>
  <c r="C388" i="1"/>
  <c r="I387" i="1"/>
  <c r="H387" i="1"/>
  <c r="G387" i="1"/>
  <c r="F387" i="1"/>
  <c r="E387" i="1"/>
  <c r="D387" i="1"/>
  <c r="C387" i="1"/>
  <c r="I386" i="1"/>
  <c r="H386" i="1"/>
  <c r="G386" i="1"/>
  <c r="F386" i="1"/>
  <c r="E386" i="1"/>
  <c r="D386" i="1"/>
  <c r="C386" i="1"/>
  <c r="I385" i="1"/>
  <c r="H385" i="1"/>
  <c r="G385" i="1"/>
  <c r="F385" i="1"/>
  <c r="E385" i="1"/>
  <c r="D385" i="1"/>
  <c r="C385" i="1"/>
  <c r="I384" i="1"/>
  <c r="H384" i="1"/>
  <c r="G384" i="1"/>
  <c r="F384" i="1"/>
  <c r="E384" i="1"/>
  <c r="D384" i="1"/>
  <c r="C384" i="1"/>
  <c r="I383" i="1"/>
  <c r="H383" i="1"/>
  <c r="G383" i="1"/>
  <c r="F383" i="1"/>
  <c r="E383" i="1"/>
  <c r="D383" i="1"/>
  <c r="C383" i="1"/>
  <c r="I382" i="1"/>
  <c r="H382" i="1"/>
  <c r="G382" i="1"/>
  <c r="F382" i="1"/>
  <c r="E382" i="1"/>
  <c r="D382" i="1"/>
  <c r="C382" i="1"/>
  <c r="I381" i="1"/>
  <c r="H381" i="1"/>
  <c r="G381" i="1"/>
  <c r="F381" i="1"/>
  <c r="E381" i="1"/>
  <c r="D381" i="1"/>
  <c r="C381" i="1"/>
  <c r="I380" i="1"/>
  <c r="H380" i="1"/>
  <c r="G380" i="1"/>
  <c r="F380" i="1"/>
  <c r="E380" i="1"/>
  <c r="D380" i="1"/>
  <c r="C380" i="1"/>
  <c r="I379" i="1"/>
  <c r="H379" i="1"/>
  <c r="G379" i="1"/>
  <c r="F379" i="1"/>
  <c r="E379" i="1"/>
  <c r="D379" i="1"/>
  <c r="C379" i="1"/>
  <c r="I378" i="1"/>
  <c r="H378" i="1"/>
  <c r="G378" i="1"/>
  <c r="F378" i="1"/>
  <c r="E378" i="1"/>
  <c r="D378" i="1"/>
  <c r="C378" i="1"/>
  <c r="I377" i="1"/>
  <c r="H377" i="1"/>
  <c r="G377" i="1"/>
  <c r="F377" i="1"/>
  <c r="E377" i="1"/>
  <c r="D377" i="1"/>
  <c r="C377" i="1"/>
  <c r="I376" i="1"/>
  <c r="H376" i="1"/>
  <c r="G376" i="1"/>
  <c r="F376" i="1"/>
  <c r="E376" i="1"/>
  <c r="D376" i="1"/>
  <c r="C376" i="1"/>
  <c r="I375" i="1"/>
  <c r="H375" i="1"/>
  <c r="G375" i="1"/>
  <c r="F375" i="1"/>
  <c r="E375" i="1"/>
  <c r="D375" i="1"/>
  <c r="C375" i="1"/>
  <c r="I374" i="1"/>
  <c r="H374" i="1"/>
  <c r="G374" i="1"/>
  <c r="F374" i="1"/>
  <c r="E374" i="1"/>
  <c r="D374" i="1"/>
  <c r="C374" i="1"/>
  <c r="I373" i="1"/>
  <c r="H373" i="1"/>
  <c r="G373" i="1"/>
  <c r="F373" i="1"/>
  <c r="E373" i="1"/>
  <c r="D373" i="1"/>
  <c r="C373" i="1"/>
  <c r="I372" i="1"/>
  <c r="H372" i="1"/>
  <c r="G372" i="1"/>
  <c r="F372" i="1"/>
  <c r="E372" i="1"/>
  <c r="D372" i="1"/>
  <c r="C372" i="1"/>
  <c r="I371" i="1"/>
  <c r="H371" i="1"/>
  <c r="G371" i="1"/>
  <c r="F371" i="1"/>
  <c r="E371" i="1"/>
  <c r="D371" i="1"/>
  <c r="C371" i="1"/>
  <c r="I370" i="1"/>
  <c r="H370" i="1"/>
  <c r="G370" i="1"/>
  <c r="F370" i="1"/>
  <c r="E370" i="1"/>
  <c r="D370" i="1"/>
  <c r="C370" i="1"/>
  <c r="I369" i="1"/>
  <c r="H369" i="1"/>
  <c r="G369" i="1"/>
  <c r="F369" i="1"/>
  <c r="E369" i="1"/>
  <c r="D369" i="1"/>
  <c r="C369" i="1"/>
  <c r="I368" i="1"/>
  <c r="H368" i="1"/>
  <c r="G368" i="1"/>
  <c r="F368" i="1"/>
  <c r="E368" i="1"/>
  <c r="D368" i="1"/>
  <c r="C368" i="1"/>
  <c r="I367" i="1"/>
  <c r="H367" i="1"/>
  <c r="G367" i="1"/>
  <c r="F367" i="1"/>
  <c r="E367" i="1"/>
  <c r="D367" i="1"/>
  <c r="C367" i="1"/>
  <c r="I366" i="1"/>
  <c r="H366" i="1"/>
  <c r="G366" i="1"/>
  <c r="F366" i="1"/>
  <c r="E366" i="1"/>
  <c r="D366" i="1"/>
  <c r="C366" i="1"/>
  <c r="I365" i="1"/>
  <c r="H365" i="1"/>
  <c r="G365" i="1"/>
  <c r="F365" i="1"/>
  <c r="E365" i="1"/>
  <c r="D365" i="1"/>
  <c r="C365" i="1"/>
  <c r="I364" i="1"/>
  <c r="H364" i="1"/>
  <c r="G364" i="1"/>
  <c r="F364" i="1"/>
  <c r="E364" i="1"/>
  <c r="D364" i="1"/>
  <c r="C364" i="1"/>
  <c r="I363" i="1"/>
  <c r="H363" i="1"/>
  <c r="G363" i="1"/>
  <c r="F363" i="1"/>
  <c r="E363" i="1"/>
  <c r="D363" i="1"/>
  <c r="C363" i="1"/>
  <c r="I362" i="1"/>
  <c r="H362" i="1"/>
  <c r="G362" i="1"/>
  <c r="F362" i="1"/>
  <c r="E362" i="1"/>
  <c r="D362" i="1"/>
  <c r="C362" i="1"/>
  <c r="I361" i="1"/>
  <c r="H361" i="1"/>
  <c r="G361" i="1"/>
  <c r="F361" i="1"/>
  <c r="E361" i="1"/>
  <c r="D361" i="1"/>
  <c r="C361" i="1"/>
  <c r="I360" i="1"/>
  <c r="H360" i="1"/>
  <c r="G360" i="1"/>
  <c r="F360" i="1"/>
  <c r="E360" i="1"/>
  <c r="D360" i="1"/>
  <c r="C360" i="1"/>
  <c r="I359" i="1"/>
  <c r="H359" i="1"/>
  <c r="G359" i="1"/>
  <c r="F359" i="1"/>
  <c r="E359" i="1"/>
  <c r="D359" i="1"/>
  <c r="C359" i="1"/>
  <c r="I358" i="1"/>
  <c r="H358" i="1"/>
  <c r="G358" i="1"/>
  <c r="F358" i="1"/>
  <c r="E358" i="1"/>
  <c r="D358" i="1"/>
  <c r="C358" i="1"/>
  <c r="I357" i="1"/>
  <c r="H357" i="1"/>
  <c r="G357" i="1"/>
  <c r="F357" i="1"/>
  <c r="E357" i="1"/>
  <c r="D357" i="1"/>
  <c r="C357" i="1"/>
  <c r="I356" i="1"/>
  <c r="H356" i="1"/>
  <c r="G356" i="1"/>
  <c r="F356" i="1"/>
  <c r="E356" i="1"/>
  <c r="D356" i="1"/>
  <c r="C356" i="1"/>
  <c r="I355" i="1"/>
  <c r="H355" i="1"/>
  <c r="G355" i="1"/>
  <c r="F355" i="1"/>
  <c r="E355" i="1"/>
  <c r="D355" i="1"/>
  <c r="C355" i="1"/>
  <c r="I354" i="1"/>
  <c r="H354" i="1"/>
  <c r="G354" i="1"/>
  <c r="F354" i="1"/>
  <c r="E354" i="1"/>
  <c r="D354" i="1"/>
  <c r="C354" i="1"/>
  <c r="I353" i="1"/>
  <c r="H353" i="1"/>
  <c r="G353" i="1"/>
  <c r="F353" i="1"/>
  <c r="E353" i="1"/>
  <c r="D353" i="1"/>
  <c r="C353" i="1"/>
  <c r="I352" i="1"/>
  <c r="H352" i="1"/>
  <c r="G352" i="1"/>
  <c r="F352" i="1"/>
  <c r="E352" i="1"/>
  <c r="D352" i="1"/>
  <c r="C352" i="1"/>
  <c r="I351" i="1"/>
  <c r="H351" i="1"/>
  <c r="G351" i="1"/>
  <c r="F351" i="1"/>
  <c r="E351" i="1"/>
  <c r="D351" i="1"/>
  <c r="C351" i="1"/>
  <c r="I350" i="1"/>
  <c r="H350" i="1"/>
  <c r="G350" i="1"/>
  <c r="F350" i="1"/>
  <c r="E350" i="1"/>
  <c r="D350" i="1"/>
  <c r="C350" i="1"/>
  <c r="I349" i="1"/>
  <c r="H349" i="1"/>
  <c r="G349" i="1"/>
  <c r="F349" i="1"/>
  <c r="E349" i="1"/>
  <c r="D349" i="1"/>
  <c r="C349" i="1"/>
  <c r="I348" i="1"/>
  <c r="H348" i="1"/>
  <c r="G348" i="1"/>
  <c r="F348" i="1"/>
  <c r="E348" i="1"/>
  <c r="D348" i="1"/>
  <c r="C348" i="1"/>
  <c r="I347" i="1"/>
  <c r="H347" i="1"/>
  <c r="G347" i="1"/>
  <c r="F347" i="1"/>
  <c r="E347" i="1"/>
  <c r="D347" i="1"/>
  <c r="C347" i="1"/>
  <c r="I346" i="1"/>
  <c r="H346" i="1"/>
  <c r="G346" i="1"/>
  <c r="F346" i="1"/>
  <c r="E346" i="1"/>
  <c r="D346" i="1"/>
  <c r="C346" i="1"/>
  <c r="I345" i="1"/>
  <c r="H345" i="1"/>
  <c r="G345" i="1"/>
  <c r="F345" i="1"/>
  <c r="E345" i="1"/>
  <c r="D345" i="1"/>
  <c r="C345" i="1"/>
  <c r="I344" i="1"/>
  <c r="H344" i="1"/>
  <c r="G344" i="1"/>
  <c r="F344" i="1"/>
  <c r="E344" i="1"/>
  <c r="D344" i="1"/>
  <c r="C344" i="1"/>
  <c r="I343" i="1"/>
  <c r="H343" i="1"/>
  <c r="G343" i="1"/>
  <c r="F343" i="1"/>
  <c r="E343" i="1"/>
  <c r="D343" i="1"/>
  <c r="C343" i="1"/>
  <c r="I342" i="1"/>
  <c r="H342" i="1"/>
  <c r="G342" i="1"/>
  <c r="F342" i="1"/>
  <c r="E342" i="1"/>
  <c r="D342" i="1"/>
  <c r="C342" i="1"/>
  <c r="I341" i="1"/>
  <c r="H341" i="1"/>
  <c r="G341" i="1"/>
  <c r="F341" i="1"/>
  <c r="E341" i="1"/>
  <c r="D341" i="1"/>
  <c r="C341" i="1"/>
  <c r="I340" i="1"/>
  <c r="H340" i="1"/>
  <c r="G340" i="1"/>
  <c r="F340" i="1"/>
  <c r="E340" i="1"/>
  <c r="D340" i="1"/>
  <c r="C340" i="1"/>
  <c r="I339" i="1"/>
  <c r="H339" i="1"/>
  <c r="G339" i="1"/>
  <c r="F339" i="1"/>
  <c r="E339" i="1"/>
  <c r="D339" i="1"/>
  <c r="C339" i="1"/>
  <c r="I338" i="1"/>
  <c r="H338" i="1"/>
  <c r="G338" i="1"/>
  <c r="F338" i="1"/>
  <c r="E338" i="1"/>
  <c r="D338" i="1"/>
  <c r="C338" i="1"/>
  <c r="I337" i="1"/>
  <c r="H337" i="1"/>
  <c r="G337" i="1"/>
  <c r="F337" i="1"/>
  <c r="E337" i="1"/>
  <c r="D337" i="1"/>
  <c r="C337" i="1"/>
  <c r="I336" i="1"/>
  <c r="H336" i="1"/>
  <c r="G336" i="1"/>
  <c r="F336" i="1"/>
  <c r="E336" i="1"/>
  <c r="D336" i="1"/>
  <c r="C336" i="1"/>
  <c r="I335" i="1"/>
  <c r="H335" i="1"/>
  <c r="G335" i="1"/>
  <c r="F335" i="1"/>
  <c r="E335" i="1"/>
  <c r="D335" i="1"/>
  <c r="C335" i="1"/>
  <c r="I334" i="1"/>
  <c r="H334" i="1"/>
  <c r="G334" i="1"/>
  <c r="F334" i="1"/>
  <c r="E334" i="1"/>
  <c r="D334" i="1"/>
  <c r="C334" i="1"/>
  <c r="I333" i="1"/>
  <c r="H333" i="1"/>
  <c r="G333" i="1"/>
  <c r="F333" i="1"/>
  <c r="E333" i="1"/>
  <c r="D333" i="1"/>
  <c r="C333" i="1"/>
  <c r="I332" i="1"/>
  <c r="H332" i="1"/>
  <c r="G332" i="1"/>
  <c r="F332" i="1"/>
  <c r="E332" i="1"/>
  <c r="D332" i="1"/>
  <c r="C332" i="1"/>
  <c r="I331" i="1"/>
  <c r="H331" i="1"/>
  <c r="G331" i="1"/>
  <c r="F331" i="1"/>
  <c r="E331" i="1"/>
  <c r="D331" i="1"/>
  <c r="C331" i="1"/>
  <c r="I330" i="1"/>
  <c r="H330" i="1"/>
  <c r="G330" i="1"/>
  <c r="F330" i="1"/>
  <c r="E330" i="1"/>
  <c r="D330" i="1"/>
  <c r="C330" i="1"/>
  <c r="I329" i="1"/>
  <c r="H329" i="1"/>
  <c r="G329" i="1"/>
  <c r="F329" i="1"/>
  <c r="E329" i="1"/>
  <c r="D329" i="1"/>
  <c r="C329" i="1"/>
  <c r="I328" i="1"/>
  <c r="H328" i="1"/>
  <c r="G328" i="1"/>
  <c r="F328" i="1"/>
  <c r="E328" i="1"/>
  <c r="D328" i="1"/>
  <c r="C328" i="1"/>
  <c r="I327" i="1"/>
  <c r="H327" i="1"/>
  <c r="G327" i="1"/>
  <c r="F327" i="1"/>
  <c r="E327" i="1"/>
  <c r="D327" i="1"/>
  <c r="C327" i="1"/>
  <c r="I326" i="1"/>
  <c r="H326" i="1"/>
  <c r="G326" i="1"/>
  <c r="F326" i="1"/>
  <c r="E326" i="1"/>
  <c r="D326" i="1"/>
  <c r="C326" i="1"/>
  <c r="I325" i="1"/>
  <c r="H325" i="1"/>
  <c r="G325" i="1"/>
  <c r="F325" i="1"/>
  <c r="E325" i="1"/>
  <c r="D325" i="1"/>
  <c r="C325" i="1"/>
  <c r="I324" i="1"/>
  <c r="H324" i="1"/>
  <c r="G324" i="1"/>
  <c r="F324" i="1"/>
  <c r="E324" i="1"/>
  <c r="D324" i="1"/>
  <c r="C324" i="1"/>
  <c r="I323" i="1"/>
  <c r="H323" i="1"/>
  <c r="G323" i="1"/>
  <c r="F323" i="1"/>
  <c r="E323" i="1"/>
  <c r="D323" i="1"/>
  <c r="C323" i="1"/>
  <c r="I322" i="1"/>
  <c r="H322" i="1"/>
  <c r="G322" i="1"/>
  <c r="F322" i="1"/>
  <c r="E322" i="1"/>
  <c r="D322" i="1"/>
  <c r="C322" i="1"/>
  <c r="I321" i="1"/>
  <c r="H321" i="1"/>
  <c r="G321" i="1"/>
  <c r="F321" i="1"/>
  <c r="E321" i="1"/>
  <c r="D321" i="1"/>
  <c r="C321" i="1"/>
  <c r="I320" i="1"/>
  <c r="H320" i="1"/>
  <c r="G320" i="1"/>
  <c r="F320" i="1"/>
  <c r="E320" i="1"/>
  <c r="D320" i="1"/>
  <c r="C320" i="1"/>
  <c r="I319" i="1"/>
  <c r="H319" i="1"/>
  <c r="G319" i="1"/>
  <c r="F319" i="1"/>
  <c r="E319" i="1"/>
  <c r="D319" i="1"/>
  <c r="C319" i="1"/>
  <c r="I318" i="1"/>
  <c r="H318" i="1"/>
  <c r="G318" i="1"/>
  <c r="F318" i="1"/>
  <c r="E318" i="1"/>
  <c r="D318" i="1"/>
  <c r="C318" i="1"/>
  <c r="I317" i="1"/>
  <c r="H317" i="1"/>
  <c r="G317" i="1"/>
  <c r="F317" i="1"/>
  <c r="E317" i="1"/>
  <c r="D317" i="1"/>
  <c r="C317" i="1"/>
  <c r="I316" i="1"/>
  <c r="H316" i="1"/>
  <c r="G316" i="1"/>
  <c r="F316" i="1"/>
  <c r="E316" i="1"/>
  <c r="D316" i="1"/>
  <c r="C316" i="1"/>
  <c r="I315" i="1"/>
  <c r="H315" i="1"/>
  <c r="G315" i="1"/>
  <c r="F315" i="1"/>
  <c r="E315" i="1"/>
  <c r="D315" i="1"/>
  <c r="C315" i="1"/>
  <c r="I314" i="1"/>
  <c r="H314" i="1"/>
  <c r="G314" i="1"/>
  <c r="F314" i="1"/>
  <c r="E314" i="1"/>
  <c r="D314" i="1"/>
  <c r="C314" i="1"/>
  <c r="I313" i="1"/>
  <c r="H313" i="1"/>
  <c r="G313" i="1"/>
  <c r="F313" i="1"/>
  <c r="E313" i="1"/>
  <c r="D313" i="1"/>
  <c r="C313" i="1"/>
  <c r="I312" i="1"/>
  <c r="H312" i="1"/>
  <c r="G312" i="1"/>
  <c r="F312" i="1"/>
  <c r="E312" i="1"/>
  <c r="D312" i="1"/>
  <c r="C312" i="1"/>
  <c r="I311" i="1"/>
  <c r="H311" i="1"/>
  <c r="G311" i="1"/>
  <c r="F311" i="1"/>
  <c r="E311" i="1"/>
  <c r="D311" i="1"/>
  <c r="C311" i="1"/>
  <c r="I310" i="1"/>
  <c r="H310" i="1"/>
  <c r="G310" i="1"/>
  <c r="F310" i="1"/>
  <c r="E310" i="1"/>
  <c r="D310" i="1"/>
  <c r="C310" i="1"/>
  <c r="I309" i="1"/>
  <c r="H309" i="1"/>
  <c r="G309" i="1"/>
  <c r="F309" i="1"/>
  <c r="E309" i="1"/>
  <c r="D309" i="1"/>
  <c r="C309" i="1"/>
  <c r="I308" i="1"/>
  <c r="H308" i="1"/>
  <c r="G308" i="1"/>
  <c r="F308" i="1"/>
  <c r="E308" i="1"/>
  <c r="D308" i="1"/>
  <c r="C308" i="1"/>
  <c r="I307" i="1"/>
  <c r="H307" i="1"/>
  <c r="G307" i="1"/>
  <c r="F307" i="1"/>
  <c r="E307" i="1"/>
  <c r="D307" i="1"/>
  <c r="C307" i="1"/>
  <c r="I306" i="1"/>
  <c r="H306" i="1"/>
  <c r="G306" i="1"/>
  <c r="F306" i="1"/>
  <c r="E306" i="1"/>
  <c r="D306" i="1"/>
  <c r="C306" i="1"/>
  <c r="I305" i="1"/>
  <c r="H305" i="1"/>
  <c r="G305" i="1"/>
  <c r="F305" i="1"/>
  <c r="E305" i="1"/>
  <c r="D305" i="1"/>
  <c r="C305" i="1"/>
  <c r="I304" i="1"/>
  <c r="H304" i="1"/>
  <c r="G304" i="1"/>
  <c r="F304" i="1"/>
  <c r="E304" i="1"/>
  <c r="D304" i="1"/>
  <c r="C304" i="1"/>
  <c r="I303" i="1"/>
  <c r="H303" i="1"/>
  <c r="G303" i="1"/>
  <c r="F303" i="1"/>
  <c r="E303" i="1"/>
  <c r="D303" i="1"/>
  <c r="C303" i="1"/>
  <c r="I302" i="1"/>
  <c r="H302" i="1"/>
  <c r="G302" i="1"/>
  <c r="F302" i="1"/>
  <c r="E302" i="1"/>
  <c r="D302" i="1"/>
  <c r="C302" i="1"/>
  <c r="I301" i="1"/>
  <c r="H301" i="1"/>
  <c r="G301" i="1"/>
  <c r="F301" i="1"/>
  <c r="E301" i="1"/>
  <c r="D301" i="1"/>
  <c r="C301" i="1"/>
  <c r="I300" i="1"/>
  <c r="H300" i="1"/>
  <c r="G300" i="1"/>
  <c r="F300" i="1"/>
  <c r="E300" i="1"/>
  <c r="D300" i="1"/>
  <c r="C300" i="1"/>
  <c r="I299" i="1"/>
  <c r="H299" i="1"/>
  <c r="G299" i="1"/>
  <c r="F299" i="1"/>
  <c r="E299" i="1"/>
  <c r="D299" i="1"/>
  <c r="C299" i="1"/>
  <c r="I298" i="1"/>
  <c r="H298" i="1"/>
  <c r="G298" i="1"/>
  <c r="F298" i="1"/>
  <c r="E298" i="1"/>
  <c r="D298" i="1"/>
  <c r="C298" i="1"/>
  <c r="I297" i="1"/>
  <c r="H297" i="1"/>
  <c r="G297" i="1"/>
  <c r="F297" i="1"/>
  <c r="E297" i="1"/>
  <c r="D297" i="1"/>
  <c r="C297" i="1"/>
  <c r="I296" i="1"/>
  <c r="H296" i="1"/>
  <c r="G296" i="1"/>
  <c r="F296" i="1"/>
  <c r="E296" i="1"/>
  <c r="D296" i="1"/>
  <c r="C296" i="1"/>
  <c r="I295" i="1"/>
  <c r="H295" i="1"/>
  <c r="G295" i="1"/>
  <c r="F295" i="1"/>
  <c r="E295" i="1"/>
  <c r="D295" i="1"/>
  <c r="C295" i="1"/>
  <c r="I294" i="1"/>
  <c r="H294" i="1"/>
  <c r="G294" i="1"/>
  <c r="F294" i="1"/>
  <c r="E294" i="1"/>
  <c r="D294" i="1"/>
  <c r="C294" i="1"/>
  <c r="I293" i="1"/>
  <c r="H293" i="1"/>
  <c r="G293" i="1"/>
  <c r="F293" i="1"/>
  <c r="E293" i="1"/>
  <c r="D293" i="1"/>
  <c r="C293" i="1"/>
  <c r="I292" i="1"/>
  <c r="H292" i="1"/>
  <c r="G292" i="1"/>
  <c r="F292" i="1"/>
  <c r="E292" i="1"/>
  <c r="D292" i="1"/>
  <c r="C292" i="1"/>
  <c r="I291" i="1"/>
  <c r="H291" i="1"/>
  <c r="G291" i="1"/>
  <c r="F291" i="1"/>
  <c r="E291" i="1"/>
  <c r="D291" i="1"/>
  <c r="C291" i="1"/>
  <c r="I290" i="1"/>
  <c r="H290" i="1"/>
  <c r="G290" i="1"/>
  <c r="F290" i="1"/>
  <c r="E290" i="1"/>
  <c r="D290" i="1"/>
  <c r="C290" i="1"/>
  <c r="I289" i="1"/>
  <c r="H289" i="1"/>
  <c r="G289" i="1"/>
  <c r="F289" i="1"/>
  <c r="E289" i="1"/>
  <c r="D289" i="1"/>
  <c r="C289" i="1"/>
  <c r="I288" i="1"/>
  <c r="H288" i="1"/>
  <c r="G288" i="1"/>
  <c r="F288" i="1"/>
  <c r="E288" i="1"/>
  <c r="D288" i="1"/>
  <c r="C288" i="1"/>
  <c r="I287" i="1"/>
  <c r="H287" i="1"/>
  <c r="G287" i="1"/>
  <c r="F287" i="1"/>
  <c r="E287" i="1"/>
  <c r="D287" i="1"/>
  <c r="C287" i="1"/>
  <c r="I286" i="1"/>
  <c r="H286" i="1"/>
  <c r="G286" i="1"/>
  <c r="F286" i="1"/>
  <c r="E286" i="1"/>
  <c r="D286" i="1"/>
  <c r="C286" i="1"/>
  <c r="I285" i="1"/>
  <c r="H285" i="1"/>
  <c r="G285" i="1"/>
  <c r="F285" i="1"/>
  <c r="E285" i="1"/>
  <c r="D285" i="1"/>
  <c r="C285" i="1"/>
  <c r="I284" i="1"/>
  <c r="H284" i="1"/>
  <c r="G284" i="1"/>
  <c r="F284" i="1"/>
  <c r="E284" i="1"/>
  <c r="D284" i="1"/>
  <c r="C284" i="1"/>
  <c r="I283" i="1"/>
  <c r="H283" i="1"/>
  <c r="G283" i="1"/>
  <c r="F283" i="1"/>
  <c r="E283" i="1"/>
  <c r="D283" i="1"/>
  <c r="C283" i="1"/>
  <c r="I282" i="1"/>
  <c r="H282" i="1"/>
  <c r="G282" i="1"/>
  <c r="F282" i="1"/>
  <c r="E282" i="1"/>
  <c r="D282" i="1"/>
  <c r="C282" i="1"/>
  <c r="I281" i="1"/>
  <c r="H281" i="1"/>
  <c r="G281" i="1"/>
  <c r="F281" i="1"/>
  <c r="E281" i="1"/>
  <c r="D281" i="1"/>
  <c r="C281" i="1"/>
  <c r="I280" i="1"/>
  <c r="H280" i="1"/>
  <c r="G280" i="1"/>
  <c r="F280" i="1"/>
  <c r="E280" i="1"/>
  <c r="D280" i="1"/>
  <c r="C280" i="1"/>
  <c r="I279" i="1"/>
  <c r="H279" i="1"/>
  <c r="G279" i="1"/>
  <c r="F279" i="1"/>
  <c r="E279" i="1"/>
  <c r="D279" i="1"/>
  <c r="C279" i="1"/>
  <c r="I278" i="1"/>
  <c r="H278" i="1"/>
  <c r="G278" i="1"/>
  <c r="F278" i="1"/>
  <c r="E278" i="1"/>
  <c r="D278" i="1"/>
  <c r="C278" i="1"/>
  <c r="I277" i="1"/>
  <c r="H277" i="1"/>
  <c r="G277" i="1"/>
  <c r="F277" i="1"/>
  <c r="E277" i="1"/>
  <c r="D277" i="1"/>
  <c r="C277" i="1"/>
  <c r="I276" i="1"/>
  <c r="H276" i="1"/>
  <c r="G276" i="1"/>
  <c r="F276" i="1"/>
  <c r="E276" i="1"/>
  <c r="D276" i="1"/>
  <c r="C276" i="1"/>
  <c r="I275" i="1"/>
  <c r="H275" i="1"/>
  <c r="G275" i="1"/>
  <c r="F275" i="1"/>
  <c r="E275" i="1"/>
  <c r="D275" i="1"/>
  <c r="C275" i="1"/>
  <c r="I274" i="1"/>
  <c r="H274" i="1"/>
  <c r="G274" i="1"/>
  <c r="F274" i="1"/>
  <c r="E274" i="1"/>
  <c r="D274" i="1"/>
  <c r="C274" i="1"/>
  <c r="I273" i="1"/>
  <c r="H273" i="1"/>
  <c r="G273" i="1"/>
  <c r="F273" i="1"/>
  <c r="E273" i="1"/>
  <c r="D273" i="1"/>
  <c r="C273" i="1"/>
  <c r="I272" i="1"/>
  <c r="H272" i="1"/>
  <c r="G272" i="1"/>
  <c r="F272" i="1"/>
  <c r="E272" i="1"/>
  <c r="D272" i="1"/>
  <c r="C272" i="1"/>
  <c r="I271" i="1"/>
  <c r="H271" i="1"/>
  <c r="G271" i="1"/>
  <c r="F271" i="1"/>
  <c r="E271" i="1"/>
  <c r="D271" i="1"/>
  <c r="C271" i="1"/>
  <c r="I270" i="1"/>
  <c r="H270" i="1"/>
  <c r="G270" i="1"/>
  <c r="F270" i="1"/>
  <c r="E270" i="1"/>
  <c r="D270" i="1"/>
  <c r="C270" i="1"/>
  <c r="I269" i="1"/>
  <c r="H269" i="1"/>
  <c r="G269" i="1"/>
  <c r="F269" i="1"/>
  <c r="E269" i="1"/>
  <c r="D269" i="1"/>
  <c r="C269" i="1"/>
  <c r="I268" i="1"/>
  <c r="H268" i="1"/>
  <c r="G268" i="1"/>
  <c r="F268" i="1"/>
  <c r="E268" i="1"/>
  <c r="D268" i="1"/>
  <c r="C268" i="1"/>
  <c r="I267" i="1"/>
  <c r="H267" i="1"/>
  <c r="G267" i="1"/>
  <c r="F267" i="1"/>
  <c r="E267" i="1"/>
  <c r="D267" i="1"/>
  <c r="C267" i="1"/>
  <c r="I266" i="1"/>
  <c r="H266" i="1"/>
  <c r="G266" i="1"/>
  <c r="F266" i="1"/>
  <c r="E266" i="1"/>
  <c r="D266" i="1"/>
  <c r="C266" i="1"/>
  <c r="I265" i="1"/>
  <c r="H265" i="1"/>
  <c r="G265" i="1"/>
  <c r="F265" i="1"/>
  <c r="E265" i="1"/>
  <c r="D265" i="1"/>
  <c r="C265" i="1"/>
  <c r="I264" i="1"/>
  <c r="H264" i="1"/>
  <c r="G264" i="1"/>
  <c r="F264" i="1"/>
  <c r="E264" i="1"/>
  <c r="D264" i="1"/>
  <c r="C264" i="1"/>
  <c r="I263" i="1"/>
  <c r="H263" i="1"/>
  <c r="G263" i="1"/>
  <c r="F263" i="1"/>
  <c r="E263" i="1"/>
  <c r="D263" i="1"/>
  <c r="C263" i="1"/>
  <c r="I262" i="1"/>
  <c r="H262" i="1"/>
  <c r="G262" i="1"/>
  <c r="F262" i="1"/>
  <c r="E262" i="1"/>
  <c r="D262" i="1"/>
  <c r="C262" i="1"/>
  <c r="I261" i="1"/>
  <c r="H261" i="1"/>
  <c r="G261" i="1"/>
  <c r="F261" i="1"/>
  <c r="E261" i="1"/>
  <c r="D261" i="1"/>
  <c r="C261" i="1"/>
  <c r="I260" i="1"/>
  <c r="H260" i="1"/>
  <c r="G260" i="1"/>
  <c r="F260" i="1"/>
  <c r="E260" i="1"/>
  <c r="D260" i="1"/>
  <c r="C260" i="1"/>
  <c r="I259" i="1"/>
  <c r="H259" i="1"/>
  <c r="G259" i="1"/>
  <c r="F259" i="1"/>
  <c r="E259" i="1"/>
  <c r="D259" i="1"/>
  <c r="C259" i="1"/>
  <c r="I258" i="1"/>
  <c r="H258" i="1"/>
  <c r="G258" i="1"/>
  <c r="F258" i="1"/>
  <c r="E258" i="1"/>
  <c r="D258" i="1"/>
  <c r="C258" i="1"/>
  <c r="I257" i="1"/>
  <c r="H257" i="1"/>
  <c r="G257" i="1"/>
  <c r="F257" i="1"/>
  <c r="E257" i="1"/>
  <c r="D257" i="1"/>
  <c r="C257" i="1"/>
  <c r="I256" i="1"/>
  <c r="H256" i="1"/>
  <c r="G256" i="1"/>
  <c r="F256" i="1"/>
  <c r="E256" i="1"/>
  <c r="D256" i="1"/>
  <c r="C256" i="1"/>
  <c r="I255" i="1"/>
  <c r="H255" i="1"/>
  <c r="G255" i="1"/>
  <c r="F255" i="1"/>
  <c r="E255" i="1"/>
  <c r="D255" i="1"/>
  <c r="C255" i="1"/>
  <c r="I254" i="1"/>
  <c r="H254" i="1"/>
  <c r="G254" i="1"/>
  <c r="F254" i="1"/>
  <c r="E254" i="1"/>
  <c r="D254" i="1"/>
  <c r="C254" i="1"/>
  <c r="I253" i="1"/>
  <c r="H253" i="1"/>
  <c r="G253" i="1"/>
  <c r="F253" i="1"/>
  <c r="E253" i="1"/>
  <c r="D253" i="1"/>
  <c r="C253" i="1"/>
  <c r="I252" i="1"/>
  <c r="H252" i="1"/>
  <c r="G252" i="1"/>
  <c r="F252" i="1"/>
  <c r="E252" i="1"/>
  <c r="D252" i="1"/>
  <c r="C252" i="1"/>
  <c r="I251" i="1"/>
  <c r="H251" i="1"/>
  <c r="G251" i="1"/>
  <c r="F251" i="1"/>
  <c r="E251" i="1"/>
  <c r="D251" i="1"/>
  <c r="C251" i="1"/>
  <c r="I250" i="1"/>
  <c r="H250" i="1"/>
  <c r="G250" i="1"/>
  <c r="F250" i="1"/>
  <c r="E250" i="1"/>
  <c r="D250" i="1"/>
  <c r="C250" i="1"/>
  <c r="I249" i="1"/>
  <c r="H249" i="1"/>
  <c r="G249" i="1"/>
  <c r="F249" i="1"/>
  <c r="E249" i="1"/>
  <c r="D249" i="1"/>
  <c r="C249" i="1"/>
  <c r="I248" i="1"/>
  <c r="H248" i="1"/>
  <c r="G248" i="1"/>
  <c r="F248" i="1"/>
  <c r="E248" i="1"/>
  <c r="D248" i="1"/>
  <c r="C248" i="1"/>
  <c r="I247" i="1"/>
  <c r="H247" i="1"/>
  <c r="G247" i="1"/>
  <c r="F247" i="1"/>
  <c r="E247" i="1"/>
  <c r="D247" i="1"/>
  <c r="C247" i="1"/>
  <c r="I246" i="1"/>
  <c r="H246" i="1"/>
  <c r="G246" i="1"/>
  <c r="F246" i="1"/>
  <c r="E246" i="1"/>
  <c r="D246" i="1"/>
  <c r="C246" i="1"/>
  <c r="I245" i="1"/>
  <c r="H245" i="1"/>
  <c r="G245" i="1"/>
  <c r="F245" i="1"/>
  <c r="E245" i="1"/>
  <c r="D245" i="1"/>
  <c r="C245" i="1"/>
  <c r="I244" i="1"/>
  <c r="H244" i="1"/>
  <c r="G244" i="1"/>
  <c r="F244" i="1"/>
  <c r="E244" i="1"/>
  <c r="D244" i="1"/>
  <c r="C244" i="1"/>
  <c r="I243" i="1"/>
  <c r="H243" i="1"/>
  <c r="G243" i="1"/>
  <c r="F243" i="1"/>
  <c r="E243" i="1"/>
  <c r="D243" i="1"/>
  <c r="C243" i="1"/>
  <c r="I242" i="1"/>
  <c r="H242" i="1"/>
  <c r="G242" i="1"/>
  <c r="F242" i="1"/>
  <c r="E242" i="1"/>
  <c r="D242" i="1"/>
  <c r="C242" i="1"/>
  <c r="I241" i="1"/>
  <c r="H241" i="1"/>
  <c r="G241" i="1"/>
  <c r="F241" i="1"/>
  <c r="E241" i="1"/>
  <c r="D241" i="1"/>
  <c r="C241" i="1"/>
  <c r="I240" i="1"/>
  <c r="H240" i="1"/>
  <c r="G240" i="1"/>
  <c r="F240" i="1"/>
  <c r="E240" i="1"/>
  <c r="D240" i="1"/>
  <c r="C240" i="1"/>
  <c r="I239" i="1"/>
  <c r="H239" i="1"/>
  <c r="G239" i="1"/>
  <c r="F239" i="1"/>
  <c r="E239" i="1"/>
  <c r="D239" i="1"/>
  <c r="C239" i="1"/>
  <c r="I238" i="1"/>
  <c r="H238" i="1"/>
  <c r="G238" i="1"/>
  <c r="F238" i="1"/>
  <c r="E238" i="1"/>
  <c r="D238" i="1"/>
  <c r="C238" i="1"/>
  <c r="I237" i="1"/>
  <c r="H237" i="1"/>
  <c r="G237" i="1"/>
  <c r="F237" i="1"/>
  <c r="E237" i="1"/>
  <c r="D237" i="1"/>
  <c r="C237" i="1"/>
  <c r="I236" i="1"/>
  <c r="H236" i="1"/>
  <c r="G236" i="1"/>
  <c r="F236" i="1"/>
  <c r="E236" i="1"/>
  <c r="D236" i="1"/>
  <c r="C236" i="1"/>
  <c r="I235" i="1"/>
  <c r="H235" i="1"/>
  <c r="G235" i="1"/>
  <c r="F235" i="1"/>
  <c r="E235" i="1"/>
  <c r="D235" i="1"/>
  <c r="C235" i="1"/>
  <c r="I234" i="1"/>
  <c r="H234" i="1"/>
  <c r="G234" i="1"/>
  <c r="F234" i="1"/>
  <c r="E234" i="1"/>
  <c r="D234" i="1"/>
  <c r="C234" i="1"/>
  <c r="I233" i="1"/>
  <c r="H233" i="1"/>
  <c r="G233" i="1"/>
  <c r="F233" i="1"/>
  <c r="E233" i="1"/>
  <c r="D233" i="1"/>
  <c r="C233" i="1"/>
  <c r="I232" i="1"/>
  <c r="H232" i="1"/>
  <c r="G232" i="1"/>
  <c r="F232" i="1"/>
  <c r="E232" i="1"/>
  <c r="D232" i="1"/>
  <c r="C232" i="1"/>
  <c r="I231" i="1"/>
  <c r="H231" i="1"/>
  <c r="G231" i="1"/>
  <c r="F231" i="1"/>
  <c r="E231" i="1"/>
  <c r="D231" i="1"/>
  <c r="C231" i="1"/>
  <c r="I230" i="1"/>
  <c r="H230" i="1"/>
  <c r="G230" i="1"/>
  <c r="F230" i="1"/>
  <c r="E230" i="1"/>
  <c r="D230" i="1"/>
  <c r="C230" i="1"/>
  <c r="I229" i="1"/>
  <c r="H229" i="1"/>
  <c r="G229" i="1"/>
  <c r="F229" i="1"/>
  <c r="E229" i="1"/>
  <c r="D229" i="1"/>
  <c r="C229" i="1"/>
  <c r="I228" i="1"/>
  <c r="H228" i="1"/>
  <c r="G228" i="1"/>
  <c r="F228" i="1"/>
  <c r="E228" i="1"/>
  <c r="D228" i="1"/>
  <c r="C228" i="1"/>
  <c r="I227" i="1"/>
  <c r="H227" i="1"/>
  <c r="G227" i="1"/>
  <c r="F227" i="1"/>
  <c r="E227" i="1"/>
  <c r="D227" i="1"/>
  <c r="C227" i="1"/>
  <c r="I226" i="1"/>
  <c r="H226" i="1"/>
  <c r="G226" i="1"/>
  <c r="F226" i="1"/>
  <c r="E226" i="1"/>
  <c r="D226" i="1"/>
  <c r="C226" i="1"/>
  <c r="I225" i="1"/>
  <c r="H225" i="1"/>
  <c r="G225" i="1"/>
  <c r="F225" i="1"/>
  <c r="E225" i="1"/>
  <c r="D225" i="1"/>
  <c r="C225" i="1"/>
  <c r="I224" i="1"/>
  <c r="H224" i="1"/>
  <c r="G224" i="1"/>
  <c r="F224" i="1"/>
  <c r="E224" i="1"/>
  <c r="D224" i="1"/>
  <c r="C224" i="1"/>
  <c r="I223" i="1"/>
  <c r="H223" i="1"/>
  <c r="G223" i="1"/>
  <c r="F223" i="1"/>
  <c r="E223" i="1"/>
  <c r="D223" i="1"/>
  <c r="C223" i="1"/>
  <c r="I222" i="1"/>
  <c r="H222" i="1"/>
  <c r="G222" i="1"/>
  <c r="F222" i="1"/>
  <c r="E222" i="1"/>
  <c r="D222" i="1"/>
  <c r="C222" i="1"/>
  <c r="I221" i="1"/>
  <c r="H221" i="1"/>
  <c r="G221" i="1"/>
  <c r="F221" i="1"/>
  <c r="E221" i="1"/>
  <c r="D221" i="1"/>
  <c r="C221" i="1"/>
  <c r="I220" i="1"/>
  <c r="H220" i="1"/>
  <c r="G220" i="1"/>
  <c r="F220" i="1"/>
  <c r="E220" i="1"/>
  <c r="D220" i="1"/>
  <c r="C220" i="1"/>
  <c r="I219" i="1"/>
  <c r="H219" i="1"/>
  <c r="G219" i="1"/>
  <c r="F219" i="1"/>
  <c r="E219" i="1"/>
  <c r="D219" i="1"/>
  <c r="C219" i="1"/>
  <c r="I218" i="1"/>
  <c r="H218" i="1"/>
  <c r="G218" i="1"/>
  <c r="F218" i="1"/>
  <c r="E218" i="1"/>
  <c r="D218" i="1"/>
  <c r="C218" i="1"/>
  <c r="I217" i="1"/>
  <c r="H217" i="1"/>
  <c r="G217" i="1"/>
  <c r="F217" i="1"/>
  <c r="E217" i="1"/>
  <c r="D217" i="1"/>
  <c r="C217" i="1"/>
  <c r="I216" i="1"/>
  <c r="H216" i="1"/>
  <c r="G216" i="1"/>
  <c r="F216" i="1"/>
  <c r="E216" i="1"/>
  <c r="D216" i="1"/>
  <c r="C216" i="1"/>
  <c r="I215" i="1"/>
  <c r="H215" i="1"/>
  <c r="G215" i="1"/>
  <c r="F215" i="1"/>
  <c r="E215" i="1"/>
  <c r="D215" i="1"/>
  <c r="C215" i="1"/>
  <c r="I214" i="1"/>
  <c r="H214" i="1"/>
  <c r="G214" i="1"/>
  <c r="F214" i="1"/>
  <c r="E214" i="1"/>
  <c r="D214" i="1"/>
  <c r="C214" i="1"/>
  <c r="I213" i="1"/>
  <c r="H213" i="1"/>
  <c r="G213" i="1"/>
  <c r="F213" i="1"/>
  <c r="E213" i="1"/>
  <c r="D213" i="1"/>
  <c r="C213" i="1"/>
  <c r="I212" i="1"/>
  <c r="H212" i="1"/>
  <c r="G212" i="1"/>
  <c r="F212" i="1"/>
  <c r="E212" i="1"/>
  <c r="D212" i="1"/>
  <c r="C212" i="1"/>
  <c r="I211" i="1"/>
  <c r="H211" i="1"/>
  <c r="G211" i="1"/>
  <c r="F211" i="1"/>
  <c r="E211" i="1"/>
  <c r="D211" i="1"/>
  <c r="C211" i="1"/>
  <c r="I210" i="1"/>
  <c r="H210" i="1"/>
  <c r="G210" i="1"/>
  <c r="F210" i="1"/>
  <c r="E210" i="1"/>
  <c r="D210" i="1"/>
  <c r="C210" i="1"/>
  <c r="I209" i="1"/>
  <c r="H209" i="1"/>
  <c r="G209" i="1"/>
  <c r="F209" i="1"/>
  <c r="E209" i="1"/>
  <c r="D209" i="1"/>
  <c r="C209" i="1"/>
  <c r="I208" i="1"/>
  <c r="H208" i="1"/>
  <c r="G208" i="1"/>
  <c r="F208" i="1"/>
  <c r="E208" i="1"/>
  <c r="D208" i="1"/>
  <c r="C208" i="1"/>
  <c r="I207" i="1"/>
  <c r="H207" i="1"/>
  <c r="G207" i="1"/>
  <c r="F207" i="1"/>
  <c r="E207" i="1"/>
  <c r="D207" i="1"/>
  <c r="C207" i="1"/>
  <c r="I206" i="1"/>
  <c r="H206" i="1"/>
  <c r="G206" i="1"/>
  <c r="F206" i="1"/>
  <c r="E206" i="1"/>
  <c r="D206" i="1"/>
  <c r="C206" i="1"/>
  <c r="I205" i="1"/>
  <c r="H205" i="1"/>
  <c r="G205" i="1"/>
  <c r="F205" i="1"/>
  <c r="E205" i="1"/>
  <c r="D205" i="1"/>
  <c r="C205" i="1"/>
  <c r="I204" i="1"/>
  <c r="H204" i="1"/>
  <c r="G204" i="1"/>
  <c r="F204" i="1"/>
  <c r="E204" i="1"/>
  <c r="D204" i="1"/>
  <c r="C204" i="1"/>
  <c r="I203" i="1"/>
  <c r="H203" i="1"/>
  <c r="G203" i="1"/>
  <c r="F203" i="1"/>
  <c r="E203" i="1"/>
  <c r="D203" i="1"/>
  <c r="C203" i="1"/>
  <c r="I202" i="1"/>
  <c r="H202" i="1"/>
  <c r="G202" i="1"/>
  <c r="F202" i="1"/>
  <c r="E202" i="1"/>
  <c r="D202" i="1"/>
  <c r="C202" i="1"/>
  <c r="I201" i="1"/>
  <c r="H201" i="1"/>
  <c r="G201" i="1"/>
  <c r="F201" i="1"/>
  <c r="E201" i="1"/>
  <c r="D201" i="1"/>
  <c r="C201" i="1"/>
  <c r="I200" i="1"/>
  <c r="H200" i="1"/>
  <c r="G200" i="1"/>
  <c r="F200" i="1"/>
  <c r="E200" i="1"/>
  <c r="D200" i="1"/>
  <c r="C200" i="1"/>
  <c r="I199" i="1"/>
  <c r="H199" i="1"/>
  <c r="G199" i="1"/>
  <c r="F199" i="1"/>
  <c r="E199" i="1"/>
  <c r="D199" i="1"/>
  <c r="C199" i="1"/>
  <c r="I198" i="1"/>
  <c r="H198" i="1"/>
  <c r="G198" i="1"/>
  <c r="F198" i="1"/>
  <c r="E198" i="1"/>
  <c r="D198" i="1"/>
  <c r="C198" i="1"/>
  <c r="I197" i="1"/>
  <c r="H197" i="1"/>
  <c r="G197" i="1"/>
  <c r="F197" i="1"/>
  <c r="E197" i="1"/>
  <c r="D197" i="1"/>
  <c r="C197" i="1"/>
  <c r="I196" i="1"/>
  <c r="H196" i="1"/>
  <c r="G196" i="1"/>
  <c r="F196" i="1"/>
  <c r="E196" i="1"/>
  <c r="D196" i="1"/>
  <c r="C196" i="1"/>
  <c r="I195" i="1"/>
  <c r="H195" i="1"/>
  <c r="G195" i="1"/>
  <c r="F195" i="1"/>
  <c r="E195" i="1"/>
  <c r="D195" i="1"/>
  <c r="C195" i="1"/>
  <c r="I194" i="1"/>
  <c r="H194" i="1"/>
  <c r="G194" i="1"/>
  <c r="F194" i="1"/>
  <c r="E194" i="1"/>
  <c r="D194" i="1"/>
  <c r="C194" i="1"/>
  <c r="I193" i="1"/>
  <c r="H193" i="1"/>
  <c r="G193" i="1"/>
  <c r="F193" i="1"/>
  <c r="E193" i="1"/>
  <c r="D193" i="1"/>
  <c r="C193" i="1"/>
  <c r="I192" i="1"/>
  <c r="H192" i="1"/>
  <c r="G192" i="1"/>
  <c r="F192" i="1"/>
  <c r="E192" i="1"/>
  <c r="D192" i="1"/>
  <c r="C192" i="1"/>
  <c r="I191" i="1"/>
  <c r="H191" i="1"/>
  <c r="G191" i="1"/>
  <c r="F191" i="1"/>
  <c r="E191" i="1"/>
  <c r="D191" i="1"/>
  <c r="C191" i="1"/>
  <c r="I190" i="1"/>
  <c r="H190" i="1"/>
  <c r="G190" i="1"/>
  <c r="F190" i="1"/>
  <c r="E190" i="1"/>
  <c r="D190" i="1"/>
  <c r="C190" i="1"/>
  <c r="I189" i="1"/>
  <c r="H189" i="1"/>
  <c r="G189" i="1"/>
  <c r="F189" i="1"/>
  <c r="E189" i="1"/>
  <c r="D189" i="1"/>
  <c r="C189" i="1"/>
  <c r="I188" i="1"/>
  <c r="H188" i="1"/>
  <c r="G188" i="1"/>
  <c r="F188" i="1"/>
  <c r="E188" i="1"/>
  <c r="D188" i="1"/>
  <c r="C188" i="1"/>
  <c r="I187" i="1"/>
  <c r="H187" i="1"/>
  <c r="G187" i="1"/>
  <c r="F187" i="1"/>
  <c r="E187" i="1"/>
  <c r="D187" i="1"/>
  <c r="C187" i="1"/>
  <c r="I186" i="1"/>
  <c r="H186" i="1"/>
  <c r="G186" i="1"/>
  <c r="F186" i="1"/>
  <c r="E186" i="1"/>
  <c r="D186" i="1"/>
  <c r="C186" i="1"/>
  <c r="I185" i="1"/>
  <c r="H185" i="1"/>
  <c r="G185" i="1"/>
  <c r="F185" i="1"/>
  <c r="E185" i="1"/>
  <c r="D185" i="1"/>
  <c r="C185" i="1"/>
  <c r="I184" i="1"/>
  <c r="H184" i="1"/>
  <c r="G184" i="1"/>
  <c r="F184" i="1"/>
  <c r="E184" i="1"/>
  <c r="D184" i="1"/>
  <c r="C184" i="1"/>
  <c r="I183" i="1"/>
  <c r="H183" i="1"/>
  <c r="G183" i="1"/>
  <c r="F183" i="1"/>
  <c r="E183" i="1"/>
  <c r="D183" i="1"/>
  <c r="C183" i="1"/>
  <c r="I182" i="1"/>
  <c r="H182" i="1"/>
  <c r="G182" i="1"/>
  <c r="F182" i="1"/>
  <c r="E182" i="1"/>
  <c r="D182" i="1"/>
  <c r="C182" i="1"/>
  <c r="I181" i="1"/>
  <c r="H181" i="1"/>
  <c r="G181" i="1"/>
  <c r="F181" i="1"/>
  <c r="E181" i="1"/>
  <c r="D181" i="1"/>
  <c r="C181" i="1"/>
  <c r="I180" i="1"/>
  <c r="H180" i="1"/>
  <c r="G180" i="1"/>
  <c r="F180" i="1"/>
  <c r="E180" i="1"/>
  <c r="D180" i="1"/>
  <c r="C180" i="1"/>
  <c r="I179" i="1"/>
  <c r="H179" i="1"/>
  <c r="G179" i="1"/>
  <c r="F179" i="1"/>
  <c r="E179" i="1"/>
  <c r="D179" i="1"/>
  <c r="C179" i="1"/>
  <c r="I178" i="1"/>
  <c r="H178" i="1"/>
  <c r="G178" i="1"/>
  <c r="F178" i="1"/>
  <c r="E178" i="1"/>
  <c r="D178" i="1"/>
  <c r="C178" i="1"/>
  <c r="I177" i="1"/>
  <c r="H177" i="1"/>
  <c r="G177" i="1"/>
  <c r="F177" i="1"/>
  <c r="E177" i="1"/>
  <c r="D177" i="1"/>
  <c r="C177" i="1"/>
  <c r="I176" i="1"/>
  <c r="H176" i="1"/>
  <c r="G176" i="1"/>
  <c r="F176" i="1"/>
  <c r="E176" i="1"/>
  <c r="D176" i="1"/>
  <c r="C176" i="1"/>
  <c r="I175" i="1"/>
  <c r="H175" i="1"/>
  <c r="G175" i="1"/>
  <c r="F175" i="1"/>
  <c r="E175" i="1"/>
  <c r="D175" i="1"/>
  <c r="C175" i="1"/>
  <c r="I174" i="1"/>
  <c r="H174" i="1"/>
  <c r="G174" i="1"/>
  <c r="F174" i="1"/>
  <c r="E174" i="1"/>
  <c r="D174" i="1"/>
  <c r="C174" i="1"/>
  <c r="I173" i="1"/>
  <c r="H173" i="1"/>
  <c r="G173" i="1"/>
  <c r="F173" i="1"/>
  <c r="E173" i="1"/>
  <c r="D173" i="1"/>
  <c r="C173" i="1"/>
  <c r="I172" i="1"/>
  <c r="H172" i="1"/>
  <c r="G172" i="1"/>
  <c r="F172" i="1"/>
  <c r="E172" i="1"/>
  <c r="D172" i="1"/>
  <c r="C172" i="1"/>
  <c r="I171" i="1"/>
  <c r="H171" i="1"/>
  <c r="G171" i="1"/>
  <c r="F171" i="1"/>
  <c r="E171" i="1"/>
  <c r="D171" i="1"/>
  <c r="C171" i="1"/>
  <c r="I170" i="1"/>
  <c r="H170" i="1"/>
  <c r="G170" i="1"/>
  <c r="F170" i="1"/>
  <c r="E170" i="1"/>
  <c r="D170" i="1"/>
  <c r="C170" i="1"/>
  <c r="I169" i="1"/>
  <c r="H169" i="1"/>
  <c r="G169" i="1"/>
  <c r="F169" i="1"/>
  <c r="E169" i="1"/>
  <c r="D169" i="1"/>
  <c r="C169" i="1"/>
  <c r="I168" i="1"/>
  <c r="H168" i="1"/>
  <c r="G168" i="1"/>
  <c r="F168" i="1"/>
  <c r="E168" i="1"/>
  <c r="D168" i="1"/>
  <c r="C168" i="1"/>
  <c r="I167" i="1"/>
  <c r="H167" i="1"/>
  <c r="G167" i="1"/>
  <c r="F167" i="1"/>
  <c r="E167" i="1"/>
  <c r="D167" i="1"/>
  <c r="C167" i="1"/>
  <c r="I166" i="1"/>
  <c r="H166" i="1"/>
  <c r="G166" i="1"/>
  <c r="F166" i="1"/>
  <c r="E166" i="1"/>
  <c r="D166" i="1"/>
  <c r="C166" i="1"/>
  <c r="I165" i="1"/>
  <c r="H165" i="1"/>
  <c r="G165" i="1"/>
  <c r="F165" i="1"/>
  <c r="E165" i="1"/>
  <c r="D165" i="1"/>
  <c r="C165" i="1"/>
  <c r="I164" i="1"/>
  <c r="H164" i="1"/>
  <c r="G164" i="1"/>
  <c r="F164" i="1"/>
  <c r="E164" i="1"/>
  <c r="D164" i="1"/>
  <c r="C164" i="1"/>
  <c r="I163" i="1"/>
  <c r="H163" i="1"/>
  <c r="G163" i="1"/>
  <c r="F163" i="1"/>
  <c r="E163" i="1"/>
  <c r="D163" i="1"/>
  <c r="C163" i="1"/>
  <c r="I162" i="1"/>
  <c r="H162" i="1"/>
  <c r="G162" i="1"/>
  <c r="F162" i="1"/>
  <c r="E162" i="1"/>
  <c r="D162" i="1"/>
  <c r="C162" i="1"/>
  <c r="I161" i="1"/>
  <c r="H161" i="1"/>
  <c r="G161" i="1"/>
  <c r="F161" i="1"/>
  <c r="E161" i="1"/>
  <c r="D161" i="1"/>
  <c r="C161" i="1"/>
  <c r="I160" i="1"/>
  <c r="H160" i="1"/>
  <c r="G160" i="1"/>
  <c r="F160" i="1"/>
  <c r="E160" i="1"/>
  <c r="D160" i="1"/>
  <c r="C160" i="1"/>
  <c r="I159" i="1"/>
  <c r="H159" i="1"/>
  <c r="G159" i="1"/>
  <c r="F159" i="1"/>
  <c r="E159" i="1"/>
  <c r="D159" i="1"/>
  <c r="C159" i="1"/>
  <c r="I158" i="1"/>
  <c r="H158" i="1"/>
  <c r="G158" i="1"/>
  <c r="F158" i="1"/>
  <c r="E158" i="1"/>
  <c r="D158" i="1"/>
  <c r="C158" i="1"/>
  <c r="I157" i="1"/>
  <c r="H157" i="1"/>
  <c r="G157" i="1"/>
  <c r="F157" i="1"/>
  <c r="E157" i="1"/>
  <c r="D157" i="1"/>
  <c r="C157" i="1"/>
  <c r="I156" i="1"/>
  <c r="H156" i="1"/>
  <c r="G156" i="1"/>
  <c r="F156" i="1"/>
  <c r="E156" i="1"/>
  <c r="D156" i="1"/>
  <c r="C156" i="1"/>
  <c r="I155" i="1"/>
  <c r="H155" i="1"/>
  <c r="G155" i="1"/>
  <c r="F155" i="1"/>
  <c r="E155" i="1"/>
  <c r="D155" i="1"/>
  <c r="C155" i="1"/>
  <c r="I154" i="1"/>
  <c r="H154" i="1"/>
  <c r="G154" i="1"/>
  <c r="F154" i="1"/>
  <c r="E154" i="1"/>
  <c r="D154" i="1"/>
  <c r="C154" i="1"/>
  <c r="I153" i="1"/>
  <c r="H153" i="1"/>
  <c r="G153" i="1"/>
  <c r="F153" i="1"/>
  <c r="E153" i="1"/>
  <c r="D153" i="1"/>
  <c r="C153" i="1"/>
  <c r="I152" i="1"/>
  <c r="H152" i="1"/>
  <c r="G152" i="1"/>
  <c r="F152" i="1"/>
  <c r="E152" i="1"/>
  <c r="D152" i="1"/>
  <c r="C152" i="1"/>
  <c r="I151" i="1"/>
  <c r="H151" i="1"/>
  <c r="G151" i="1"/>
  <c r="F151" i="1"/>
  <c r="E151" i="1"/>
  <c r="D151" i="1"/>
  <c r="C151" i="1"/>
  <c r="I150" i="1"/>
  <c r="H150" i="1"/>
  <c r="G150" i="1"/>
  <c r="F150" i="1"/>
  <c r="E150" i="1"/>
  <c r="D150" i="1"/>
  <c r="C150" i="1"/>
  <c r="I149" i="1"/>
  <c r="H149" i="1"/>
  <c r="G149" i="1"/>
  <c r="F149" i="1"/>
  <c r="E149" i="1"/>
  <c r="D149" i="1"/>
  <c r="C149" i="1"/>
  <c r="I148" i="1"/>
  <c r="H148" i="1"/>
  <c r="G148" i="1"/>
  <c r="F148" i="1"/>
  <c r="E148" i="1"/>
  <c r="D148" i="1"/>
  <c r="C148" i="1"/>
  <c r="I147" i="1"/>
  <c r="H147" i="1"/>
  <c r="G147" i="1"/>
  <c r="F147" i="1"/>
  <c r="E147" i="1"/>
  <c r="D147" i="1"/>
  <c r="C147" i="1"/>
  <c r="I146" i="1"/>
  <c r="H146" i="1"/>
  <c r="G146" i="1"/>
  <c r="F146" i="1"/>
  <c r="E146" i="1"/>
  <c r="D146" i="1"/>
  <c r="C146" i="1"/>
  <c r="I145" i="1"/>
  <c r="H145" i="1"/>
  <c r="G145" i="1"/>
  <c r="F145" i="1"/>
  <c r="E145" i="1"/>
  <c r="D145" i="1"/>
  <c r="C145" i="1"/>
  <c r="I144" i="1"/>
  <c r="H144" i="1"/>
  <c r="G144" i="1"/>
  <c r="F144" i="1"/>
  <c r="E144" i="1"/>
  <c r="D144" i="1"/>
  <c r="C144" i="1"/>
  <c r="I143" i="1"/>
  <c r="H143" i="1"/>
  <c r="G143" i="1"/>
  <c r="F143" i="1"/>
  <c r="E143" i="1"/>
  <c r="D143" i="1"/>
  <c r="C143" i="1"/>
  <c r="I142" i="1"/>
  <c r="H142" i="1"/>
  <c r="G142" i="1"/>
  <c r="F142" i="1"/>
  <c r="E142" i="1"/>
  <c r="D142" i="1"/>
  <c r="C142" i="1"/>
  <c r="I141" i="1"/>
  <c r="H141" i="1"/>
  <c r="G141" i="1"/>
  <c r="F141" i="1"/>
  <c r="E141" i="1"/>
  <c r="D141" i="1"/>
  <c r="C141" i="1"/>
  <c r="I140" i="1"/>
  <c r="H140" i="1"/>
  <c r="G140" i="1"/>
  <c r="F140" i="1"/>
  <c r="E140" i="1"/>
  <c r="D140" i="1"/>
  <c r="C140" i="1"/>
  <c r="I139" i="1"/>
  <c r="H139" i="1"/>
  <c r="G139" i="1"/>
  <c r="F139" i="1"/>
  <c r="E139" i="1"/>
  <c r="D139" i="1"/>
  <c r="C139" i="1"/>
  <c r="I138" i="1"/>
  <c r="H138" i="1"/>
  <c r="G138" i="1"/>
  <c r="F138" i="1"/>
  <c r="E138" i="1"/>
  <c r="D138" i="1"/>
  <c r="C138" i="1"/>
  <c r="I137" i="1"/>
  <c r="H137" i="1"/>
  <c r="G137" i="1"/>
  <c r="F137" i="1"/>
  <c r="E137" i="1"/>
  <c r="D137" i="1"/>
  <c r="C137" i="1"/>
  <c r="I136" i="1"/>
  <c r="H136" i="1"/>
  <c r="G136" i="1"/>
  <c r="F136" i="1"/>
  <c r="E136" i="1"/>
  <c r="D136" i="1"/>
  <c r="C136" i="1"/>
  <c r="I135" i="1"/>
  <c r="H135" i="1"/>
  <c r="G135" i="1"/>
  <c r="F135" i="1"/>
  <c r="E135" i="1"/>
  <c r="D135" i="1"/>
  <c r="C135" i="1"/>
  <c r="I134" i="1"/>
  <c r="H134" i="1"/>
  <c r="G134" i="1"/>
  <c r="F134" i="1"/>
  <c r="E134" i="1"/>
  <c r="D134" i="1"/>
  <c r="C134" i="1"/>
  <c r="I133" i="1"/>
  <c r="H133" i="1"/>
  <c r="G133" i="1"/>
  <c r="F133" i="1"/>
  <c r="E133" i="1"/>
  <c r="D133" i="1"/>
  <c r="C133" i="1"/>
  <c r="I132" i="1"/>
  <c r="H132" i="1"/>
  <c r="G132" i="1"/>
  <c r="F132" i="1"/>
  <c r="E132" i="1"/>
  <c r="D132" i="1"/>
  <c r="C132" i="1"/>
  <c r="I131" i="1"/>
  <c r="H131" i="1"/>
  <c r="G131" i="1"/>
  <c r="F131" i="1"/>
  <c r="E131" i="1"/>
  <c r="D131" i="1"/>
  <c r="C131" i="1"/>
  <c r="I130" i="1"/>
  <c r="H130" i="1"/>
  <c r="G130" i="1"/>
  <c r="F130" i="1"/>
  <c r="E130" i="1"/>
  <c r="D130" i="1"/>
  <c r="C130" i="1"/>
  <c r="I129" i="1"/>
  <c r="H129" i="1"/>
  <c r="G129" i="1"/>
  <c r="F129" i="1"/>
  <c r="E129" i="1"/>
  <c r="D129" i="1"/>
  <c r="C129" i="1"/>
  <c r="I128" i="1"/>
  <c r="H128" i="1"/>
  <c r="G128" i="1"/>
  <c r="F128" i="1"/>
  <c r="E128" i="1"/>
  <c r="D128" i="1"/>
  <c r="C128" i="1"/>
  <c r="I127" i="1"/>
  <c r="H127" i="1"/>
  <c r="G127" i="1"/>
  <c r="F127" i="1"/>
  <c r="E127" i="1"/>
  <c r="D127" i="1"/>
  <c r="C127" i="1"/>
  <c r="I126" i="1"/>
  <c r="H126" i="1"/>
  <c r="G126" i="1"/>
  <c r="F126" i="1"/>
  <c r="E126" i="1"/>
  <c r="D126" i="1"/>
  <c r="C126" i="1"/>
  <c r="I125" i="1"/>
  <c r="H125" i="1"/>
  <c r="G125" i="1"/>
  <c r="F125" i="1"/>
  <c r="E125" i="1"/>
  <c r="D125" i="1"/>
  <c r="C125" i="1"/>
  <c r="I124" i="1"/>
  <c r="H124" i="1"/>
  <c r="G124" i="1"/>
  <c r="F124" i="1"/>
  <c r="E124" i="1"/>
  <c r="D124" i="1"/>
  <c r="C124" i="1"/>
  <c r="I123" i="1"/>
  <c r="H123" i="1"/>
  <c r="G123" i="1"/>
  <c r="F123" i="1"/>
  <c r="E123" i="1"/>
  <c r="D123" i="1"/>
  <c r="C123" i="1"/>
  <c r="I122" i="1"/>
  <c r="H122" i="1"/>
  <c r="G122" i="1"/>
  <c r="F122" i="1"/>
  <c r="E122" i="1"/>
  <c r="D122" i="1"/>
  <c r="C122" i="1"/>
  <c r="I121" i="1"/>
  <c r="H121" i="1"/>
  <c r="G121" i="1"/>
  <c r="F121" i="1"/>
  <c r="E121" i="1"/>
  <c r="D121" i="1"/>
  <c r="C121" i="1"/>
  <c r="I120" i="1"/>
  <c r="H120" i="1"/>
  <c r="G120" i="1"/>
  <c r="F120" i="1"/>
  <c r="E120" i="1"/>
  <c r="D120" i="1"/>
  <c r="C120" i="1"/>
  <c r="I119" i="1"/>
  <c r="H119" i="1"/>
  <c r="G119" i="1"/>
  <c r="F119" i="1"/>
  <c r="E119" i="1"/>
  <c r="D119" i="1"/>
  <c r="C119" i="1"/>
  <c r="I118" i="1"/>
  <c r="H118" i="1"/>
  <c r="G118" i="1"/>
  <c r="F118" i="1"/>
  <c r="E118" i="1"/>
  <c r="D118" i="1"/>
  <c r="C118" i="1"/>
  <c r="I117" i="1"/>
  <c r="H117" i="1"/>
  <c r="G117" i="1"/>
  <c r="F117" i="1"/>
  <c r="E117" i="1"/>
  <c r="D117" i="1"/>
  <c r="C117" i="1"/>
  <c r="I116" i="1"/>
  <c r="H116" i="1"/>
  <c r="G116" i="1"/>
  <c r="F116" i="1"/>
  <c r="E116" i="1"/>
  <c r="D116" i="1"/>
  <c r="C116" i="1"/>
  <c r="I115" i="1"/>
  <c r="H115" i="1"/>
  <c r="G115" i="1"/>
  <c r="F115" i="1"/>
  <c r="E115" i="1"/>
  <c r="D115" i="1"/>
  <c r="C115" i="1"/>
  <c r="I114" i="1"/>
  <c r="H114" i="1"/>
  <c r="G114" i="1"/>
  <c r="F114" i="1"/>
  <c r="E114" i="1"/>
  <c r="D114" i="1"/>
  <c r="C114" i="1"/>
  <c r="I113" i="1"/>
  <c r="H113" i="1"/>
  <c r="G113" i="1"/>
  <c r="F113" i="1"/>
  <c r="E113" i="1"/>
  <c r="D113" i="1"/>
  <c r="C113" i="1"/>
  <c r="I112" i="1"/>
  <c r="H112" i="1"/>
  <c r="G112" i="1"/>
  <c r="F112" i="1"/>
  <c r="E112" i="1"/>
  <c r="D112" i="1"/>
  <c r="C112" i="1"/>
  <c r="I111" i="1"/>
  <c r="H111" i="1"/>
  <c r="G111" i="1"/>
  <c r="F111" i="1"/>
  <c r="E111" i="1"/>
  <c r="D111" i="1"/>
  <c r="C111" i="1"/>
  <c r="I110" i="1"/>
  <c r="H110" i="1"/>
  <c r="G110" i="1"/>
  <c r="F110" i="1"/>
  <c r="E110" i="1"/>
  <c r="D110" i="1"/>
  <c r="C110" i="1"/>
  <c r="I109" i="1"/>
  <c r="H109" i="1"/>
  <c r="G109" i="1"/>
  <c r="F109" i="1"/>
  <c r="E109" i="1"/>
  <c r="D109" i="1"/>
  <c r="C109" i="1"/>
  <c r="I108" i="1"/>
  <c r="H108" i="1"/>
  <c r="G108" i="1"/>
  <c r="F108" i="1"/>
  <c r="E108" i="1"/>
  <c r="D108" i="1"/>
  <c r="C108" i="1"/>
  <c r="I107" i="1"/>
  <c r="H107" i="1"/>
  <c r="G107" i="1"/>
  <c r="F107" i="1"/>
  <c r="E107" i="1"/>
  <c r="D107" i="1"/>
  <c r="C107" i="1"/>
  <c r="I106" i="1"/>
  <c r="H106" i="1"/>
  <c r="G106" i="1"/>
  <c r="F106" i="1"/>
  <c r="E106" i="1"/>
  <c r="D106" i="1"/>
  <c r="C106" i="1"/>
  <c r="I105" i="1"/>
  <c r="H105" i="1"/>
  <c r="G105" i="1"/>
  <c r="F105" i="1"/>
  <c r="E105" i="1"/>
  <c r="D105" i="1"/>
  <c r="C105" i="1"/>
  <c r="I104" i="1"/>
  <c r="H104" i="1"/>
  <c r="G104" i="1"/>
  <c r="F104" i="1"/>
  <c r="E104" i="1"/>
  <c r="D104" i="1"/>
  <c r="C104" i="1"/>
  <c r="I103" i="1"/>
  <c r="H103" i="1"/>
  <c r="G103" i="1"/>
  <c r="F103" i="1"/>
  <c r="E103" i="1"/>
  <c r="D103" i="1"/>
  <c r="C103" i="1"/>
  <c r="I102" i="1"/>
  <c r="H102" i="1"/>
  <c r="G102" i="1"/>
  <c r="F102" i="1"/>
  <c r="E102" i="1"/>
  <c r="D102" i="1"/>
  <c r="C102" i="1"/>
  <c r="I101" i="1"/>
  <c r="H101" i="1"/>
  <c r="G101" i="1"/>
  <c r="F101" i="1"/>
  <c r="E101" i="1"/>
  <c r="D101" i="1"/>
  <c r="C101" i="1"/>
  <c r="I100" i="1"/>
  <c r="H100" i="1"/>
  <c r="G100" i="1"/>
  <c r="F100" i="1"/>
  <c r="E100" i="1"/>
  <c r="D100" i="1"/>
  <c r="C100" i="1"/>
  <c r="I99" i="1"/>
  <c r="H99" i="1"/>
  <c r="G99" i="1"/>
  <c r="F99" i="1"/>
  <c r="E99" i="1"/>
  <c r="D99" i="1"/>
  <c r="C99" i="1"/>
  <c r="I98" i="1"/>
  <c r="H98" i="1"/>
  <c r="G98" i="1"/>
  <c r="F98" i="1"/>
  <c r="E98" i="1"/>
  <c r="D98" i="1"/>
  <c r="C98" i="1"/>
  <c r="I97" i="1"/>
  <c r="H97" i="1"/>
  <c r="G97" i="1"/>
  <c r="F97" i="1"/>
  <c r="E97" i="1"/>
  <c r="D97" i="1"/>
  <c r="C97" i="1"/>
  <c r="I96" i="1"/>
  <c r="H96" i="1"/>
  <c r="G96" i="1"/>
  <c r="F96" i="1"/>
  <c r="E96" i="1"/>
  <c r="D96" i="1"/>
  <c r="C96" i="1"/>
  <c r="I95" i="1"/>
  <c r="H95" i="1"/>
  <c r="G95" i="1"/>
  <c r="F95" i="1"/>
  <c r="E95" i="1"/>
  <c r="D95" i="1"/>
  <c r="C95" i="1"/>
  <c r="I94" i="1"/>
  <c r="H94" i="1"/>
  <c r="G94" i="1"/>
  <c r="F94" i="1"/>
  <c r="E94" i="1"/>
  <c r="D94" i="1"/>
  <c r="C94" i="1"/>
  <c r="I93" i="1"/>
  <c r="H93" i="1"/>
  <c r="G93" i="1"/>
  <c r="F93" i="1"/>
  <c r="E93" i="1"/>
  <c r="D93" i="1"/>
  <c r="C93" i="1"/>
  <c r="I92" i="1"/>
  <c r="H92" i="1"/>
  <c r="G92" i="1"/>
  <c r="F92" i="1"/>
  <c r="E92" i="1"/>
  <c r="D92" i="1"/>
  <c r="C92" i="1"/>
  <c r="I91" i="1"/>
  <c r="H91" i="1"/>
  <c r="G91" i="1"/>
  <c r="F91" i="1"/>
  <c r="E91" i="1"/>
  <c r="D91" i="1"/>
  <c r="C91" i="1"/>
  <c r="I90" i="1"/>
  <c r="H90" i="1"/>
  <c r="G90" i="1"/>
  <c r="F90" i="1"/>
  <c r="E90" i="1"/>
  <c r="D90" i="1"/>
  <c r="C90" i="1"/>
  <c r="I89" i="1"/>
  <c r="H89" i="1"/>
  <c r="G89" i="1"/>
  <c r="F89" i="1"/>
  <c r="E89" i="1"/>
  <c r="D89" i="1"/>
  <c r="C89" i="1"/>
  <c r="I88" i="1"/>
  <c r="H88" i="1"/>
  <c r="G88" i="1"/>
  <c r="F88" i="1"/>
  <c r="E88" i="1"/>
  <c r="D88" i="1"/>
  <c r="C88" i="1"/>
  <c r="I87" i="1"/>
  <c r="H87" i="1"/>
  <c r="G87" i="1"/>
  <c r="F87" i="1"/>
  <c r="E87" i="1"/>
  <c r="D87" i="1"/>
  <c r="C87" i="1"/>
  <c r="I86" i="1"/>
  <c r="H86" i="1"/>
  <c r="G86" i="1"/>
  <c r="F86" i="1"/>
  <c r="E86" i="1"/>
  <c r="D86" i="1"/>
  <c r="C86" i="1"/>
  <c r="I85" i="1"/>
  <c r="H85" i="1"/>
  <c r="G85" i="1"/>
  <c r="F85" i="1"/>
  <c r="E85" i="1"/>
  <c r="D85" i="1"/>
  <c r="C85" i="1"/>
  <c r="I84" i="1"/>
  <c r="H84" i="1"/>
  <c r="G84" i="1"/>
  <c r="F84" i="1"/>
  <c r="E84" i="1"/>
  <c r="D84" i="1"/>
  <c r="C84" i="1"/>
  <c r="I83" i="1"/>
  <c r="H83" i="1"/>
  <c r="G83" i="1"/>
  <c r="F83" i="1"/>
  <c r="E83" i="1"/>
  <c r="D83" i="1"/>
  <c r="C83" i="1"/>
  <c r="I82" i="1"/>
  <c r="H82" i="1"/>
  <c r="G82" i="1"/>
  <c r="F82" i="1"/>
  <c r="E82" i="1"/>
  <c r="D82" i="1"/>
  <c r="C82" i="1"/>
  <c r="I81" i="1"/>
  <c r="H81" i="1"/>
  <c r="G81" i="1"/>
  <c r="F81" i="1"/>
  <c r="E81" i="1"/>
  <c r="D81" i="1"/>
  <c r="C81" i="1"/>
  <c r="I80" i="1"/>
  <c r="H80" i="1"/>
  <c r="G80" i="1"/>
  <c r="F80" i="1"/>
  <c r="E80" i="1"/>
  <c r="D80" i="1"/>
  <c r="C80" i="1"/>
  <c r="I79" i="1"/>
  <c r="H79" i="1"/>
  <c r="G79" i="1"/>
  <c r="F79" i="1"/>
  <c r="E79" i="1"/>
  <c r="D79" i="1"/>
  <c r="C79" i="1"/>
  <c r="I78" i="1"/>
  <c r="H78" i="1"/>
  <c r="G78" i="1"/>
  <c r="F78" i="1"/>
  <c r="E78" i="1"/>
  <c r="D78" i="1"/>
  <c r="C78" i="1"/>
  <c r="I77" i="1"/>
  <c r="H77" i="1"/>
  <c r="G77" i="1"/>
  <c r="F77" i="1"/>
  <c r="E77" i="1"/>
  <c r="D77" i="1"/>
  <c r="C77" i="1"/>
  <c r="I76" i="1"/>
  <c r="H76" i="1"/>
  <c r="G76" i="1"/>
  <c r="F76" i="1"/>
  <c r="E76" i="1"/>
  <c r="D76" i="1"/>
  <c r="C76" i="1"/>
  <c r="I75" i="1"/>
  <c r="H75" i="1"/>
  <c r="G75" i="1"/>
  <c r="F75" i="1"/>
  <c r="E75" i="1"/>
  <c r="D75" i="1"/>
  <c r="C75" i="1"/>
  <c r="I74" i="1"/>
  <c r="H74" i="1"/>
  <c r="G74" i="1"/>
  <c r="F74" i="1"/>
  <c r="E74" i="1"/>
  <c r="D74" i="1"/>
  <c r="C74" i="1"/>
  <c r="I73" i="1"/>
  <c r="H73" i="1"/>
  <c r="G73" i="1"/>
  <c r="F73" i="1"/>
  <c r="E73" i="1"/>
  <c r="D73" i="1"/>
  <c r="C73" i="1"/>
  <c r="I72" i="1"/>
  <c r="H72" i="1"/>
  <c r="G72" i="1"/>
  <c r="F72" i="1"/>
  <c r="E72" i="1"/>
  <c r="D72" i="1"/>
  <c r="C72" i="1"/>
  <c r="I71" i="1"/>
  <c r="H71" i="1"/>
  <c r="G71" i="1"/>
  <c r="F71" i="1"/>
  <c r="E71" i="1"/>
  <c r="D71" i="1"/>
  <c r="C71" i="1"/>
  <c r="I70" i="1"/>
  <c r="H70" i="1"/>
  <c r="G70" i="1"/>
  <c r="F70" i="1"/>
  <c r="E70" i="1"/>
  <c r="D70" i="1"/>
  <c r="C70" i="1"/>
  <c r="I69" i="1"/>
  <c r="H69" i="1"/>
  <c r="G69" i="1"/>
  <c r="F69" i="1"/>
  <c r="E69" i="1"/>
  <c r="D69" i="1"/>
  <c r="C69" i="1"/>
  <c r="I68" i="1"/>
  <c r="H68" i="1"/>
  <c r="G68" i="1"/>
  <c r="F68" i="1"/>
  <c r="E68" i="1"/>
  <c r="D68" i="1"/>
  <c r="C68" i="1"/>
  <c r="I67" i="1"/>
  <c r="H67" i="1"/>
  <c r="G67" i="1"/>
  <c r="F67" i="1"/>
  <c r="E67" i="1"/>
  <c r="D67" i="1"/>
  <c r="C67" i="1"/>
  <c r="I66" i="1"/>
  <c r="H66" i="1"/>
  <c r="G66" i="1"/>
  <c r="F66" i="1"/>
  <c r="E66" i="1"/>
  <c r="D66" i="1"/>
  <c r="C66" i="1"/>
  <c r="I65" i="1"/>
  <c r="H65" i="1"/>
  <c r="G65" i="1"/>
  <c r="F65" i="1"/>
  <c r="E65" i="1"/>
  <c r="D65" i="1"/>
  <c r="C65" i="1"/>
  <c r="I64" i="1"/>
  <c r="H64" i="1"/>
  <c r="G64" i="1"/>
  <c r="F64" i="1"/>
  <c r="E64" i="1"/>
  <c r="D64" i="1"/>
  <c r="C64" i="1"/>
  <c r="I63" i="1"/>
  <c r="H63" i="1"/>
  <c r="G63" i="1"/>
  <c r="F63" i="1"/>
  <c r="E63" i="1"/>
  <c r="D63" i="1"/>
  <c r="C63" i="1"/>
  <c r="I62" i="1"/>
  <c r="H62" i="1"/>
  <c r="G62" i="1"/>
  <c r="F62" i="1"/>
  <c r="E62" i="1"/>
  <c r="D62" i="1"/>
  <c r="C62" i="1"/>
  <c r="I61" i="1"/>
  <c r="H61" i="1"/>
  <c r="G61" i="1"/>
  <c r="F61" i="1"/>
  <c r="E61" i="1"/>
  <c r="D61" i="1"/>
  <c r="C61" i="1"/>
  <c r="I60" i="1"/>
  <c r="H60" i="1"/>
  <c r="G60" i="1"/>
  <c r="F60" i="1"/>
  <c r="E60" i="1"/>
  <c r="D60" i="1"/>
  <c r="C60" i="1"/>
  <c r="I59" i="1"/>
  <c r="H59" i="1"/>
  <c r="G59" i="1"/>
  <c r="F59" i="1"/>
  <c r="E59" i="1"/>
  <c r="D59" i="1"/>
  <c r="C59" i="1"/>
  <c r="I58" i="1"/>
  <c r="H58" i="1"/>
  <c r="G58" i="1"/>
  <c r="F58" i="1"/>
  <c r="E58" i="1"/>
  <c r="D58" i="1"/>
  <c r="C58" i="1"/>
  <c r="I57" i="1"/>
  <c r="H57" i="1"/>
  <c r="G57" i="1"/>
  <c r="F57" i="1"/>
  <c r="E57" i="1"/>
  <c r="D57" i="1"/>
  <c r="C57" i="1"/>
  <c r="I56" i="1"/>
  <c r="H56" i="1"/>
  <c r="G56" i="1"/>
  <c r="F56" i="1"/>
  <c r="E56" i="1"/>
  <c r="D56" i="1"/>
  <c r="C56" i="1"/>
  <c r="I55" i="1"/>
  <c r="H55" i="1"/>
  <c r="G55" i="1"/>
  <c r="F55" i="1"/>
  <c r="E55" i="1"/>
  <c r="D55" i="1"/>
  <c r="C55" i="1"/>
  <c r="I54" i="1"/>
  <c r="H54" i="1"/>
  <c r="G54" i="1"/>
  <c r="F54" i="1"/>
  <c r="E54" i="1"/>
  <c r="D54" i="1"/>
  <c r="C54" i="1"/>
  <c r="I53" i="1"/>
  <c r="H53" i="1"/>
  <c r="G53" i="1"/>
  <c r="F53" i="1"/>
  <c r="E53" i="1"/>
  <c r="D53" i="1"/>
  <c r="C53" i="1"/>
  <c r="I52" i="1"/>
  <c r="H52" i="1"/>
  <c r="G52" i="1"/>
  <c r="F52" i="1"/>
  <c r="E52" i="1"/>
  <c r="D52" i="1"/>
  <c r="C52" i="1"/>
  <c r="I51" i="1"/>
  <c r="H51" i="1"/>
  <c r="G51" i="1"/>
  <c r="F51" i="1"/>
  <c r="E51" i="1"/>
  <c r="D51" i="1"/>
  <c r="C51" i="1"/>
  <c r="I50" i="1"/>
  <c r="H50" i="1"/>
  <c r="G50" i="1"/>
  <c r="F50" i="1"/>
  <c r="E50" i="1"/>
  <c r="D50" i="1"/>
  <c r="C50" i="1"/>
  <c r="I49" i="1"/>
  <c r="H49" i="1"/>
  <c r="G49" i="1"/>
  <c r="F49" i="1"/>
  <c r="E49" i="1"/>
  <c r="D49" i="1"/>
  <c r="C49" i="1"/>
  <c r="I48" i="1"/>
  <c r="H48" i="1"/>
  <c r="G48" i="1"/>
  <c r="F48" i="1"/>
  <c r="E48" i="1"/>
  <c r="D48" i="1"/>
  <c r="C48" i="1"/>
  <c r="I47" i="1"/>
  <c r="H47" i="1"/>
  <c r="G47" i="1"/>
  <c r="F47" i="1"/>
  <c r="E47" i="1"/>
  <c r="D47" i="1"/>
  <c r="C47" i="1"/>
  <c r="I46" i="1"/>
  <c r="H46" i="1"/>
  <c r="G46" i="1"/>
  <c r="F46" i="1"/>
  <c r="E46" i="1"/>
  <c r="D46" i="1"/>
  <c r="C46" i="1"/>
  <c r="I45" i="1"/>
  <c r="H45" i="1"/>
  <c r="G45" i="1"/>
  <c r="F45" i="1"/>
  <c r="E45" i="1"/>
  <c r="D45" i="1"/>
  <c r="C45" i="1"/>
  <c r="I44" i="1"/>
  <c r="H44" i="1"/>
  <c r="G44" i="1"/>
  <c r="F44" i="1"/>
  <c r="E44" i="1"/>
  <c r="D44" i="1"/>
  <c r="C44" i="1"/>
  <c r="I43" i="1"/>
  <c r="H43" i="1"/>
  <c r="G43" i="1"/>
  <c r="F43" i="1"/>
  <c r="E43" i="1"/>
  <c r="D43" i="1"/>
  <c r="C43" i="1"/>
  <c r="I42" i="1"/>
  <c r="H42" i="1"/>
  <c r="G42" i="1"/>
  <c r="F42" i="1"/>
  <c r="E42" i="1"/>
  <c r="D42" i="1"/>
  <c r="C42" i="1"/>
  <c r="I41" i="1"/>
  <c r="H41" i="1"/>
  <c r="G41" i="1"/>
  <c r="F41" i="1"/>
  <c r="E41" i="1"/>
  <c r="D41" i="1"/>
  <c r="C41" i="1"/>
  <c r="I40" i="1"/>
  <c r="H40" i="1"/>
  <c r="G40" i="1"/>
  <c r="F40" i="1"/>
  <c r="E40" i="1"/>
  <c r="D40" i="1"/>
  <c r="C40" i="1"/>
  <c r="I39" i="1"/>
  <c r="H39" i="1"/>
  <c r="G39" i="1"/>
  <c r="F39" i="1"/>
  <c r="E39" i="1"/>
  <c r="D39" i="1"/>
  <c r="C39" i="1"/>
  <c r="I38" i="1"/>
  <c r="H38" i="1"/>
  <c r="G38" i="1"/>
  <c r="F38" i="1"/>
  <c r="E38" i="1"/>
  <c r="D38" i="1"/>
  <c r="C38" i="1"/>
  <c r="I37" i="1"/>
  <c r="H37" i="1"/>
  <c r="G37" i="1"/>
  <c r="F37" i="1"/>
  <c r="E37" i="1"/>
  <c r="D37" i="1"/>
  <c r="C37" i="1"/>
  <c r="I36" i="1"/>
  <c r="H36" i="1"/>
  <c r="G36" i="1"/>
  <c r="F36" i="1"/>
  <c r="E36" i="1"/>
  <c r="D36" i="1"/>
  <c r="C36" i="1"/>
  <c r="I35" i="1"/>
  <c r="H35" i="1"/>
  <c r="G35" i="1"/>
  <c r="F35" i="1"/>
  <c r="E35" i="1"/>
  <c r="D35" i="1"/>
  <c r="C35" i="1"/>
  <c r="I34" i="1"/>
  <c r="H34" i="1"/>
  <c r="G34" i="1"/>
  <c r="F34" i="1"/>
  <c r="E34" i="1"/>
  <c r="D34" i="1"/>
  <c r="C34" i="1"/>
  <c r="I33" i="1"/>
  <c r="H33" i="1"/>
  <c r="G33" i="1"/>
  <c r="F33" i="1"/>
  <c r="E33" i="1"/>
  <c r="D33" i="1"/>
  <c r="C33" i="1"/>
  <c r="I32" i="1"/>
  <c r="H32" i="1"/>
  <c r="G32" i="1"/>
  <c r="F32" i="1"/>
  <c r="E32" i="1"/>
  <c r="D32" i="1"/>
  <c r="C32" i="1"/>
  <c r="I31" i="1"/>
  <c r="H31" i="1"/>
  <c r="G31" i="1"/>
  <c r="F31" i="1"/>
  <c r="E31" i="1"/>
  <c r="D31" i="1"/>
  <c r="C31" i="1"/>
  <c r="I30" i="1"/>
  <c r="H30" i="1"/>
  <c r="G30" i="1"/>
  <c r="F30" i="1"/>
  <c r="E30" i="1"/>
  <c r="D30" i="1"/>
  <c r="C30" i="1"/>
  <c r="I29" i="1"/>
  <c r="H29" i="1"/>
  <c r="G29" i="1"/>
  <c r="F29" i="1"/>
  <c r="E29" i="1"/>
  <c r="D29" i="1"/>
  <c r="C29" i="1"/>
  <c r="I28" i="1"/>
  <c r="H28" i="1"/>
  <c r="G28" i="1"/>
  <c r="F28" i="1"/>
  <c r="E28" i="1"/>
  <c r="D28" i="1"/>
  <c r="C28" i="1"/>
  <c r="I27" i="1"/>
  <c r="H27" i="1"/>
  <c r="G27" i="1"/>
  <c r="F27" i="1"/>
  <c r="E27" i="1"/>
  <c r="D27" i="1"/>
  <c r="C27" i="1"/>
  <c r="I26" i="1"/>
  <c r="H26" i="1"/>
  <c r="G26" i="1"/>
  <c r="F26" i="1"/>
  <c r="E26" i="1"/>
  <c r="D26" i="1"/>
  <c r="C26" i="1"/>
  <c r="I25" i="1"/>
  <c r="H25" i="1"/>
  <c r="G25" i="1"/>
  <c r="F25" i="1"/>
  <c r="E25" i="1"/>
  <c r="D25" i="1"/>
  <c r="C25" i="1"/>
  <c r="I24" i="1"/>
  <c r="H24" i="1"/>
  <c r="G24" i="1"/>
  <c r="F24" i="1"/>
  <c r="E24" i="1"/>
  <c r="D24" i="1"/>
  <c r="C24" i="1"/>
  <c r="I23" i="1"/>
  <c r="H23" i="1"/>
  <c r="G23" i="1"/>
  <c r="F23" i="1"/>
  <c r="E23" i="1"/>
  <c r="D23" i="1"/>
  <c r="C23" i="1"/>
  <c r="I22" i="1"/>
  <c r="H22" i="1"/>
  <c r="G22" i="1"/>
  <c r="F22" i="1"/>
  <c r="E22" i="1"/>
  <c r="D22" i="1"/>
  <c r="C22" i="1"/>
  <c r="I21" i="1"/>
  <c r="H21" i="1"/>
  <c r="G21" i="1"/>
  <c r="F21" i="1"/>
  <c r="E21" i="1"/>
  <c r="D21" i="1"/>
  <c r="C21" i="1"/>
  <c r="I20" i="1"/>
  <c r="H20" i="1"/>
  <c r="G20" i="1"/>
  <c r="F20" i="1"/>
  <c r="E20" i="1"/>
  <c r="D20" i="1"/>
  <c r="C20" i="1"/>
  <c r="I19" i="1"/>
  <c r="H19" i="1"/>
  <c r="G19" i="1"/>
  <c r="F19" i="1"/>
  <c r="E19" i="1"/>
  <c r="D19" i="1"/>
  <c r="C19" i="1"/>
  <c r="I18" i="1"/>
  <c r="H18" i="1"/>
  <c r="G18" i="1"/>
  <c r="F18" i="1"/>
  <c r="E18" i="1"/>
  <c r="D18" i="1"/>
  <c r="C18" i="1"/>
  <c r="I17" i="1"/>
  <c r="H17" i="1"/>
  <c r="G17" i="1"/>
  <c r="F17" i="1"/>
  <c r="E17" i="1"/>
  <c r="D17" i="1"/>
  <c r="C17" i="1"/>
  <c r="I16" i="1"/>
  <c r="H16" i="1"/>
  <c r="G16" i="1"/>
  <c r="F16" i="1"/>
  <c r="E16" i="1"/>
  <c r="D16" i="1"/>
  <c r="C16" i="1"/>
  <c r="I15" i="1"/>
  <c r="H15" i="1"/>
  <c r="G15" i="1"/>
  <c r="F15" i="1"/>
  <c r="E15" i="1"/>
  <c r="D15" i="1"/>
  <c r="C15" i="1"/>
  <c r="I14" i="1"/>
  <c r="H14" i="1"/>
  <c r="G14" i="1"/>
  <c r="F14" i="1"/>
  <c r="E14" i="1"/>
  <c r="D14" i="1"/>
  <c r="C14" i="1"/>
  <c r="I13" i="1"/>
  <c r="H13" i="1"/>
  <c r="G13" i="1"/>
  <c r="F13" i="1"/>
  <c r="E13" i="1"/>
  <c r="D13" i="1"/>
  <c r="C13" i="1"/>
  <c r="I12" i="1"/>
  <c r="H12" i="1"/>
  <c r="G12" i="1"/>
  <c r="F12" i="1"/>
  <c r="E12" i="1"/>
  <c r="D12" i="1"/>
  <c r="C12" i="1"/>
  <c r="I11" i="1"/>
  <c r="H11" i="1"/>
  <c r="G11" i="1"/>
  <c r="F11" i="1"/>
  <c r="E11" i="1"/>
  <c r="D11" i="1"/>
  <c r="C11" i="1"/>
  <c r="I10" i="1"/>
  <c r="H10" i="1"/>
  <c r="G10" i="1"/>
  <c r="F10" i="1"/>
  <c r="E10" i="1"/>
  <c r="D10" i="1"/>
  <c r="C10" i="1"/>
  <c r="I9" i="1"/>
  <c r="H9" i="1"/>
  <c r="G9" i="1"/>
  <c r="F9" i="1"/>
  <c r="E9" i="1"/>
  <c r="D9" i="1"/>
  <c r="C9" i="1"/>
  <c r="I8" i="1"/>
  <c r="H8" i="1"/>
  <c r="G8" i="1"/>
  <c r="F8" i="1"/>
  <c r="E8" i="1"/>
  <c r="D8" i="1"/>
  <c r="C8" i="1"/>
  <c r="I7" i="1"/>
  <c r="H7" i="1"/>
  <c r="G7" i="1"/>
  <c r="F7" i="1"/>
  <c r="E7" i="1"/>
  <c r="D7" i="1"/>
  <c r="C7" i="1"/>
  <c r="I6" i="1"/>
  <c r="H6" i="1"/>
  <c r="G6" i="1"/>
  <c r="F6" i="1"/>
  <c r="E6" i="1"/>
  <c r="D6" i="1"/>
  <c r="C6" i="1"/>
  <c r="I5" i="1"/>
  <c r="H5" i="1"/>
  <c r="G5" i="1"/>
  <c r="F5" i="1"/>
  <c r="E5" i="1"/>
  <c r="D5" i="1"/>
  <c r="C5" i="1"/>
  <c r="I4" i="1"/>
  <c r="H4" i="1"/>
  <c r="G4" i="1"/>
  <c r="F4" i="1"/>
  <c r="E4" i="1"/>
  <c r="D4" i="1"/>
  <c r="C4" i="1"/>
  <c r="I3" i="1"/>
  <c r="H3" i="1"/>
  <c r="G3" i="1"/>
  <c r="F3" i="1"/>
  <c r="E3" i="1"/>
  <c r="C3" i="1"/>
  <c r="I2" i="1"/>
  <c r="H2" i="1"/>
  <c r="G2" i="1"/>
  <c r="F2" i="1"/>
  <c r="E2" i="1"/>
  <c r="C2" i="1"/>
</calcChain>
</file>

<file path=xl/sharedStrings.xml><?xml version="1.0" encoding="utf-8"?>
<sst xmlns="http://schemas.openxmlformats.org/spreadsheetml/2006/main" count="2810" uniqueCount="2810">
  <si>
    <t>Number</t>
  </si>
  <si>
    <t>English word</t>
  </si>
  <si>
    <t>Spanish</t>
  </si>
  <si>
    <t>Igbo</t>
  </si>
  <si>
    <t>French</t>
  </si>
  <si>
    <t>Italian</t>
  </si>
  <si>
    <t>German</t>
  </si>
  <si>
    <t>Chinese</t>
  </si>
  <si>
    <t>Gaelic (Scots Gaelic)</t>
  </si>
  <si>
    <t>the</t>
  </si>
  <si>
    <t>be</t>
  </si>
  <si>
    <t>and</t>
  </si>
  <si>
    <t>of</t>
  </si>
  <si>
    <t>to</t>
  </si>
  <si>
    <t>a</t>
  </si>
  <si>
    <t>in</t>
  </si>
  <si>
    <t>have</t>
  </si>
  <si>
    <t>it</t>
  </si>
  <si>
    <t>you</t>
  </si>
  <si>
    <t>he</t>
  </si>
  <si>
    <t>for</t>
  </si>
  <si>
    <t>they</t>
  </si>
  <si>
    <t>not</t>
  </si>
  <si>
    <t>that</t>
  </si>
  <si>
    <t>we</t>
  </si>
  <si>
    <t>on</t>
  </si>
  <si>
    <t>with</t>
  </si>
  <si>
    <t>this</t>
  </si>
  <si>
    <t>i</t>
  </si>
  <si>
    <t>do</t>
  </si>
  <si>
    <t>as</t>
  </si>
  <si>
    <t>at</t>
  </si>
  <si>
    <t>she</t>
  </si>
  <si>
    <t>but</t>
  </si>
  <si>
    <t>from</t>
  </si>
  <si>
    <t>by</t>
  </si>
  <si>
    <t>will</t>
  </si>
  <si>
    <t>or</t>
  </si>
  <si>
    <t>say</t>
  </si>
  <si>
    <t>go</t>
  </si>
  <si>
    <t>so</t>
  </si>
  <si>
    <t>all</t>
  </si>
  <si>
    <t>if</t>
  </si>
  <si>
    <t>one</t>
  </si>
  <si>
    <t>would</t>
  </si>
  <si>
    <t>about</t>
  </si>
  <si>
    <t>can</t>
  </si>
  <si>
    <t>which</t>
  </si>
  <si>
    <t>there</t>
  </si>
  <si>
    <t>know</t>
  </si>
  <si>
    <t>more</t>
  </si>
  <si>
    <t>get</t>
  </si>
  <si>
    <t>who</t>
  </si>
  <si>
    <t>like</t>
  </si>
  <si>
    <t>when</t>
  </si>
  <si>
    <t>think</t>
  </si>
  <si>
    <t>make</t>
  </si>
  <si>
    <t>time</t>
  </si>
  <si>
    <t>see</t>
  </si>
  <si>
    <t>what</t>
  </si>
  <si>
    <t>up</t>
  </si>
  <si>
    <t>some</t>
  </si>
  <si>
    <t>other</t>
  </si>
  <si>
    <t>out</t>
  </si>
  <si>
    <t>good</t>
  </si>
  <si>
    <t>people</t>
  </si>
  <si>
    <t>year</t>
  </si>
  <si>
    <t>take</t>
  </si>
  <si>
    <t>no</t>
  </si>
  <si>
    <t>well</t>
  </si>
  <si>
    <t>because</t>
  </si>
  <si>
    <t>very</t>
  </si>
  <si>
    <t>just</t>
  </si>
  <si>
    <t>come</t>
  </si>
  <si>
    <t>could</t>
  </si>
  <si>
    <t>work</t>
  </si>
  <si>
    <t>use</t>
  </si>
  <si>
    <t>than</t>
  </si>
  <si>
    <t>now</t>
  </si>
  <si>
    <t>then</t>
  </si>
  <si>
    <t>also</t>
  </si>
  <si>
    <t>into</t>
  </si>
  <si>
    <t>only</t>
  </si>
  <si>
    <t>look</t>
  </si>
  <si>
    <t>want</t>
  </si>
  <si>
    <t>give</t>
  </si>
  <si>
    <t>first</t>
  </si>
  <si>
    <t>new</t>
  </si>
  <si>
    <t>way</t>
  </si>
  <si>
    <t>find</t>
  </si>
  <si>
    <t>over</t>
  </si>
  <si>
    <t>any</t>
  </si>
  <si>
    <t>after</t>
  </si>
  <si>
    <t>day</t>
  </si>
  <si>
    <t>where</t>
  </si>
  <si>
    <t>thing</t>
  </si>
  <si>
    <t>most</t>
  </si>
  <si>
    <t>should</t>
  </si>
  <si>
    <t>need</t>
  </si>
  <si>
    <t>much</t>
  </si>
  <si>
    <t>right</t>
  </si>
  <si>
    <t>how</t>
  </si>
  <si>
    <t>back</t>
  </si>
  <si>
    <t>mean</t>
  </si>
  <si>
    <t>even</t>
  </si>
  <si>
    <t>may</t>
  </si>
  <si>
    <t>here</t>
  </si>
  <si>
    <t>many</t>
  </si>
  <si>
    <t>such</t>
  </si>
  <si>
    <t>last</t>
  </si>
  <si>
    <t>child</t>
  </si>
  <si>
    <t>tell</t>
  </si>
  <si>
    <t>really</t>
  </si>
  <si>
    <t>call</t>
  </si>
  <si>
    <t>before</t>
  </si>
  <si>
    <t>company</t>
  </si>
  <si>
    <t>through</t>
  </si>
  <si>
    <t>down</t>
  </si>
  <si>
    <t>show</t>
  </si>
  <si>
    <t>life</t>
  </si>
  <si>
    <t>man</t>
  </si>
  <si>
    <t>change</t>
  </si>
  <si>
    <t>place</t>
  </si>
  <si>
    <t>long</t>
  </si>
  <si>
    <t>between</t>
  </si>
  <si>
    <t>feel</t>
  </si>
  <si>
    <t>too</t>
  </si>
  <si>
    <t>still</t>
  </si>
  <si>
    <t>problem</t>
  </si>
  <si>
    <t>write</t>
  </si>
  <si>
    <t>same</t>
  </si>
  <si>
    <t>lot</t>
  </si>
  <si>
    <t>great</t>
  </si>
  <si>
    <t>try</t>
  </si>
  <si>
    <t>leave</t>
  </si>
  <si>
    <t>number</t>
  </si>
  <si>
    <t>both</t>
  </si>
  <si>
    <t>own</t>
  </si>
  <si>
    <t>part</t>
  </si>
  <si>
    <t>point</t>
  </si>
  <si>
    <t>little</t>
  </si>
  <si>
    <t>help</t>
  </si>
  <si>
    <t>ask</t>
  </si>
  <si>
    <t>meet</t>
  </si>
  <si>
    <t>start</t>
  </si>
  <si>
    <t>talk</t>
  </si>
  <si>
    <t>something</t>
  </si>
  <si>
    <t>put</t>
  </si>
  <si>
    <t>another</t>
  </si>
  <si>
    <t>become</t>
  </si>
  <si>
    <t>interest</t>
  </si>
  <si>
    <t>country</t>
  </si>
  <si>
    <t>old</t>
  </si>
  <si>
    <t>each</t>
  </si>
  <si>
    <t>school</t>
  </si>
  <si>
    <t>late</t>
  </si>
  <si>
    <t>high</t>
  </si>
  <si>
    <t>different</t>
  </si>
  <si>
    <t>off</t>
  </si>
  <si>
    <t>next</t>
  </si>
  <si>
    <t>end</t>
  </si>
  <si>
    <t>live</t>
  </si>
  <si>
    <t>why</t>
  </si>
  <si>
    <t>while</t>
  </si>
  <si>
    <t>world</t>
  </si>
  <si>
    <t>week</t>
  </si>
  <si>
    <t>play</t>
  </si>
  <si>
    <t>might</t>
  </si>
  <si>
    <t>must</t>
  </si>
  <si>
    <t>home</t>
  </si>
  <si>
    <t>never</t>
  </si>
  <si>
    <t>include</t>
  </si>
  <si>
    <t>course</t>
  </si>
  <si>
    <t>house</t>
  </si>
  <si>
    <t>report</t>
  </si>
  <si>
    <t>group</t>
  </si>
  <si>
    <t>case</t>
  </si>
  <si>
    <t>woman</t>
  </si>
  <si>
    <t>around</t>
  </si>
  <si>
    <t>book</t>
  </si>
  <si>
    <t>family</t>
  </si>
  <si>
    <t>seem</t>
  </si>
  <si>
    <t>let</t>
  </si>
  <si>
    <t>again</t>
  </si>
  <si>
    <t>kind</t>
  </si>
  <si>
    <t>keep</t>
  </si>
  <si>
    <t>hear</t>
  </si>
  <si>
    <t>system</t>
  </si>
  <si>
    <t>every</t>
  </si>
  <si>
    <t>question</t>
  </si>
  <si>
    <t>during</t>
  </si>
  <si>
    <t>always</t>
  </si>
  <si>
    <t>big</t>
  </si>
  <si>
    <t>set</t>
  </si>
  <si>
    <t>small</t>
  </si>
  <si>
    <t>study</t>
  </si>
  <si>
    <t>follow</t>
  </si>
  <si>
    <t>begin</t>
  </si>
  <si>
    <t>important</t>
  </si>
  <si>
    <t>since</t>
  </si>
  <si>
    <t>run</t>
  </si>
  <si>
    <t>under</t>
  </si>
  <si>
    <t>turn</t>
  </si>
  <si>
    <t>few</t>
  </si>
  <si>
    <t>bring</t>
  </si>
  <si>
    <t>early</t>
  </si>
  <si>
    <t>hand</t>
  </si>
  <si>
    <t>state</t>
  </si>
  <si>
    <t>move</t>
  </si>
  <si>
    <t>money</t>
  </si>
  <si>
    <t>fact</t>
  </si>
  <si>
    <t>however</t>
  </si>
  <si>
    <t>area</t>
  </si>
  <si>
    <t>provide</t>
  </si>
  <si>
    <t>name</t>
  </si>
  <si>
    <t>read</t>
  </si>
  <si>
    <t>friend</t>
  </si>
  <si>
    <t>month</t>
  </si>
  <si>
    <t>large</t>
  </si>
  <si>
    <t>business</t>
  </si>
  <si>
    <t>without</t>
  </si>
  <si>
    <t>information</t>
  </si>
  <si>
    <t>open</t>
  </si>
  <si>
    <t>order</t>
  </si>
  <si>
    <t>government</t>
  </si>
  <si>
    <t>word</t>
  </si>
  <si>
    <t>issue</t>
  </si>
  <si>
    <t>market</t>
  </si>
  <si>
    <t>pay</t>
  </si>
  <si>
    <t>build</t>
  </si>
  <si>
    <t>hold</t>
  </si>
  <si>
    <t>service</t>
  </si>
  <si>
    <t>against</t>
  </si>
  <si>
    <t>believe</t>
  </si>
  <si>
    <t>second</t>
  </si>
  <si>
    <t>though</t>
  </si>
  <si>
    <t>yes</t>
  </si>
  <si>
    <t>love</t>
  </si>
  <si>
    <t>increase</t>
  </si>
  <si>
    <t>job</t>
  </si>
  <si>
    <t>plan</t>
  </si>
  <si>
    <t>result</t>
  </si>
  <si>
    <t>away</t>
  </si>
  <si>
    <t>example</t>
  </si>
  <si>
    <t>happen</t>
  </si>
  <si>
    <t>offer</t>
  </si>
  <si>
    <t>young</t>
  </si>
  <si>
    <t>close</t>
  </si>
  <si>
    <t>program</t>
  </si>
  <si>
    <t>lead</t>
  </si>
  <si>
    <t>buy</t>
  </si>
  <si>
    <t>understand</t>
  </si>
  <si>
    <t>thank</t>
  </si>
  <si>
    <t>far</t>
  </si>
  <si>
    <t>today</t>
  </si>
  <si>
    <t>hour</t>
  </si>
  <si>
    <t>student</t>
  </si>
  <si>
    <t>face</t>
  </si>
  <si>
    <t>hope</t>
  </si>
  <si>
    <t>idea</t>
  </si>
  <si>
    <t>cost</t>
  </si>
  <si>
    <t>less</t>
  </si>
  <si>
    <t>room</t>
  </si>
  <si>
    <t>until</t>
  </si>
  <si>
    <t>reason</t>
  </si>
  <si>
    <t>form</t>
  </si>
  <si>
    <t>spend</t>
  </si>
  <si>
    <t>head</t>
  </si>
  <si>
    <t>car</t>
  </si>
  <si>
    <t>learn</t>
  </si>
  <si>
    <t>level</t>
  </si>
  <si>
    <t>person</t>
  </si>
  <si>
    <t>experience</t>
  </si>
  <si>
    <t>once</t>
  </si>
  <si>
    <t>member</t>
  </si>
  <si>
    <t>enough</t>
  </si>
  <si>
    <t>bad</t>
  </si>
  <si>
    <t>city</t>
  </si>
  <si>
    <t>night</t>
  </si>
  <si>
    <t>able</t>
  </si>
  <si>
    <t>support</t>
  </si>
  <si>
    <t>whether</t>
  </si>
  <si>
    <t>line</t>
  </si>
  <si>
    <t>present</t>
  </si>
  <si>
    <t>side</t>
  </si>
  <si>
    <t>quite</t>
  </si>
  <si>
    <t>although</t>
  </si>
  <si>
    <t>sure</t>
  </si>
  <si>
    <t>term</t>
  </si>
  <si>
    <t>least</t>
  </si>
  <si>
    <t>age</t>
  </si>
  <si>
    <t>low</t>
  </si>
  <si>
    <t>speak</t>
  </si>
  <si>
    <t>within</t>
  </si>
  <si>
    <t>process</t>
  </si>
  <si>
    <t>public</t>
  </si>
  <si>
    <t>often</t>
  </si>
  <si>
    <t>train</t>
  </si>
  <si>
    <t>possible</t>
  </si>
  <si>
    <t>actually</t>
  </si>
  <si>
    <t>rather</t>
  </si>
  <si>
    <t>view</t>
  </si>
  <si>
    <t>together</t>
  </si>
  <si>
    <t>consider</t>
  </si>
  <si>
    <t>price</t>
  </si>
  <si>
    <t>parent</t>
  </si>
  <si>
    <t>hard</t>
  </si>
  <si>
    <t>party</t>
  </si>
  <si>
    <t>local</t>
  </si>
  <si>
    <t>control</t>
  </si>
  <si>
    <t>already</t>
  </si>
  <si>
    <t>concern</t>
  </si>
  <si>
    <t>product</t>
  </si>
  <si>
    <t>lose</t>
  </si>
  <si>
    <t>story</t>
  </si>
  <si>
    <t>almost</t>
  </si>
  <si>
    <t>continue</t>
  </si>
  <si>
    <t>stand</t>
  </si>
  <si>
    <t>whole</t>
  </si>
  <si>
    <t>yet</t>
  </si>
  <si>
    <t>rate</t>
  </si>
  <si>
    <t>care</t>
  </si>
  <si>
    <t>expect</t>
  </si>
  <si>
    <t>effect</t>
  </si>
  <si>
    <t>sort</t>
  </si>
  <si>
    <t>ever</t>
  </si>
  <si>
    <t>anything</t>
  </si>
  <si>
    <t>cause</t>
  </si>
  <si>
    <t>fall</t>
  </si>
  <si>
    <t>deal</t>
  </si>
  <si>
    <t>water</t>
  </si>
  <si>
    <t>send</t>
  </si>
  <si>
    <t>allow</t>
  </si>
  <si>
    <t>soon</t>
  </si>
  <si>
    <t>watch</t>
  </si>
  <si>
    <t>base</t>
  </si>
  <si>
    <t>probably</t>
  </si>
  <si>
    <t>suggest</t>
  </si>
  <si>
    <t>past</t>
  </si>
  <si>
    <t>power</t>
  </si>
  <si>
    <t>test</t>
  </si>
  <si>
    <t>visit</t>
  </si>
  <si>
    <t>center</t>
  </si>
  <si>
    <t>grow</t>
  </si>
  <si>
    <t>nothing</t>
  </si>
  <si>
    <t>return</t>
  </si>
  <si>
    <t>mother</t>
  </si>
  <si>
    <t>walk</t>
  </si>
  <si>
    <t>matter</t>
  </si>
  <si>
    <t>mind</t>
  </si>
  <si>
    <t>value</t>
  </si>
  <si>
    <t>office</t>
  </si>
  <si>
    <t>record</t>
  </si>
  <si>
    <t>stay</t>
  </si>
  <si>
    <t>force</t>
  </si>
  <si>
    <t>stop</t>
  </si>
  <si>
    <t>several</t>
  </si>
  <si>
    <t>light</t>
  </si>
  <si>
    <t>develop</t>
  </si>
  <si>
    <t>remember</t>
  </si>
  <si>
    <t>bit</t>
  </si>
  <si>
    <t>share</t>
  </si>
  <si>
    <t>real</t>
  </si>
  <si>
    <t>answer</t>
  </si>
  <si>
    <t>sit</t>
  </si>
  <si>
    <t>figure</t>
  </si>
  <si>
    <t>letter</t>
  </si>
  <si>
    <t>decide</t>
  </si>
  <si>
    <t>language</t>
  </si>
  <si>
    <t>subject</t>
  </si>
  <si>
    <t>class</t>
  </si>
  <si>
    <t>development</t>
  </si>
  <si>
    <t>town</t>
  </si>
  <si>
    <t>half</t>
  </si>
  <si>
    <t>minute</t>
  </si>
  <si>
    <t>food</t>
  </si>
  <si>
    <t>break</t>
  </si>
  <si>
    <t>clear</t>
  </si>
  <si>
    <t>future</t>
  </si>
  <si>
    <t>either</t>
  </si>
  <si>
    <t>ago</t>
  </si>
  <si>
    <t>per</t>
  </si>
  <si>
    <t>remain</t>
  </si>
  <si>
    <t>top</t>
  </si>
  <si>
    <t>among</t>
  </si>
  <si>
    <t>win</t>
  </si>
  <si>
    <t>color</t>
  </si>
  <si>
    <t>involve</t>
  </si>
  <si>
    <t>reach</t>
  </si>
  <si>
    <t>social</t>
  </si>
  <si>
    <t>period</t>
  </si>
  <si>
    <t>across</t>
  </si>
  <si>
    <t>note</t>
  </si>
  <si>
    <t>history</t>
  </si>
  <si>
    <t>create</t>
  </si>
  <si>
    <t>drive</t>
  </si>
  <si>
    <t>along</t>
  </si>
  <si>
    <t>type</t>
  </si>
  <si>
    <t>sound</t>
  </si>
  <si>
    <t>eye</t>
  </si>
  <si>
    <t>music</t>
  </si>
  <si>
    <t>game</t>
  </si>
  <si>
    <t>political</t>
  </si>
  <si>
    <t>free</t>
  </si>
  <si>
    <t>receive</t>
  </si>
  <si>
    <t>moment</t>
  </si>
  <si>
    <t>sale</t>
  </si>
  <si>
    <t>policy</t>
  </si>
  <si>
    <t>further</t>
  </si>
  <si>
    <t>body</t>
  </si>
  <si>
    <t>require</t>
  </si>
  <si>
    <t>wait</t>
  </si>
  <si>
    <t>general</t>
  </si>
  <si>
    <t>appear</t>
  </si>
  <si>
    <t>toward</t>
  </si>
  <si>
    <t>team</t>
  </si>
  <si>
    <t>easy</t>
  </si>
  <si>
    <t>individual</t>
  </si>
  <si>
    <t>full</t>
  </si>
  <si>
    <t>black</t>
  </si>
  <si>
    <t>sense</t>
  </si>
  <si>
    <t>perhaps</t>
  </si>
  <si>
    <t>add</t>
  </si>
  <si>
    <t>rule</t>
  </si>
  <si>
    <t>pass</t>
  </si>
  <si>
    <t>produce</t>
  </si>
  <si>
    <t>sell</t>
  </si>
  <si>
    <t>short</t>
  </si>
  <si>
    <t>agree</t>
  </si>
  <si>
    <t>law</t>
  </si>
  <si>
    <t>everything</t>
  </si>
  <si>
    <t>research</t>
  </si>
  <si>
    <t>cover</t>
  </si>
  <si>
    <t>paper</t>
  </si>
  <si>
    <t>position</t>
  </si>
  <si>
    <t>near</t>
  </si>
  <si>
    <t>human</t>
  </si>
  <si>
    <t>computer</t>
  </si>
  <si>
    <t>situation</t>
  </si>
  <si>
    <t>staff</t>
  </si>
  <si>
    <t>activity</t>
  </si>
  <si>
    <t>film</t>
  </si>
  <si>
    <t>morning</t>
  </si>
  <si>
    <t>war</t>
  </si>
  <si>
    <t>account</t>
  </si>
  <si>
    <t>shop</t>
  </si>
  <si>
    <t>major</t>
  </si>
  <si>
    <t>someone</t>
  </si>
  <si>
    <t>above</t>
  </si>
  <si>
    <t>design</t>
  </si>
  <si>
    <t>event</t>
  </si>
  <si>
    <t>special</t>
  </si>
  <si>
    <t>sometimes</t>
  </si>
  <si>
    <t>condition</t>
  </si>
  <si>
    <t>carry</t>
  </si>
  <si>
    <t>choose</t>
  </si>
  <si>
    <t>father</t>
  </si>
  <si>
    <t>decision</t>
  </si>
  <si>
    <t>table</t>
  </si>
  <si>
    <t>certain</t>
  </si>
  <si>
    <t>forward</t>
  </si>
  <si>
    <t>main</t>
  </si>
  <si>
    <t>die</t>
  </si>
  <si>
    <t>bear</t>
  </si>
  <si>
    <t>cut</t>
  </si>
  <si>
    <t>describe</t>
  </si>
  <si>
    <t>himself</t>
  </si>
  <si>
    <t>available</t>
  </si>
  <si>
    <t>especially</t>
  </si>
  <si>
    <t>strong</t>
  </si>
  <si>
    <t>rise</t>
  </si>
  <si>
    <t>girl</t>
  </si>
  <si>
    <t>maybe</t>
  </si>
  <si>
    <t>community</t>
  </si>
  <si>
    <t>else</t>
  </si>
  <si>
    <t>particular</t>
  </si>
  <si>
    <t>role</t>
  </si>
  <si>
    <t>join</t>
  </si>
  <si>
    <t>difficult</t>
  </si>
  <si>
    <t>please</t>
  </si>
  <si>
    <t>detail</t>
  </si>
  <si>
    <t>difference</t>
  </si>
  <si>
    <t>action</t>
  </si>
  <si>
    <t>health</t>
  </si>
  <si>
    <t>eat</t>
  </si>
  <si>
    <t>step</t>
  </si>
  <si>
    <t>true</t>
  </si>
  <si>
    <t>phone</t>
  </si>
  <si>
    <t>themselves</t>
  </si>
  <si>
    <t>draw</t>
  </si>
  <si>
    <t>white</t>
  </si>
  <si>
    <t>date</t>
  </si>
  <si>
    <t>practice</t>
  </si>
  <si>
    <t>model</t>
  </si>
  <si>
    <t>raise</t>
  </si>
  <si>
    <t>customer</t>
  </si>
  <si>
    <t>front</t>
  </si>
  <si>
    <t>explain</t>
  </si>
  <si>
    <t>door</t>
  </si>
  <si>
    <t>outside</t>
  </si>
  <si>
    <t>behind</t>
  </si>
  <si>
    <t>economic</t>
  </si>
  <si>
    <t>site</t>
  </si>
  <si>
    <t>approach</t>
  </si>
  <si>
    <t>teacher</t>
  </si>
  <si>
    <t>land</t>
  </si>
  <si>
    <t>charge</t>
  </si>
  <si>
    <t>finally</t>
  </si>
  <si>
    <t>sign</t>
  </si>
  <si>
    <t>claim</t>
  </si>
  <si>
    <t>relationship</t>
  </si>
  <si>
    <t>travel</t>
  </si>
  <si>
    <t>enjoy</t>
  </si>
  <si>
    <t>death</t>
  </si>
  <si>
    <t>nice</t>
  </si>
  <si>
    <t>amount</t>
  </si>
  <si>
    <t>improve</t>
  </si>
  <si>
    <t>picture</t>
  </si>
  <si>
    <t>boy</t>
  </si>
  <si>
    <t>regard</t>
  </si>
  <si>
    <t>organization</t>
  </si>
  <si>
    <t>happy</t>
  </si>
  <si>
    <t>couple</t>
  </si>
  <si>
    <t>act</t>
  </si>
  <si>
    <t>range</t>
  </si>
  <si>
    <t>quality</t>
  </si>
  <si>
    <t>project</t>
  </si>
  <si>
    <t>round</t>
  </si>
  <si>
    <t>opportunity</t>
  </si>
  <si>
    <t>road</t>
  </si>
  <si>
    <t>accord</t>
  </si>
  <si>
    <t>list</t>
  </si>
  <si>
    <t>wish</t>
  </si>
  <si>
    <t>therefore</t>
  </si>
  <si>
    <t>wear</t>
  </si>
  <si>
    <t>fund</t>
  </si>
  <si>
    <t>rest</t>
  </si>
  <si>
    <t>kid</t>
  </si>
  <si>
    <t>industry</t>
  </si>
  <si>
    <t>education</t>
  </si>
  <si>
    <t>measure</t>
  </si>
  <si>
    <t>kill</t>
  </si>
  <si>
    <t>serve</t>
  </si>
  <si>
    <t>likely</t>
  </si>
  <si>
    <t>certainly</t>
  </si>
  <si>
    <t>national</t>
  </si>
  <si>
    <t>itself</t>
  </si>
  <si>
    <t>teach</t>
  </si>
  <si>
    <t>field</t>
  </si>
  <si>
    <t>security</t>
  </si>
  <si>
    <t>air</t>
  </si>
  <si>
    <t>benefit</t>
  </si>
  <si>
    <t>trade</t>
  </si>
  <si>
    <t>risk</t>
  </si>
  <si>
    <t>news</t>
  </si>
  <si>
    <t>standard</t>
  </si>
  <si>
    <t>vote</t>
  </si>
  <si>
    <t>percent</t>
  </si>
  <si>
    <t>focus</t>
  </si>
  <si>
    <t>stage</t>
  </si>
  <si>
    <t>space</t>
  </si>
  <si>
    <t>instead</t>
  </si>
  <si>
    <t>realize</t>
  </si>
  <si>
    <t>usually</t>
  </si>
  <si>
    <t>data</t>
  </si>
  <si>
    <t>single</t>
  </si>
  <si>
    <t>address</t>
  </si>
  <si>
    <t>performance</t>
  </si>
  <si>
    <t>chance</t>
  </si>
  <si>
    <t>accept</t>
  </si>
  <si>
    <t>society</t>
  </si>
  <si>
    <t>technology</t>
  </si>
  <si>
    <t>mention</t>
  </si>
  <si>
    <t>choice</t>
  </si>
  <si>
    <t>save</t>
  </si>
  <si>
    <t>common</t>
  </si>
  <si>
    <t>culture</t>
  </si>
  <si>
    <t>total</t>
  </si>
  <si>
    <t>demand</t>
  </si>
  <si>
    <t>material</t>
  </si>
  <si>
    <t>limit</t>
  </si>
  <si>
    <t>listen</t>
  </si>
  <si>
    <t>due</t>
  </si>
  <si>
    <t>wrong</t>
  </si>
  <si>
    <t>foot</t>
  </si>
  <si>
    <t>effort</t>
  </si>
  <si>
    <t>attention</t>
  </si>
  <si>
    <t>upon</t>
  </si>
  <si>
    <t>check</t>
  </si>
  <si>
    <t>complete</t>
  </si>
  <si>
    <t>lie</t>
  </si>
  <si>
    <t>pick</t>
  </si>
  <si>
    <t>reduce</t>
  </si>
  <si>
    <t>personal</t>
  </si>
  <si>
    <t>ground</t>
  </si>
  <si>
    <t>animal</t>
  </si>
  <si>
    <t>arrive</t>
  </si>
  <si>
    <t>patient</t>
  </si>
  <si>
    <t>current</t>
  </si>
  <si>
    <t>century</t>
  </si>
  <si>
    <t>evidence</t>
  </si>
  <si>
    <t>exist</t>
  </si>
  <si>
    <t>similar</t>
  </si>
  <si>
    <t>fight</t>
  </si>
  <si>
    <t>leader</t>
  </si>
  <si>
    <t>fine</t>
  </si>
  <si>
    <t>street</t>
  </si>
  <si>
    <t>former</t>
  </si>
  <si>
    <t>contact</t>
  </si>
  <si>
    <t>particularly</t>
  </si>
  <si>
    <t>wife</t>
  </si>
  <si>
    <t>sport</t>
  </si>
  <si>
    <t>prepare</t>
  </si>
  <si>
    <t>discuss</t>
  </si>
  <si>
    <t>response</t>
  </si>
  <si>
    <t>voice</t>
  </si>
  <si>
    <t>piece</t>
  </si>
  <si>
    <t>finish</t>
  </si>
  <si>
    <t>suppose</t>
  </si>
  <si>
    <t>apply</t>
  </si>
  <si>
    <t>president</t>
  </si>
  <si>
    <t>fire</t>
  </si>
  <si>
    <t>compare</t>
  </si>
  <si>
    <t>court</t>
  </si>
  <si>
    <t>police</t>
  </si>
  <si>
    <t>store</t>
  </si>
  <si>
    <t>poor</t>
  </si>
  <si>
    <t>knowledge</t>
  </si>
  <si>
    <t>laugh</t>
  </si>
  <si>
    <t>arm</t>
  </si>
  <si>
    <t>heart</t>
  </si>
  <si>
    <t>source</t>
  </si>
  <si>
    <t>employee</t>
  </si>
  <si>
    <t>manage</t>
  </si>
  <si>
    <t>simply</t>
  </si>
  <si>
    <t>bank</t>
  </si>
  <si>
    <t>firm</t>
  </si>
  <si>
    <t>cell</t>
  </si>
  <si>
    <t>article</t>
  </si>
  <si>
    <t>fast</t>
  </si>
  <si>
    <t>attack</t>
  </si>
  <si>
    <t>foreign</t>
  </si>
  <si>
    <t>surprise</t>
  </si>
  <si>
    <t>feature</t>
  </si>
  <si>
    <t>factor</t>
  </si>
  <si>
    <t>pretty</t>
  </si>
  <si>
    <t>recently</t>
  </si>
  <si>
    <t>affect</t>
  </si>
  <si>
    <t>drop</t>
  </si>
  <si>
    <t>recent</t>
  </si>
  <si>
    <t>relate</t>
  </si>
  <si>
    <t>official</t>
  </si>
  <si>
    <t>financial</t>
  </si>
  <si>
    <t>miss</t>
  </si>
  <si>
    <t>art</t>
  </si>
  <si>
    <t>campaign</t>
  </si>
  <si>
    <t>private</t>
  </si>
  <si>
    <t>pause</t>
  </si>
  <si>
    <t>everyone</t>
  </si>
  <si>
    <t>forget</t>
  </si>
  <si>
    <t>page</t>
  </si>
  <si>
    <t>worry</t>
  </si>
  <si>
    <t>summer</t>
  </si>
  <si>
    <t>drink</t>
  </si>
  <si>
    <t>opinion</t>
  </si>
  <si>
    <t>park</t>
  </si>
  <si>
    <t>represent</t>
  </si>
  <si>
    <t>key</t>
  </si>
  <si>
    <t>inside</t>
  </si>
  <si>
    <t>manager</t>
  </si>
  <si>
    <t>international</t>
  </si>
  <si>
    <t>contain</t>
  </si>
  <si>
    <t>notice</t>
  </si>
  <si>
    <t>wonder</t>
  </si>
  <si>
    <t>nature</t>
  </si>
  <si>
    <t>structure</t>
  </si>
  <si>
    <t>section</t>
  </si>
  <si>
    <t>myself</t>
  </si>
  <si>
    <t>exactly</t>
  </si>
  <si>
    <t>plant</t>
  </si>
  <si>
    <t>paint</t>
  </si>
  <si>
    <t>worker</t>
  </si>
  <si>
    <t>press</t>
  </si>
  <si>
    <t>whatever</t>
  </si>
  <si>
    <t>necessary</t>
  </si>
  <si>
    <t>region</t>
  </si>
  <si>
    <t>growth</t>
  </si>
  <si>
    <t>evening</t>
  </si>
  <si>
    <t>influence</t>
  </si>
  <si>
    <t>respect</t>
  </si>
  <si>
    <t>various</t>
  </si>
  <si>
    <t>catch</t>
  </si>
  <si>
    <t>thus</t>
  </si>
  <si>
    <t>skill</t>
  </si>
  <si>
    <t>attempt</t>
  </si>
  <si>
    <t>son</t>
  </si>
  <si>
    <t>simple</t>
  </si>
  <si>
    <t>medium</t>
  </si>
  <si>
    <t>average</t>
  </si>
  <si>
    <t>stock</t>
  </si>
  <si>
    <t>management</t>
  </si>
  <si>
    <t>character</t>
  </si>
  <si>
    <t>bed</t>
  </si>
  <si>
    <t>hit</t>
  </si>
  <si>
    <t>establish</t>
  </si>
  <si>
    <t>indeed</t>
  </si>
  <si>
    <t>final</t>
  </si>
  <si>
    <t>economy</t>
  </si>
  <si>
    <t>fit</t>
  </si>
  <si>
    <t>guy</t>
  </si>
  <si>
    <t>function</t>
  </si>
  <si>
    <t>yesterday</t>
  </si>
  <si>
    <t>image</t>
  </si>
  <si>
    <t>size</t>
  </si>
  <si>
    <t>behavior</t>
  </si>
  <si>
    <t>addition</t>
  </si>
  <si>
    <t>determine</t>
  </si>
  <si>
    <t>station</t>
  </si>
  <si>
    <t>population</t>
  </si>
  <si>
    <t>fail</t>
  </si>
  <si>
    <t>environment</t>
  </si>
  <si>
    <t>production</t>
  </si>
  <si>
    <t>contract</t>
  </si>
  <si>
    <t>player</t>
  </si>
  <si>
    <t>comment</t>
  </si>
  <si>
    <t>enter</t>
  </si>
  <si>
    <t>occur</t>
  </si>
  <si>
    <t>alone</t>
  </si>
  <si>
    <t>significant</t>
  </si>
  <si>
    <t>drug</t>
  </si>
  <si>
    <t>wall</t>
  </si>
  <si>
    <t>series</t>
  </si>
  <si>
    <t>direct</t>
  </si>
  <si>
    <t>success</t>
  </si>
  <si>
    <t>tomorrow</t>
  </si>
  <si>
    <t>director</t>
  </si>
  <si>
    <t>clearly</t>
  </si>
  <si>
    <t>lack</t>
  </si>
  <si>
    <t>review</t>
  </si>
  <si>
    <t>depend</t>
  </si>
  <si>
    <t>race</t>
  </si>
  <si>
    <t>recognize</t>
  </si>
  <si>
    <t>window</t>
  </si>
  <si>
    <t>purpose</t>
  </si>
  <si>
    <t>department</t>
  </si>
  <si>
    <t>gain</t>
  </si>
  <si>
    <t>tree</t>
  </si>
  <si>
    <t>college</t>
  </si>
  <si>
    <t>argue</t>
  </si>
  <si>
    <t>board</t>
  </si>
  <si>
    <t>holiday</t>
  </si>
  <si>
    <t>mark</t>
  </si>
  <si>
    <t>church</t>
  </si>
  <si>
    <t>machine</t>
  </si>
  <si>
    <t>achieve</t>
  </si>
  <si>
    <t>item</t>
  </si>
  <si>
    <t>prove</t>
  </si>
  <si>
    <t>cent</t>
  </si>
  <si>
    <t>season</t>
  </si>
  <si>
    <t>floor</t>
  </si>
  <si>
    <t>stuff</t>
  </si>
  <si>
    <t>wide</t>
  </si>
  <si>
    <t>anyone</t>
  </si>
  <si>
    <t>method</t>
  </si>
  <si>
    <t>analysis</t>
  </si>
  <si>
    <t>election</t>
  </si>
  <si>
    <t>military</t>
  </si>
  <si>
    <t>hotel</t>
  </si>
  <si>
    <t>club</t>
  </si>
  <si>
    <t>below</t>
  </si>
  <si>
    <t>movie</t>
  </si>
  <si>
    <t>doctor</t>
  </si>
  <si>
    <t>discussion</t>
  </si>
  <si>
    <t>sorry</t>
  </si>
  <si>
    <t>challenge</t>
  </si>
  <si>
    <t>nation</t>
  </si>
  <si>
    <t>nearly</t>
  </si>
  <si>
    <t>statement</t>
  </si>
  <si>
    <t>link</t>
  </si>
  <si>
    <t>despite</t>
  </si>
  <si>
    <t>introduce</t>
  </si>
  <si>
    <t>advantage</t>
  </si>
  <si>
    <t>ready</t>
  </si>
  <si>
    <t>marry</t>
  </si>
  <si>
    <t>strike</t>
  </si>
  <si>
    <t>mile</t>
  </si>
  <si>
    <t>seek</t>
  </si>
  <si>
    <t>ability</t>
  </si>
  <si>
    <t>unit</t>
  </si>
  <si>
    <t>card</t>
  </si>
  <si>
    <t>hospital</t>
  </si>
  <si>
    <t>quickly</t>
  </si>
  <si>
    <t>interview</t>
  </si>
  <si>
    <t>agreement</t>
  </si>
  <si>
    <t>release</t>
  </si>
  <si>
    <t>tax</t>
  </si>
  <si>
    <t>solution</t>
  </si>
  <si>
    <t>capital</t>
  </si>
  <si>
    <t>popular</t>
  </si>
  <si>
    <t>specific</t>
  </si>
  <si>
    <t>beautiful</t>
  </si>
  <si>
    <t>fear</t>
  </si>
  <si>
    <t>aim</t>
  </si>
  <si>
    <t>television</t>
  </si>
  <si>
    <t>serious</t>
  </si>
  <si>
    <t>target</t>
  </si>
  <si>
    <t>degree</t>
  </si>
  <si>
    <t>pull</t>
  </si>
  <si>
    <t>red</t>
  </si>
  <si>
    <t>husband</t>
  </si>
  <si>
    <t>access</t>
  </si>
  <si>
    <t>movement</t>
  </si>
  <si>
    <t>treat</t>
  </si>
  <si>
    <t>identify</t>
  </si>
  <si>
    <t>loss</t>
  </si>
  <si>
    <t>shall</t>
  </si>
  <si>
    <t>modern</t>
  </si>
  <si>
    <t>pressure</t>
  </si>
  <si>
    <t>bus</t>
  </si>
  <si>
    <t>treatment</t>
  </si>
  <si>
    <t>yourself</t>
  </si>
  <si>
    <t>supply</t>
  </si>
  <si>
    <t>village</t>
  </si>
  <si>
    <t>worth</t>
  </si>
  <si>
    <t>natural</t>
  </si>
  <si>
    <t>express</t>
  </si>
  <si>
    <t>indicate</t>
  </si>
  <si>
    <t>attend</t>
  </si>
  <si>
    <t>brother</t>
  </si>
  <si>
    <t>investment</t>
  </si>
  <si>
    <t>score</t>
  </si>
  <si>
    <t>organize</t>
  </si>
  <si>
    <t>trip</t>
  </si>
  <si>
    <t>beyond</t>
  </si>
  <si>
    <t>sleep</t>
  </si>
  <si>
    <t>fish</t>
  </si>
  <si>
    <t>promise</t>
  </si>
  <si>
    <t>potential</t>
  </si>
  <si>
    <t>energy</t>
  </si>
  <si>
    <t>trouble</t>
  </si>
  <si>
    <t>relation</t>
  </si>
  <si>
    <t>touch</t>
  </si>
  <si>
    <t>file</t>
  </si>
  <si>
    <t>middle</t>
  </si>
  <si>
    <t>bar</t>
  </si>
  <si>
    <t>suffer</t>
  </si>
  <si>
    <t>strategy</t>
  </si>
  <si>
    <t>deep</t>
  </si>
  <si>
    <t>except</t>
  </si>
  <si>
    <t>clean</t>
  </si>
  <si>
    <t>tend</t>
  </si>
  <si>
    <t>advance</t>
  </si>
  <si>
    <t>fill</t>
  </si>
  <si>
    <t>star</t>
  </si>
  <si>
    <t>network</t>
  </si>
  <si>
    <t>generally</t>
  </si>
  <si>
    <t>operation</t>
  </si>
  <si>
    <t>match</t>
  </si>
  <si>
    <t>avoid</t>
  </si>
  <si>
    <t>seat</t>
  </si>
  <si>
    <t>throw</t>
  </si>
  <si>
    <t>task</t>
  </si>
  <si>
    <t>normal</t>
  </si>
  <si>
    <t>goal</t>
  </si>
  <si>
    <t>associate</t>
  </si>
  <si>
    <t>blue</t>
  </si>
  <si>
    <t>positive</t>
  </si>
  <si>
    <t>option</t>
  </si>
  <si>
    <t>box</t>
  </si>
  <si>
    <t>huge</t>
  </si>
  <si>
    <t>message</t>
  </si>
  <si>
    <t>instance</t>
  </si>
  <si>
    <t>style</t>
  </si>
  <si>
    <t>refer</t>
  </si>
  <si>
    <t>cold</t>
  </si>
  <si>
    <t>push</t>
  </si>
  <si>
    <t>quarter</t>
  </si>
  <si>
    <t>assume</t>
  </si>
  <si>
    <t>baby</t>
  </si>
  <si>
    <t>successful</t>
  </si>
  <si>
    <t>sing</t>
  </si>
  <si>
    <t>doubt</t>
  </si>
  <si>
    <t>competition</t>
  </si>
  <si>
    <t>theory</t>
  </si>
  <si>
    <t>propose</t>
  </si>
  <si>
    <t>reference</t>
  </si>
  <si>
    <t>argument</t>
  </si>
  <si>
    <t>adult</t>
  </si>
  <si>
    <t>fly</t>
  </si>
  <si>
    <t>document</t>
  </si>
  <si>
    <t>pattern</t>
  </si>
  <si>
    <t>application</t>
  </si>
  <si>
    <t>hot</t>
  </si>
  <si>
    <t>obviously</t>
  </si>
  <si>
    <t>unclear</t>
  </si>
  <si>
    <t>bill</t>
  </si>
  <si>
    <t>search</t>
  </si>
  <si>
    <t>separate</t>
  </si>
  <si>
    <t>central</t>
  </si>
  <si>
    <t>career</t>
  </si>
  <si>
    <t>anyway</t>
  </si>
  <si>
    <t>speech</t>
  </si>
  <si>
    <t>dog</t>
  </si>
  <si>
    <t>officer</t>
  </si>
  <si>
    <t>throughout</t>
  </si>
  <si>
    <t>oil</t>
  </si>
  <si>
    <t>dress</t>
  </si>
  <si>
    <t>profit</t>
  </si>
  <si>
    <t>guess</t>
  </si>
  <si>
    <t>fun</t>
  </si>
  <si>
    <t>protect</t>
  </si>
  <si>
    <t>resource</t>
  </si>
  <si>
    <t>science</t>
  </si>
  <si>
    <t>disease</t>
  </si>
  <si>
    <t>balance</t>
  </si>
  <si>
    <t>damage</t>
  </si>
  <si>
    <t>basis</t>
  </si>
  <si>
    <t>author</t>
  </si>
  <si>
    <t>basic</t>
  </si>
  <si>
    <t>encourage</t>
  </si>
  <si>
    <t>hair</t>
  </si>
  <si>
    <t>male</t>
  </si>
  <si>
    <t>operate</t>
  </si>
  <si>
    <t>reflect</t>
  </si>
  <si>
    <t>exercise</t>
  </si>
  <si>
    <t>useful</t>
  </si>
  <si>
    <t>restaurant</t>
  </si>
  <si>
    <t>income</t>
  </si>
  <si>
    <t>property</t>
  </si>
  <si>
    <t>previous</t>
  </si>
  <si>
    <t>dark</t>
  </si>
  <si>
    <t>imagine</t>
  </si>
  <si>
    <t>okay</t>
  </si>
  <si>
    <t>earn</t>
  </si>
  <si>
    <t>daughter</t>
  </si>
  <si>
    <t>post</t>
  </si>
  <si>
    <t>newspaper</t>
  </si>
  <si>
    <t>define</t>
  </si>
  <si>
    <t>conclusion</t>
  </si>
  <si>
    <t>clock</t>
  </si>
  <si>
    <t>everybody</t>
  </si>
  <si>
    <t>weekend</t>
  </si>
  <si>
    <t>perform</t>
  </si>
  <si>
    <t>professional</t>
  </si>
  <si>
    <t>mine</t>
  </si>
  <si>
    <t>debate</t>
  </si>
  <si>
    <t>memory</t>
  </si>
  <si>
    <t>green</t>
  </si>
  <si>
    <t>song</t>
  </si>
  <si>
    <t>object</t>
  </si>
  <si>
    <t>maintain</t>
  </si>
  <si>
    <t>credit</t>
  </si>
  <si>
    <t>ring</t>
  </si>
  <si>
    <t>discover</t>
  </si>
  <si>
    <t>dead</t>
  </si>
  <si>
    <t>afternoon</t>
  </si>
  <si>
    <t>prefer</t>
  </si>
  <si>
    <t>extend</t>
  </si>
  <si>
    <t>possibility</t>
  </si>
  <si>
    <t>direction</t>
  </si>
  <si>
    <t>facility</t>
  </si>
  <si>
    <t>variety</t>
  </si>
  <si>
    <t>daily</t>
  </si>
  <si>
    <t>clothes</t>
  </si>
  <si>
    <t>screen</t>
  </si>
  <si>
    <t>track</t>
  </si>
  <si>
    <t>dance</t>
  </si>
  <si>
    <t>completely</t>
  </si>
  <si>
    <t>female</t>
  </si>
  <si>
    <t>responsibility</t>
  </si>
  <si>
    <t>original</t>
  </si>
  <si>
    <t>sister</t>
  </si>
  <si>
    <t>rock</t>
  </si>
  <si>
    <t>dream</t>
  </si>
  <si>
    <t>nor</t>
  </si>
  <si>
    <t>university</t>
  </si>
  <si>
    <t>easily</t>
  </si>
  <si>
    <t>agency</t>
  </si>
  <si>
    <t>dollar</t>
  </si>
  <si>
    <t>garden</t>
  </si>
  <si>
    <t>fix</t>
  </si>
  <si>
    <t>ahead</t>
  </si>
  <si>
    <t>cross</t>
  </si>
  <si>
    <t>yeah</t>
  </si>
  <si>
    <t>weight</t>
  </si>
  <si>
    <t>legal</t>
  </si>
  <si>
    <t>proposal</t>
  </si>
  <si>
    <t>version</t>
  </si>
  <si>
    <t>conversation</t>
  </si>
  <si>
    <t>somebody</t>
  </si>
  <si>
    <t>pound</t>
  </si>
  <si>
    <t>magazine</t>
  </si>
  <si>
    <t>shape</t>
  </si>
  <si>
    <t>sea</t>
  </si>
  <si>
    <t>immediately</t>
  </si>
  <si>
    <t>welcome</t>
  </si>
  <si>
    <t>smile</t>
  </si>
  <si>
    <t>communication</t>
  </si>
  <si>
    <t>agent</t>
  </si>
  <si>
    <t>traditional</t>
  </si>
  <si>
    <t>replace</t>
  </si>
  <si>
    <t>judge</t>
  </si>
  <si>
    <t>herself</t>
  </si>
  <si>
    <t>suddenly</t>
  </si>
  <si>
    <t>generation</t>
  </si>
  <si>
    <t>estimate</t>
  </si>
  <si>
    <t>favorite</t>
  </si>
  <si>
    <t>difficulty</t>
  </si>
  <si>
    <t>purchase</t>
  </si>
  <si>
    <t>shoot</t>
  </si>
  <si>
    <t>announce</t>
  </si>
  <si>
    <t>unless</t>
  </si>
  <si>
    <t>independent</t>
  </si>
  <si>
    <t>recommend</t>
  </si>
  <si>
    <t>survey</t>
  </si>
  <si>
    <t>majority</t>
  </si>
  <si>
    <t>stick</t>
  </si>
  <si>
    <t>request</t>
  </si>
  <si>
    <t>rich</t>
  </si>
  <si>
    <t>wind</t>
  </si>
  <si>
    <t>none</t>
  </si>
  <si>
    <t>exchange</t>
  </si>
  <si>
    <t>budget</t>
  </si>
  <si>
    <t>famous</t>
  </si>
  <si>
    <t>blood</t>
  </si>
  <si>
    <t>appropriate</t>
  </si>
  <si>
    <t>block</t>
  </si>
  <si>
    <t>warm</t>
  </si>
  <si>
    <t>count</t>
  </si>
  <si>
    <t>scene</t>
  </si>
  <si>
    <t>writer</t>
  </si>
  <si>
    <t>content</t>
  </si>
  <si>
    <t>prevent</t>
  </si>
  <si>
    <t>safe</t>
  </si>
  <si>
    <t>invite</t>
  </si>
  <si>
    <t>mix</t>
  </si>
  <si>
    <t>element</t>
  </si>
  <si>
    <t>effective</t>
  </si>
  <si>
    <t>correct</t>
  </si>
  <si>
    <t>medical</t>
  </si>
  <si>
    <t>admit</t>
  </si>
  <si>
    <t>beat</t>
  </si>
  <si>
    <t>telephone</t>
  </si>
  <si>
    <t>copy</t>
  </si>
  <si>
    <t>committee</t>
  </si>
  <si>
    <t>aware</t>
  </si>
  <si>
    <t>advice</t>
  </si>
  <si>
    <t>handle</t>
  </si>
  <si>
    <t>glass</t>
  </si>
  <si>
    <t>trial</t>
  </si>
  <si>
    <t>stress</t>
  </si>
  <si>
    <t>radio</t>
  </si>
  <si>
    <t>administration</t>
  </si>
  <si>
    <t>complex</t>
  </si>
  <si>
    <t>text</t>
  </si>
  <si>
    <t>context</t>
  </si>
  <si>
    <t>ride</t>
  </si>
  <si>
    <t>directly</t>
  </si>
  <si>
    <t>heavy</t>
  </si>
  <si>
    <t>remove</t>
  </si>
  <si>
    <t>conduct</t>
  </si>
  <si>
    <t>equipment</t>
  </si>
  <si>
    <t>otherwise</t>
  </si>
  <si>
    <t>title</t>
  </si>
  <si>
    <t>extra</t>
  </si>
  <si>
    <t>executive</t>
  </si>
  <si>
    <t>chair</t>
  </si>
  <si>
    <t>expensive</t>
  </si>
  <si>
    <t>sample</t>
  </si>
  <si>
    <t>sex</t>
  </si>
  <si>
    <t>deliver</t>
  </si>
  <si>
    <t>video</t>
  </si>
  <si>
    <t>connection</t>
  </si>
  <si>
    <t>primary</t>
  </si>
  <si>
    <t>weather</t>
  </si>
  <si>
    <t>collect</t>
  </si>
  <si>
    <t>inform</t>
  </si>
  <si>
    <t>principle</t>
  </si>
  <si>
    <t>straight</t>
  </si>
  <si>
    <t>appeal</t>
  </si>
  <si>
    <t>highly</t>
  </si>
  <si>
    <t>trust</t>
  </si>
  <si>
    <t>wonderful</t>
  </si>
  <si>
    <t>flat</t>
  </si>
  <si>
    <t>absolutely</t>
  </si>
  <si>
    <t>flow</t>
  </si>
  <si>
    <t>fair</t>
  </si>
  <si>
    <t>additional</t>
  </si>
  <si>
    <t>responsible</t>
  </si>
  <si>
    <t>farm</t>
  </si>
  <si>
    <t>collection</t>
  </si>
  <si>
    <t>hang</t>
  </si>
  <si>
    <t>negative</t>
  </si>
  <si>
    <t>band</t>
  </si>
  <si>
    <t>relative</t>
  </si>
  <si>
    <t>tour</t>
  </si>
  <si>
    <t>alternative</t>
  </si>
  <si>
    <t>software</t>
  </si>
  <si>
    <t>pair</t>
  </si>
  <si>
    <t>ship</t>
  </si>
  <si>
    <t>attitude</t>
  </si>
  <si>
    <t>cheap</t>
  </si>
  <si>
    <t>double</t>
  </si>
  <si>
    <t>leg</t>
  </si>
  <si>
    <t>observe</t>
  </si>
  <si>
    <t>sentence</t>
  </si>
  <si>
    <t>print</t>
  </si>
  <si>
    <t>progress</t>
  </si>
  <si>
    <t>truth</t>
  </si>
  <si>
    <t>nobody</t>
  </si>
  <si>
    <t>examine</t>
  </si>
  <si>
    <t>lay</t>
  </si>
  <si>
    <t>speed</t>
  </si>
  <si>
    <t>politics</t>
  </si>
  <si>
    <t>reply</t>
  </si>
  <si>
    <t>display</t>
  </si>
  <si>
    <t>transfer</t>
  </si>
  <si>
    <t>perfect</t>
  </si>
  <si>
    <t>slightly</t>
  </si>
  <si>
    <t>overall</t>
  </si>
  <si>
    <t>intend</t>
  </si>
  <si>
    <t>user</t>
  </si>
  <si>
    <t>respond</t>
  </si>
  <si>
    <t>dinner</t>
  </si>
  <si>
    <t>slow</t>
  </si>
  <si>
    <t>regular</t>
  </si>
  <si>
    <t>physical</t>
  </si>
  <si>
    <t>apart</t>
  </si>
  <si>
    <t>suit</t>
  </si>
  <si>
    <t>federal</t>
  </si>
  <si>
    <t>reveal</t>
  </si>
  <si>
    <t>percentage</t>
  </si>
  <si>
    <t>peace</t>
  </si>
  <si>
    <t>status</t>
  </si>
  <si>
    <t>crime</t>
  </si>
  <si>
    <t>decline</t>
  </si>
  <si>
    <t>decade</t>
  </si>
  <si>
    <t>launch</t>
  </si>
  <si>
    <t>warn</t>
  </si>
  <si>
    <t>consumer</t>
  </si>
  <si>
    <t>favor</t>
  </si>
  <si>
    <t>dry</t>
  </si>
  <si>
    <t>partner</t>
  </si>
  <si>
    <t>institution</t>
  </si>
  <si>
    <t>spot</t>
  </si>
  <si>
    <t>horse</t>
  </si>
  <si>
    <t>eventually</t>
  </si>
  <si>
    <t>heat</t>
  </si>
  <si>
    <t>excite</t>
  </si>
  <si>
    <t>reader</t>
  </si>
  <si>
    <t>importance</t>
  </si>
  <si>
    <t>distance</t>
  </si>
  <si>
    <t>guide</t>
  </si>
  <si>
    <t>grant</t>
  </si>
  <si>
    <t>taxi</t>
  </si>
  <si>
    <t>feed</t>
  </si>
  <si>
    <t>pain</t>
  </si>
  <si>
    <t>sector</t>
  </si>
  <si>
    <t>mistake</t>
  </si>
  <si>
    <t>ensure</t>
  </si>
  <si>
    <t>satisfy</t>
  </si>
  <si>
    <t>chief</t>
  </si>
  <si>
    <t>cool</t>
  </si>
  <si>
    <t>expert</t>
  </si>
  <si>
    <t>wave</t>
  </si>
  <si>
    <t>south</t>
  </si>
  <si>
    <t>labor</t>
  </si>
  <si>
    <t>surface</t>
  </si>
  <si>
    <t>library</t>
  </si>
  <si>
    <t>excellent</t>
  </si>
  <si>
    <t>edge</t>
  </si>
  <si>
    <t>camp</t>
  </si>
  <si>
    <t>audience</t>
  </si>
  <si>
    <t>lift</t>
  </si>
  <si>
    <t>procedure</t>
  </si>
  <si>
    <t>email</t>
  </si>
  <si>
    <t>global</t>
  </si>
  <si>
    <t>struggle</t>
  </si>
  <si>
    <t>advertise</t>
  </si>
  <si>
    <t>select</t>
  </si>
  <si>
    <t>surround</t>
  </si>
  <si>
    <t>extent</t>
  </si>
  <si>
    <t>river</t>
  </si>
  <si>
    <t>annual</t>
  </si>
  <si>
    <t>fully</t>
  </si>
  <si>
    <t>contrast</t>
  </si>
  <si>
    <t>roll</t>
  </si>
  <si>
    <t>reality</t>
  </si>
  <si>
    <t>photograph</t>
  </si>
  <si>
    <t>artist</t>
  </si>
  <si>
    <t>conflict</t>
  </si>
  <si>
    <t>entire</t>
  </si>
  <si>
    <t>presence</t>
  </si>
  <si>
    <t>crowd</t>
  </si>
  <si>
    <t>corner</t>
  </si>
  <si>
    <t>gas</t>
  </si>
  <si>
    <t>shift</t>
  </si>
  <si>
    <t>net</t>
  </si>
  <si>
    <t>category</t>
  </si>
  <si>
    <t>secretary</t>
  </si>
  <si>
    <t>defense</t>
  </si>
  <si>
    <t>quick</t>
  </si>
  <si>
    <t>cook</t>
  </si>
  <si>
    <t>spread</t>
  </si>
  <si>
    <t>nuclear</t>
  </si>
  <si>
    <t>scale</t>
  </si>
  <si>
    <t>driver</t>
  </si>
  <si>
    <t>ball</t>
  </si>
  <si>
    <t>cry</t>
  </si>
  <si>
    <t>introduction</t>
  </si>
  <si>
    <t>requirement</t>
  </si>
  <si>
    <t>north</t>
  </si>
  <si>
    <t>confirm</t>
  </si>
  <si>
    <t>senior</t>
  </si>
  <si>
    <t>photo</t>
  </si>
  <si>
    <t>refuse</t>
  </si>
  <si>
    <t>transport</t>
  </si>
  <si>
    <t>emerge</t>
  </si>
  <si>
    <t>map</t>
  </si>
  <si>
    <t>concept</t>
  </si>
  <si>
    <t>island</t>
  </si>
  <si>
    <t>reform</t>
  </si>
  <si>
    <t>neither</t>
  </si>
  <si>
    <t>football</t>
  </si>
  <si>
    <t>survive</t>
  </si>
  <si>
    <t>flight</t>
  </si>
  <si>
    <t>left</t>
  </si>
  <si>
    <t>solve</t>
  </si>
  <si>
    <t>neighbor</t>
  </si>
  <si>
    <t>background</t>
  </si>
  <si>
    <t>technique</t>
  </si>
  <si>
    <t>traffic</t>
  </si>
  <si>
    <t>improvement</t>
  </si>
  <si>
    <t>tool</t>
  </si>
  <si>
    <t>consequence</t>
  </si>
  <si>
    <t>circumstance</t>
  </si>
  <si>
    <t>smoke</t>
  </si>
  <si>
    <t>reaction</t>
  </si>
  <si>
    <t>rain</t>
  </si>
  <si>
    <t>busy</t>
  </si>
  <si>
    <t>lesson</t>
  </si>
  <si>
    <t>brain</t>
  </si>
  <si>
    <t>mass</t>
  </si>
  <si>
    <t>funny</t>
  </si>
  <si>
    <t>contribute</t>
  </si>
  <si>
    <t>failure</t>
  </si>
  <si>
    <t>schedule</t>
  </si>
  <si>
    <t>speaker</t>
  </si>
  <si>
    <t>bottom</t>
  </si>
  <si>
    <t>adopt</t>
  </si>
  <si>
    <t>combine</t>
  </si>
  <si>
    <t>mountain</t>
  </si>
  <si>
    <t>waste</t>
  </si>
  <si>
    <t>hide</t>
  </si>
  <si>
    <t>marriage</t>
  </si>
  <si>
    <t>ticket</t>
  </si>
  <si>
    <t>meal</t>
  </si>
  <si>
    <t>colleague</t>
  </si>
  <si>
    <t>bag</t>
  </si>
  <si>
    <t>repeat</t>
  </si>
  <si>
    <t>equal</t>
  </si>
  <si>
    <t>expression</t>
  </si>
  <si>
    <t>plus</t>
  </si>
  <si>
    <t>extremely</t>
  </si>
  <si>
    <t>owner</t>
  </si>
  <si>
    <t>plane</t>
  </si>
  <si>
    <t>commercial</t>
  </si>
  <si>
    <t>lady</t>
  </si>
  <si>
    <t>duty</t>
  </si>
  <si>
    <t>strength</t>
  </si>
  <si>
    <t>connect</t>
  </si>
  <si>
    <t>cultural</t>
  </si>
  <si>
    <t>arrange</t>
  </si>
  <si>
    <t>scheme</t>
  </si>
  <si>
    <t>payment</t>
  </si>
  <si>
    <t>unfortunately</t>
  </si>
  <si>
    <t>brief</t>
  </si>
  <si>
    <t>bird</t>
  </si>
  <si>
    <t>demonstrate</t>
  </si>
  <si>
    <t>contribution</t>
  </si>
  <si>
    <t>appreciate</t>
  </si>
  <si>
    <t>chapter</t>
  </si>
  <si>
    <t>secret</t>
  </si>
  <si>
    <t>apparently</t>
  </si>
  <si>
    <t>novel</t>
  </si>
  <si>
    <t>union</t>
  </si>
  <si>
    <t>burn</t>
  </si>
  <si>
    <t>trend</t>
  </si>
  <si>
    <t>initial</t>
  </si>
  <si>
    <t>pleasure</t>
  </si>
  <si>
    <t>suggestion</t>
  </si>
  <si>
    <t>critical</t>
  </si>
  <si>
    <t>gather</t>
  </si>
  <si>
    <t>mostly</t>
  </si>
  <si>
    <t>earth</t>
  </si>
  <si>
    <t>pop</t>
  </si>
  <si>
    <t>essential</t>
  </si>
  <si>
    <t>desire</t>
  </si>
  <si>
    <t>promote</t>
  </si>
  <si>
    <t>currently</t>
  </si>
  <si>
    <t>employ</t>
  </si>
  <si>
    <t>path</t>
  </si>
  <si>
    <t>topic</t>
  </si>
  <si>
    <t>beach</t>
  </si>
  <si>
    <t>attract</t>
  </si>
  <si>
    <t>engage</t>
  </si>
  <si>
    <t>powerful</t>
  </si>
  <si>
    <t>flower</t>
  </si>
  <si>
    <t>crisis</t>
  </si>
  <si>
    <t>settle</t>
  </si>
  <si>
    <t>boat</t>
  </si>
  <si>
    <t>aid</t>
  </si>
  <si>
    <t>fan</t>
  </si>
  <si>
    <t>kitchen</t>
  </si>
  <si>
    <t>twice</t>
  </si>
  <si>
    <t>fresh</t>
  </si>
  <si>
    <t>delay</t>
  </si>
  <si>
    <t>safety</t>
  </si>
  <si>
    <t>engineer</t>
  </si>
  <si>
    <t>quiet</t>
  </si>
  <si>
    <t>insurance</t>
  </si>
  <si>
    <t>nurse</t>
  </si>
  <si>
    <t>divide</t>
  </si>
  <si>
    <t>length</t>
  </si>
  <si>
    <t>investigation</t>
  </si>
  <si>
    <t>package</t>
  </si>
  <si>
    <t>somewhere</t>
  </si>
  <si>
    <t>expand</t>
  </si>
  <si>
    <t>commit</t>
  </si>
  <si>
    <t>obvious</t>
  </si>
  <si>
    <t>jump</t>
  </si>
  <si>
    <t>weapon</t>
  </si>
  <si>
    <t>relatively</t>
  </si>
  <si>
    <t>host</t>
  </si>
  <si>
    <t>winter</t>
  </si>
  <si>
    <t>district</t>
  </si>
  <si>
    <t>broad</t>
  </si>
  <si>
    <t>tire</t>
  </si>
  <si>
    <t>spring</t>
  </si>
  <si>
    <t>spirit</t>
  </si>
  <si>
    <t>lunch</t>
  </si>
  <si>
    <t>actual</t>
  </si>
  <si>
    <t>pool</t>
  </si>
  <si>
    <t>battle</t>
  </si>
  <si>
    <t>tradition</t>
  </si>
  <si>
    <t>cash</t>
  </si>
  <si>
    <t>hardly</t>
  </si>
  <si>
    <t>award</t>
  </si>
  <si>
    <t>coach</t>
  </si>
  <si>
    <t>experiment</t>
  </si>
  <si>
    <t>consideration</t>
  </si>
  <si>
    <t>strange</t>
  </si>
  <si>
    <t>code</t>
  </si>
  <si>
    <t>possibly</t>
  </si>
  <si>
    <t>threat</t>
  </si>
  <si>
    <t>accident</t>
  </si>
  <si>
    <t>impossible</t>
  </si>
  <si>
    <t>revenue</t>
  </si>
  <si>
    <t>enable</t>
  </si>
  <si>
    <t>afraid</t>
  </si>
  <si>
    <t>active</t>
  </si>
  <si>
    <t>conclude</t>
  </si>
  <si>
    <t>religious</t>
  </si>
  <si>
    <t>cancer</t>
  </si>
  <si>
    <t>convince</t>
  </si>
  <si>
    <t>vary</t>
  </si>
  <si>
    <t>environmental</t>
  </si>
  <si>
    <t>sun</t>
  </si>
  <si>
    <t>healthy</t>
  </si>
  <si>
    <t>blow</t>
  </si>
  <si>
    <t>volume</t>
  </si>
  <si>
    <t>location</t>
  </si>
  <si>
    <t>invest</t>
  </si>
  <si>
    <t>proceed</t>
  </si>
  <si>
    <t>wash</t>
  </si>
  <si>
    <t>actor</t>
  </si>
  <si>
    <t>glad</t>
  </si>
  <si>
    <t>tape</t>
  </si>
  <si>
    <t>whereas</t>
  </si>
  <si>
    <t>opposite</t>
  </si>
  <si>
    <t>stone</t>
  </si>
  <si>
    <t>sum</t>
  </si>
  <si>
    <t>murder</t>
  </si>
  <si>
    <t>monitor</t>
  </si>
  <si>
    <t>soldier</t>
  </si>
  <si>
    <t>finance</t>
  </si>
  <si>
    <t>hate</t>
  </si>
  <si>
    <t>egg</t>
  </si>
  <si>
    <t>concert</t>
  </si>
  <si>
    <t>shock</t>
  </si>
  <si>
    <t>comfortable</t>
  </si>
  <si>
    <t>usual</t>
  </si>
  <si>
    <t>carefully</t>
  </si>
  <si>
    <t>pack</t>
  </si>
  <si>
    <t>recall</t>
  </si>
  <si>
    <t>wine</t>
  </si>
  <si>
    <t>camera</t>
  </si>
  <si>
    <t>swim</t>
  </si>
  <si>
    <t>manufacture</t>
  </si>
  <si>
    <t>theater</t>
  </si>
  <si>
    <t>cycle</t>
  </si>
  <si>
    <t>coffee</t>
  </si>
  <si>
    <t>totally</t>
  </si>
  <si>
    <t>museum</t>
  </si>
  <si>
    <t>visitor</t>
  </si>
  <si>
    <t>freedom</t>
  </si>
  <si>
    <t>construction</t>
  </si>
  <si>
    <t>dear</t>
  </si>
  <si>
    <t>objective</t>
  </si>
  <si>
    <t>moreover</t>
  </si>
  <si>
    <t>onto</t>
  </si>
  <si>
    <t>historical</t>
  </si>
  <si>
    <t>oppose</t>
  </si>
  <si>
    <t>branch</t>
  </si>
  <si>
    <t>vehicle</t>
  </si>
  <si>
    <t>scientist</t>
  </si>
  <si>
    <t>route</t>
  </si>
  <si>
    <t>bind</t>
  </si>
  <si>
    <t>belong</t>
  </si>
  <si>
    <t>taste</t>
  </si>
  <si>
    <t>tonight</t>
  </si>
  <si>
    <t>fashion</t>
  </si>
  <si>
    <t>danger</t>
  </si>
  <si>
    <t>bomb</t>
  </si>
  <si>
    <t>army</t>
  </si>
  <si>
    <t>dangerous</t>
  </si>
  <si>
    <t>decrease</t>
  </si>
  <si>
    <t>hurt</t>
  </si>
  <si>
    <t>council</t>
  </si>
  <si>
    <t>editor</t>
  </si>
  <si>
    <t>normally</t>
  </si>
  <si>
    <t>sight</t>
  </si>
  <si>
    <t>generate</t>
  </si>
  <si>
    <t>gift</t>
  </si>
  <si>
    <t>delivery</t>
  </si>
  <si>
    <t>deny</t>
  </si>
  <si>
    <t>guest</t>
  </si>
  <si>
    <t>anybody</t>
  </si>
  <si>
    <t>bedroom</t>
  </si>
  <si>
    <t>quote</t>
  </si>
  <si>
    <t>climb</t>
  </si>
  <si>
    <t>basically</t>
  </si>
  <si>
    <t>violence</t>
  </si>
  <si>
    <t>minister</t>
  </si>
  <si>
    <t>mainly</t>
  </si>
  <si>
    <t>mouth</t>
  </si>
  <si>
    <t>noise</t>
  </si>
  <si>
    <t>manner</t>
  </si>
  <si>
    <t>gun</t>
  </si>
  <si>
    <t>square</t>
  </si>
  <si>
    <t>occasion</t>
  </si>
  <si>
    <t>familiar</t>
  </si>
  <si>
    <t>ignore</t>
  </si>
  <si>
    <t>destroy</t>
  </si>
  <si>
    <t>affair</t>
  </si>
  <si>
    <t>civil</t>
  </si>
  <si>
    <t>locate</t>
  </si>
  <si>
    <t>citizen</t>
  </si>
  <si>
    <t>temperature</t>
  </si>
  <si>
    <t>gold</t>
  </si>
  <si>
    <t>domestic</t>
  </si>
  <si>
    <t>load</t>
  </si>
  <si>
    <t>belief</t>
  </si>
  <si>
    <t>troop</t>
  </si>
  <si>
    <t>technical</t>
  </si>
  <si>
    <t>remind</t>
  </si>
  <si>
    <t>arrangement</t>
  </si>
  <si>
    <t>skin</t>
  </si>
  <si>
    <t>prison</t>
  </si>
  <si>
    <t>switch</t>
  </si>
  <si>
    <t>acquire</t>
  </si>
  <si>
    <t>corporate</t>
  </si>
  <si>
    <t>fairly</t>
  </si>
  <si>
    <t>wood</t>
  </si>
  <si>
    <t>participate</t>
  </si>
  <si>
    <t>tough</t>
  </si>
  <si>
    <t>tear</t>
  </si>
  <si>
    <t>representative</t>
  </si>
  <si>
    <t>capacity</t>
  </si>
  <si>
    <t>border</t>
  </si>
  <si>
    <t>shake</t>
  </si>
  <si>
    <t>assessment</t>
  </si>
  <si>
    <t>shoe</t>
  </si>
  <si>
    <t>ought</t>
  </si>
  <si>
    <t>ad</t>
  </si>
  <si>
    <t>fee</t>
  </si>
  <si>
    <t>hall</t>
  </si>
  <si>
    <t>regulation</t>
  </si>
  <si>
    <t>escape</t>
  </si>
  <si>
    <t>studio</t>
  </si>
  <si>
    <t>proper</t>
  </si>
  <si>
    <t>relax</t>
  </si>
  <si>
    <t>tourist</t>
  </si>
  <si>
    <t>component</t>
  </si>
  <si>
    <t>afford</t>
  </si>
  <si>
    <t>lawyer</t>
  </si>
  <si>
    <t>suspect</t>
  </si>
  <si>
    <t>cup</t>
  </si>
  <si>
    <t>description</t>
  </si>
  <si>
    <t>confidence</t>
  </si>
  <si>
    <t>industrial</t>
  </si>
  <si>
    <t>complain</t>
  </si>
  <si>
    <t>perspective</t>
  </si>
  <si>
    <t>error</t>
  </si>
  <si>
    <t>arrest</t>
  </si>
  <si>
    <t>assess</t>
  </si>
  <si>
    <t>register</t>
  </si>
  <si>
    <t>asset</t>
  </si>
  <si>
    <t>signal</t>
  </si>
  <si>
    <t>finger</t>
  </si>
  <si>
    <t>relevant</t>
  </si>
  <si>
    <t>explore</t>
  </si>
  <si>
    <t>leadership</t>
  </si>
  <si>
    <t>commitment</t>
  </si>
  <si>
    <t>wake</t>
  </si>
  <si>
    <t>necessarily</t>
  </si>
  <si>
    <t>bright</t>
  </si>
  <si>
    <t>frame</t>
  </si>
  <si>
    <t>slowly</t>
  </si>
  <si>
    <t>bond</t>
  </si>
  <si>
    <t>hire</t>
  </si>
  <si>
    <t>hole</t>
  </si>
  <si>
    <t>tie</t>
  </si>
  <si>
    <t>internal</t>
  </si>
  <si>
    <t>chain</t>
  </si>
  <si>
    <t>literature</t>
  </si>
  <si>
    <t>victim</t>
  </si>
  <si>
    <t>threaten</t>
  </si>
  <si>
    <t>division</t>
  </si>
  <si>
    <t>secure</t>
  </si>
  <si>
    <t>amaze</t>
  </si>
  <si>
    <t>device</t>
  </si>
  <si>
    <t>birth</t>
  </si>
  <si>
    <t>forest</t>
  </si>
  <si>
    <t>label</t>
  </si>
  <si>
    <t>root</t>
  </si>
  <si>
    <t>factory</t>
  </si>
  <si>
    <t>expense</t>
  </si>
  <si>
    <t>channel</t>
  </si>
  <si>
    <t>investigate</t>
  </si>
  <si>
    <t>recommendation</t>
  </si>
  <si>
    <t>rank</t>
  </si>
  <si>
    <t>typical</t>
  </si>
  <si>
    <t>west</t>
  </si>
  <si>
    <t>friendly</t>
  </si>
  <si>
    <t>resident</t>
  </si>
  <si>
    <t>provision</t>
  </si>
  <si>
    <t>concentrate</t>
  </si>
  <si>
    <t>plenty</t>
  </si>
  <si>
    <t>export</t>
  </si>
  <si>
    <t>entirely</t>
  </si>
  <si>
    <t>strongly</t>
  </si>
  <si>
    <t>bridge</t>
  </si>
  <si>
    <t>consist</t>
  </si>
  <si>
    <t>graduate</t>
  </si>
  <si>
    <t>brand</t>
  </si>
  <si>
    <t>moral</t>
  </si>
  <si>
    <t>insist</t>
  </si>
  <si>
    <t>combination</t>
  </si>
  <si>
    <t>abuse</t>
  </si>
  <si>
    <t>ice</t>
  </si>
  <si>
    <t>principal</t>
  </si>
  <si>
    <t>master</t>
  </si>
  <si>
    <t>definitely</t>
  </si>
  <si>
    <t>session</t>
  </si>
  <si>
    <t>grade</t>
  </si>
  <si>
    <t>nevertheless</t>
  </si>
  <si>
    <t>predict</t>
  </si>
  <si>
    <t>previously</t>
  </si>
  <si>
    <t>protection</t>
  </si>
  <si>
    <t>largely</t>
  </si>
  <si>
    <t>wed</t>
  </si>
  <si>
    <t>rent</t>
  </si>
  <si>
    <t>shot</t>
  </si>
  <si>
    <t>appearance</t>
  </si>
  <si>
    <t>reasonable</t>
  </si>
  <si>
    <t>guarantee</t>
  </si>
  <si>
    <t>till</t>
  </si>
  <si>
    <t>theme</t>
  </si>
  <si>
    <t>judgment</t>
  </si>
  <si>
    <t>odd</t>
  </si>
  <si>
    <t>approve</t>
  </si>
  <si>
    <t>loan</t>
  </si>
  <si>
    <t>definition</t>
  </si>
  <si>
    <t>elect</t>
  </si>
  <si>
    <t>atmosphere</t>
  </si>
  <si>
    <t>farmer</t>
  </si>
  <si>
    <t>comparison</t>
  </si>
  <si>
    <t>characteristic</t>
  </si>
  <si>
    <t>license</t>
  </si>
  <si>
    <t>rely</t>
  </si>
  <si>
    <t>narrow</t>
  </si>
  <si>
    <t>succeed</t>
  </si>
  <si>
    <t>identity</t>
  </si>
  <si>
    <t>desk</t>
  </si>
  <si>
    <t>permit</t>
  </si>
  <si>
    <t>seriously</t>
  </si>
  <si>
    <t>wild</t>
  </si>
  <si>
    <t>empty</t>
  </si>
  <si>
    <t>commission</t>
  </si>
  <si>
    <t>unique</t>
  </si>
  <si>
    <t>association</t>
  </si>
  <si>
    <t>instrument</t>
  </si>
  <si>
    <t>investor</t>
  </si>
  <si>
    <t>practical</t>
  </si>
  <si>
    <t>tea</t>
  </si>
  <si>
    <t>lovely</t>
  </si>
  <si>
    <t>soft</t>
  </si>
  <si>
    <t>row</t>
  </si>
  <si>
    <t>youth</t>
  </si>
  <si>
    <t>lock</t>
  </si>
  <si>
    <t>fuel</t>
  </si>
  <si>
    <t>expectation</t>
  </si>
  <si>
    <t>employment</t>
  </si>
  <si>
    <t>celebrate</t>
  </si>
  <si>
    <t>sexual</t>
  </si>
  <si>
    <t>shoulder</t>
  </si>
  <si>
    <t>breath</t>
  </si>
  <si>
    <t>increasingly</t>
  </si>
  <si>
    <t>import</t>
  </si>
  <si>
    <t>bottle</t>
  </si>
  <si>
    <t>ourselves</t>
  </si>
  <si>
    <t>sheet</t>
  </si>
  <si>
    <t>engine</t>
  </si>
  <si>
    <t>cast</t>
  </si>
  <si>
    <t>notion</t>
  </si>
  <si>
    <t>conservative</t>
  </si>
  <si>
    <t>journey</t>
  </si>
  <si>
    <t>opposition</t>
  </si>
  <si>
    <t>relief</t>
  </si>
  <si>
    <t>debt</t>
  </si>
  <si>
    <t>honor</t>
  </si>
  <si>
    <t>outcome</t>
  </si>
  <si>
    <t>blame</t>
  </si>
  <si>
    <t>explanation</t>
  </si>
  <si>
    <t>arise</t>
  </si>
  <si>
    <t>musical</t>
  </si>
  <si>
    <t>recover</t>
  </si>
  <si>
    <t>dad</t>
  </si>
  <si>
    <t>stretch</t>
  </si>
  <si>
    <t>declare</t>
  </si>
  <si>
    <t>retire</t>
  </si>
  <si>
    <t>tiny</t>
  </si>
  <si>
    <t>careful</t>
  </si>
  <si>
    <t>suitable</t>
  </si>
  <si>
    <t>native</t>
  </si>
  <si>
    <t>fruit</t>
  </si>
  <si>
    <t>analyze</t>
  </si>
  <si>
    <t>witness</t>
  </si>
  <si>
    <t>mail</t>
  </si>
  <si>
    <t>terrible</t>
  </si>
  <si>
    <t>researcher</t>
  </si>
  <si>
    <t>ordinary</t>
  </si>
  <si>
    <t>selection</t>
  </si>
  <si>
    <t>anywhere</t>
  </si>
  <si>
    <t>mental</t>
  </si>
  <si>
    <t>participant</t>
  </si>
  <si>
    <t>vision</t>
  </si>
  <si>
    <t>personality</t>
  </si>
  <si>
    <t>specifically</t>
  </si>
  <si>
    <t>fat</t>
  </si>
  <si>
    <t>entry</t>
  </si>
  <si>
    <t>fellow</t>
  </si>
  <si>
    <t>chemical</t>
  </si>
  <si>
    <t>capture</t>
  </si>
  <si>
    <t>tip</t>
  </si>
  <si>
    <t>discount</t>
  </si>
  <si>
    <t>peak</t>
  </si>
  <si>
    <t>chairman</t>
  </si>
  <si>
    <t>proportion</t>
  </si>
  <si>
    <t>ear</t>
  </si>
  <si>
    <t>disappear</t>
  </si>
  <si>
    <t>shout</t>
  </si>
  <si>
    <t>yard</t>
  </si>
  <si>
    <t>constant</t>
  </si>
  <si>
    <t>significantly</t>
  </si>
  <si>
    <t>hill</t>
  </si>
  <si>
    <t>considerable</t>
  </si>
  <si>
    <t>instruction</t>
  </si>
  <si>
    <t>intelligence</t>
  </si>
  <si>
    <t>ideal</t>
  </si>
  <si>
    <t>folk</t>
  </si>
  <si>
    <t>surely</t>
  </si>
  <si>
    <t>guard</t>
  </si>
  <si>
    <t>cat</t>
  </si>
  <si>
    <t>somewhat</t>
  </si>
  <si>
    <t>kiss</t>
  </si>
  <si>
    <t>presentation</t>
  </si>
  <si>
    <t>joint</t>
  </si>
  <si>
    <t>compete</t>
  </si>
  <si>
    <t>poll</t>
  </si>
  <si>
    <t>weak</t>
  </si>
  <si>
    <t>faith</t>
  </si>
  <si>
    <t>reduction</t>
  </si>
  <si>
    <t>reserve</t>
  </si>
  <si>
    <t>complaint</t>
  </si>
  <si>
    <t>bore</t>
  </si>
  <si>
    <t>mission</t>
  </si>
  <si>
    <t>somehow</t>
  </si>
  <si>
    <t>tone</t>
  </si>
  <si>
    <t>neighborhood</t>
  </si>
  <si>
    <t>passenger</t>
  </si>
  <si>
    <t>justice</t>
  </si>
  <si>
    <t>phase</t>
  </si>
  <si>
    <t>thin</t>
  </si>
  <si>
    <t>rush</t>
  </si>
  <si>
    <t>formal</t>
  </si>
  <si>
    <t>religion</t>
  </si>
  <si>
    <t>employer</t>
  </si>
  <si>
    <t>reject</t>
  </si>
  <si>
    <t>latter</t>
  </si>
  <si>
    <t>plate</t>
  </si>
  <si>
    <t>ban</t>
  </si>
  <si>
    <t>steal</t>
  </si>
  <si>
    <t>protest</t>
  </si>
  <si>
    <t>index</t>
  </si>
  <si>
    <t>sad</t>
  </si>
  <si>
    <t>frequently</t>
  </si>
  <si>
    <t>circle</t>
  </si>
  <si>
    <t>helpful</t>
  </si>
  <si>
    <t>command</t>
  </si>
  <si>
    <t>attractive</t>
  </si>
  <si>
    <t>sick</t>
  </si>
  <si>
    <t>impression</t>
  </si>
  <si>
    <t>unable</t>
  </si>
  <si>
    <t>joke</t>
  </si>
  <si>
    <t>sky</t>
  </si>
  <si>
    <t>column</t>
  </si>
  <si>
    <t>electronic</t>
  </si>
  <si>
    <t>impose</t>
  </si>
  <si>
    <t>criminal</t>
  </si>
  <si>
    <t>besides</t>
  </si>
  <si>
    <t>properly</t>
  </si>
  <si>
    <t>ancient</t>
  </si>
  <si>
    <t>coast</t>
  </si>
  <si>
    <t>ill</t>
  </si>
  <si>
    <t>kick</t>
  </si>
  <si>
    <t>closely</t>
  </si>
  <si>
    <t>multiple</t>
  </si>
  <si>
    <t>yield</t>
  </si>
  <si>
    <t>via</t>
  </si>
  <si>
    <t>legislation</t>
  </si>
  <si>
    <t>county</t>
  </si>
  <si>
    <t>unlike</t>
  </si>
  <si>
    <t>mobile</t>
  </si>
  <si>
    <t>assistant</t>
  </si>
  <si>
    <t>implement</t>
  </si>
  <si>
    <t>chart</t>
  </si>
  <si>
    <t>attach</t>
  </si>
  <si>
    <t>hell</t>
  </si>
  <si>
    <t>everywhere</t>
  </si>
  <si>
    <t>advise</t>
  </si>
  <si>
    <t>household</t>
  </si>
  <si>
    <t>acknowledge</t>
  </si>
  <si>
    <t>reward</t>
  </si>
  <si>
    <t>east</t>
  </si>
  <si>
    <t>hat</t>
  </si>
  <si>
    <t>academic</t>
  </si>
  <si>
    <t>voter</t>
  </si>
  <si>
    <t>meanwhile</t>
  </si>
  <si>
    <t>furthermore</t>
  </si>
  <si>
    <t>accuse</t>
  </si>
  <si>
    <t>scientific</t>
  </si>
  <si>
    <t>wage</t>
  </si>
  <si>
    <t>absence</t>
  </si>
  <si>
    <t>construct</t>
  </si>
  <si>
    <t>remark</t>
  </si>
  <si>
    <t>medicine</t>
  </si>
  <si>
    <t>professor</t>
  </si>
  <si>
    <t>rare</t>
  </si>
  <si>
    <t>intention</t>
  </si>
  <si>
    <t>dozen</t>
  </si>
  <si>
    <t>settlement</t>
  </si>
  <si>
    <t>gap</t>
  </si>
  <si>
    <t>widely</t>
  </si>
  <si>
    <t>minimum</t>
  </si>
  <si>
    <t>northern</t>
  </si>
  <si>
    <t>estate</t>
  </si>
  <si>
    <t>equally</t>
  </si>
  <si>
    <t>expose</t>
  </si>
  <si>
    <t>alive</t>
  </si>
  <si>
    <t>shut</t>
  </si>
  <si>
    <t>victory</t>
  </si>
  <si>
    <t>resolve</t>
  </si>
  <si>
    <t>critic</t>
  </si>
  <si>
    <t>variable</t>
  </si>
  <si>
    <t>enormous</t>
  </si>
  <si>
    <t>sweet</t>
  </si>
  <si>
    <t>permanent</t>
  </si>
  <si>
    <t>emotion</t>
  </si>
  <si>
    <t>pursue</t>
  </si>
  <si>
    <t>tall</t>
  </si>
  <si>
    <t>urge</t>
  </si>
  <si>
    <t>enemy</t>
  </si>
  <si>
    <t>appoint</t>
  </si>
  <si>
    <t>milk</t>
  </si>
  <si>
    <t>talent</t>
  </si>
  <si>
    <t>smell</t>
  </si>
  <si>
    <t>prior</t>
  </si>
  <si>
    <t>priority</t>
  </si>
  <si>
    <t>online</t>
  </si>
  <si>
    <t>phrase</t>
  </si>
  <si>
    <t>pilot</t>
  </si>
  <si>
    <t>stable</t>
  </si>
  <si>
    <t>merely</t>
  </si>
  <si>
    <t>resolution</t>
  </si>
  <si>
    <t>communicate</t>
  </si>
  <si>
    <t>injury</t>
  </si>
  <si>
    <t>vast</t>
  </si>
  <si>
    <t>exhibition</t>
  </si>
  <si>
    <t>producer</t>
  </si>
  <si>
    <t>regional</t>
  </si>
  <si>
    <t>immediate</t>
  </si>
  <si>
    <t>incident</t>
  </si>
  <si>
    <t>childhood</t>
  </si>
  <si>
    <t>draft</t>
  </si>
  <si>
    <t>slip</t>
  </si>
  <si>
    <t>accompany</t>
  </si>
  <si>
    <t>politician</t>
  </si>
  <si>
    <t>angry</t>
  </si>
  <si>
    <t>knock</t>
  </si>
  <si>
    <t>seed</t>
  </si>
  <si>
    <t>salary</t>
  </si>
  <si>
    <t>illustrate</t>
  </si>
  <si>
    <t>imply</t>
  </si>
  <si>
    <t>breakfast</t>
  </si>
  <si>
    <t>temporary</t>
  </si>
  <si>
    <t>liberal</t>
  </si>
  <si>
    <t>lake</t>
  </si>
  <si>
    <t>qualify</t>
  </si>
  <si>
    <t>competitive</t>
  </si>
  <si>
    <t>truly</t>
  </si>
  <si>
    <t>hi</t>
  </si>
  <si>
    <t>yellow</t>
  </si>
  <si>
    <t>habit</t>
  </si>
  <si>
    <t>disk</t>
  </si>
  <si>
    <t>core</t>
  </si>
  <si>
    <t>emotional</t>
  </si>
  <si>
    <t>aircraft</t>
  </si>
  <si>
    <t>self</t>
  </si>
  <si>
    <t>metal</t>
  </si>
  <si>
    <t>existence</t>
  </si>
  <si>
    <t>bone</t>
  </si>
  <si>
    <t>panel</t>
  </si>
  <si>
    <t>prime</t>
  </si>
  <si>
    <t>appointment</t>
  </si>
  <si>
    <t>emphasize</t>
  </si>
  <si>
    <t>maximum</t>
  </si>
  <si>
    <t>effectively</t>
  </si>
  <si>
    <t>elsewhere</t>
  </si>
  <si>
    <t>bother</t>
  </si>
  <si>
    <t>initiative</t>
  </si>
  <si>
    <t>sharp</t>
  </si>
  <si>
    <t>diet</t>
  </si>
  <si>
    <t>motion</t>
  </si>
  <si>
    <t>gray</t>
  </si>
  <si>
    <t>plastic</t>
  </si>
  <si>
    <t>complicate</t>
  </si>
  <si>
    <t>discipline</t>
  </si>
  <si>
    <t>disappoint</t>
  </si>
  <si>
    <t>boss</t>
  </si>
  <si>
    <t>assumption</t>
  </si>
  <si>
    <t>freeze</t>
  </si>
  <si>
    <t>extreme</t>
  </si>
  <si>
    <t>passage</t>
  </si>
  <si>
    <t>reputation</t>
  </si>
  <si>
    <t>forth</t>
  </si>
  <si>
    <t>negotiation</t>
  </si>
  <si>
    <t>mechanism</t>
  </si>
  <si>
    <t>coat</t>
  </si>
  <si>
    <t>democracy</t>
  </si>
  <si>
    <t>pocket</t>
  </si>
  <si>
    <t>lucky</t>
  </si>
  <si>
    <t>crash</t>
  </si>
  <si>
    <t>observation</t>
  </si>
  <si>
    <t>meat</t>
  </si>
  <si>
    <t>concentration</t>
  </si>
  <si>
    <t>implication</t>
  </si>
  <si>
    <t>deserve</t>
  </si>
  <si>
    <t>unusual</t>
  </si>
  <si>
    <t>defend</t>
  </si>
  <si>
    <t>classic</t>
  </si>
  <si>
    <t>king</t>
  </si>
  <si>
    <t>interaction</t>
  </si>
  <si>
    <t>repair</t>
  </si>
  <si>
    <t>collapse</t>
  </si>
  <si>
    <t>borrow</t>
  </si>
  <si>
    <t>fundamental</t>
  </si>
  <si>
    <t>dish</t>
  </si>
  <si>
    <t>abroad</t>
  </si>
  <si>
    <t>soul</t>
  </si>
  <si>
    <t>capable</t>
  </si>
  <si>
    <t>defeat</t>
  </si>
  <si>
    <t>presidential</t>
  </si>
  <si>
    <t>perfectly</t>
  </si>
  <si>
    <t>enhance</t>
  </si>
  <si>
    <t>proud</t>
  </si>
  <si>
    <t>emergency</t>
  </si>
  <si>
    <t>educational</t>
  </si>
  <si>
    <t>distinguish</t>
  </si>
  <si>
    <t>substantial</t>
  </si>
  <si>
    <t>nearby</t>
  </si>
  <si>
    <t>manufacturer</t>
  </si>
  <si>
    <t>slide</t>
  </si>
  <si>
    <t>valuable</t>
  </si>
  <si>
    <t>personally</t>
  </si>
  <si>
    <t>breast</t>
  </si>
  <si>
    <t>cope</t>
  </si>
  <si>
    <t>approximately</t>
  </si>
  <si>
    <t>accommodation</t>
  </si>
  <si>
    <t>highlight</t>
  </si>
  <si>
    <t>reporter</t>
  </si>
  <si>
    <t>climate</t>
  </si>
  <si>
    <t>shirt</t>
  </si>
  <si>
    <t>exception</t>
  </si>
  <si>
    <t>corporation</t>
  </si>
  <si>
    <t>chip</t>
  </si>
  <si>
    <t>winner</t>
  </si>
  <si>
    <t>encounter</t>
  </si>
  <si>
    <t>brown</t>
  </si>
  <si>
    <t>breathe</t>
  </si>
  <si>
    <t>excuse</t>
  </si>
  <si>
    <t>partly</t>
  </si>
  <si>
    <t>tennis</t>
  </si>
  <si>
    <t>urban</t>
  </si>
  <si>
    <t>confuse</t>
  </si>
  <si>
    <t>southern</t>
  </si>
  <si>
    <t>output</t>
  </si>
  <si>
    <t>beauty</t>
  </si>
  <si>
    <t>massive</t>
  </si>
  <si>
    <t>install</t>
  </si>
  <si>
    <t>calculate</t>
  </si>
  <si>
    <t>mouse</t>
  </si>
  <si>
    <t>mathematics</t>
  </si>
  <si>
    <t>upper</t>
  </si>
  <si>
    <t>creation</t>
  </si>
  <si>
    <t>occupy</t>
  </si>
  <si>
    <t>outline</t>
  </si>
  <si>
    <t>sufficient</t>
  </si>
  <si>
    <t>update</t>
  </si>
  <si>
    <t>luck</t>
  </si>
  <si>
    <t>preserve</t>
  </si>
  <si>
    <t>split</t>
  </si>
  <si>
    <t>swing</t>
  </si>
  <si>
    <t>illness</t>
  </si>
  <si>
    <t>journalist</t>
  </si>
  <si>
    <t>sudden</t>
  </si>
  <si>
    <t>advertisement</t>
  </si>
  <si>
    <t>consistent</t>
  </si>
  <si>
    <t>originally</t>
  </si>
  <si>
    <t>aside</t>
  </si>
  <si>
    <t>comfort</t>
  </si>
  <si>
    <t>secondly</t>
  </si>
  <si>
    <t>severe</t>
  </si>
  <si>
    <t>gene</t>
  </si>
  <si>
    <t>prospect</t>
  </si>
  <si>
    <t>snow</t>
  </si>
  <si>
    <t>plot</t>
  </si>
  <si>
    <t>neck</t>
  </si>
  <si>
    <t>criterion</t>
  </si>
  <si>
    <t>primarily</t>
  </si>
  <si>
    <t>integrate</t>
  </si>
  <si>
    <t>criticism</t>
  </si>
  <si>
    <t>convention</t>
  </si>
  <si>
    <t>bet</t>
  </si>
  <si>
    <t>retain</t>
  </si>
  <si>
    <t>sequence</t>
  </si>
  <si>
    <t>plain</t>
  </si>
  <si>
    <t>volunteer</t>
  </si>
  <si>
    <t>rural</t>
  </si>
  <si>
    <t>calm</t>
  </si>
  <si>
    <t>abandon</t>
  </si>
  <si>
    <t>examination</t>
  </si>
  <si>
    <t>silence</t>
  </si>
  <si>
    <t>rapidly</t>
  </si>
  <si>
    <t>efficient</t>
  </si>
  <si>
    <t>revolution</t>
  </si>
  <si>
    <t>delight</t>
  </si>
  <si>
    <t>spell</t>
  </si>
  <si>
    <t>premise</t>
  </si>
  <si>
    <t>lean</t>
  </si>
  <si>
    <t>dramatic</t>
  </si>
  <si>
    <t>differ</t>
  </si>
  <si>
    <t>grateful</t>
  </si>
  <si>
    <t>protein</t>
  </si>
  <si>
    <t>bike</t>
  </si>
  <si>
    <t>distribute</t>
  </si>
  <si>
    <t>intellectual</t>
  </si>
  <si>
    <t>derive</t>
  </si>
  <si>
    <t>crucial</t>
  </si>
  <si>
    <t>unemployment</t>
  </si>
  <si>
    <t>wheel</t>
  </si>
  <si>
    <t>crop</t>
  </si>
  <si>
    <t>minority</t>
  </si>
  <si>
    <t>origin</t>
  </si>
  <si>
    <t>interpretation</t>
  </si>
  <si>
    <t>gentleman</t>
  </si>
  <si>
    <t>drama</t>
  </si>
  <si>
    <t>landscape</t>
  </si>
  <si>
    <t>educate</t>
  </si>
  <si>
    <t>toy</t>
  </si>
  <si>
    <t>fault</t>
  </si>
  <si>
    <t>exhibit</t>
  </si>
  <si>
    <t>minor</t>
  </si>
  <si>
    <t>hunt</t>
  </si>
  <si>
    <t>storm</t>
  </si>
  <si>
    <t>thick</t>
  </si>
  <si>
    <t>achievement</t>
  </si>
  <si>
    <t>negotiate</t>
  </si>
  <si>
    <t>dominate</t>
  </si>
  <si>
    <t>supplier</t>
  </si>
  <si>
    <t>prize</t>
  </si>
  <si>
    <t>typically</t>
  </si>
  <si>
    <t>peer</t>
  </si>
  <si>
    <t>pension</t>
  </si>
  <si>
    <t>wing</t>
  </si>
  <si>
    <t>acquisition</t>
  </si>
  <si>
    <t>laughter</t>
  </si>
  <si>
    <t>deeply</t>
  </si>
  <si>
    <t>recognition</t>
  </si>
  <si>
    <t>electricity</t>
  </si>
  <si>
    <t>assistance</t>
  </si>
  <si>
    <t>roof</t>
  </si>
  <si>
    <t>retirement</t>
  </si>
  <si>
    <t>respectively</t>
  </si>
  <si>
    <t>variation</t>
  </si>
  <si>
    <t>ultimately</t>
  </si>
  <si>
    <t>proof</t>
  </si>
  <si>
    <t>soil</t>
  </si>
  <si>
    <t>smart</t>
  </si>
  <si>
    <t>layer</t>
  </si>
  <si>
    <t>upset</t>
  </si>
  <si>
    <t>tooth</t>
  </si>
  <si>
    <t>representation</t>
  </si>
  <si>
    <t>preparation</t>
  </si>
  <si>
    <t>dispute</t>
  </si>
  <si>
    <t>agenda</t>
  </si>
  <si>
    <t>emphasis</t>
  </si>
  <si>
    <t>edition</t>
  </si>
  <si>
    <t>silver</t>
  </si>
  <si>
    <t>entertainment</t>
  </si>
  <si>
    <t>honest</t>
  </si>
  <si>
    <t>undertake</t>
  </si>
  <si>
    <t>retail</t>
  </si>
  <si>
    <t>wire</t>
  </si>
  <si>
    <t>unlikely</t>
  </si>
  <si>
    <t>gay</t>
  </si>
  <si>
    <t>publication</t>
  </si>
  <si>
    <t>slight</t>
  </si>
  <si>
    <t>unknown</t>
  </si>
  <si>
    <t>framework</t>
  </si>
  <si>
    <t>zone</t>
  </si>
  <si>
    <t>restrict</t>
  </si>
  <si>
    <t>trace</t>
  </si>
  <si>
    <t>inch</t>
  </si>
  <si>
    <t>equivalent</t>
  </si>
  <si>
    <t>solid</t>
  </si>
  <si>
    <t>enterprise</t>
  </si>
  <si>
    <t>elderly</t>
  </si>
  <si>
    <t>owe</t>
  </si>
  <si>
    <t>governor</t>
  </si>
  <si>
    <t>uniform</t>
  </si>
  <si>
    <t>port</t>
  </si>
  <si>
    <t>pitch</t>
  </si>
  <si>
    <t>arrival</t>
  </si>
  <si>
    <t>contemporary</t>
  </si>
  <si>
    <t>gate</t>
  </si>
  <si>
    <t>ease</t>
  </si>
  <si>
    <t>beer</t>
  </si>
  <si>
    <t>specialist</t>
  </si>
  <si>
    <t>assure</t>
  </si>
  <si>
    <t>profile</t>
  </si>
  <si>
    <t>mood</t>
  </si>
  <si>
    <t>episode</t>
  </si>
  <si>
    <t>crack</t>
  </si>
  <si>
    <t>numerous</t>
  </si>
  <si>
    <t>submit</t>
  </si>
  <si>
    <t>symptom</t>
  </si>
  <si>
    <t>virtually</t>
  </si>
  <si>
    <t>era</t>
  </si>
  <si>
    <t>coverage</t>
  </si>
  <si>
    <t>tension</t>
  </si>
  <si>
    <t>cable</t>
  </si>
  <si>
    <t>sensitive</t>
  </si>
  <si>
    <t>nervous</t>
  </si>
  <si>
    <t>input</t>
  </si>
  <si>
    <t>isolate</t>
  </si>
  <si>
    <t>prisoner</t>
  </si>
  <si>
    <t>eliminate</t>
  </si>
  <si>
    <t>tight</t>
  </si>
  <si>
    <t>wet</t>
  </si>
  <si>
    <t>secondary</t>
  </si>
  <si>
    <t>welfare</t>
  </si>
  <si>
    <t>recruit</t>
  </si>
  <si>
    <t>exclude</t>
  </si>
  <si>
    <t>string</t>
  </si>
  <si>
    <t>cloud</t>
  </si>
  <si>
    <t>persuade</t>
  </si>
  <si>
    <t>inspire</t>
  </si>
  <si>
    <t>grand</t>
  </si>
  <si>
    <t>hence</t>
  </si>
  <si>
    <t>crew</t>
  </si>
  <si>
    <t>phenomenon</t>
  </si>
  <si>
    <t>pupil</t>
  </si>
  <si>
    <t>false</t>
  </si>
  <si>
    <t>assist</t>
  </si>
  <si>
    <t>restore</t>
  </si>
  <si>
    <t>formula</t>
  </si>
  <si>
    <t>alter</t>
  </si>
  <si>
    <t>perceive</t>
  </si>
  <si>
    <t>routine</t>
  </si>
  <si>
    <t>sink</t>
  </si>
  <si>
    <t>stare</t>
  </si>
  <si>
    <t>anymore</t>
  </si>
  <si>
    <t>hero</t>
  </si>
  <si>
    <t>supporter</t>
  </si>
  <si>
    <t>convert</t>
  </si>
  <si>
    <t>steady</t>
  </si>
  <si>
    <t>meter</t>
  </si>
  <si>
    <t>truck</t>
  </si>
  <si>
    <t>nose</t>
  </si>
  <si>
    <t>beside</t>
  </si>
  <si>
    <t>sail</t>
  </si>
  <si>
    <t>disaster</t>
  </si>
  <si>
    <t>pace</t>
  </si>
  <si>
    <t>heavily</t>
  </si>
  <si>
    <t>devote</t>
  </si>
  <si>
    <t>terrorist</t>
  </si>
  <si>
    <t>justify</t>
  </si>
  <si>
    <t>vital</t>
  </si>
  <si>
    <t>fascinate</t>
  </si>
  <si>
    <t>external</t>
  </si>
  <si>
    <t>spare</t>
  </si>
  <si>
    <t>whenever</t>
  </si>
  <si>
    <t>depression</t>
  </si>
  <si>
    <t>guilty</t>
  </si>
  <si>
    <t>underlie</t>
  </si>
  <si>
    <t>mom</t>
  </si>
  <si>
    <t>distinction</t>
  </si>
  <si>
    <t>satisfaction</t>
  </si>
  <si>
    <t>incorporate</t>
  </si>
  <si>
    <t>pour</t>
  </si>
  <si>
    <t>sweep</t>
  </si>
  <si>
    <t>obligation</t>
  </si>
  <si>
    <t>sir</t>
  </si>
  <si>
    <t>evaluate</t>
  </si>
  <si>
    <t>anger</t>
  </si>
  <si>
    <t>pub</t>
  </si>
  <si>
    <t>perception</t>
  </si>
  <si>
    <t>naturally</t>
  </si>
  <si>
    <t>currency</t>
  </si>
  <si>
    <t>database</t>
  </si>
  <si>
    <t>initially</t>
  </si>
  <si>
    <t>territory</t>
  </si>
  <si>
    <t>stream</t>
  </si>
  <si>
    <t>rarely</t>
  </si>
  <si>
    <t>height</t>
  </si>
  <si>
    <t>apparent</t>
  </si>
  <si>
    <t>western</t>
  </si>
  <si>
    <t>expansion</t>
  </si>
  <si>
    <t>constantly</t>
  </si>
  <si>
    <t>muscle</t>
  </si>
  <si>
    <t>scare</t>
  </si>
  <si>
    <t>badly</t>
  </si>
  <si>
    <t>everyday</t>
  </si>
  <si>
    <t>boundary</t>
  </si>
  <si>
    <t>ratio</t>
  </si>
  <si>
    <t>essay</t>
  </si>
  <si>
    <t>scream</t>
  </si>
  <si>
    <t>withdraw</t>
  </si>
  <si>
    <t>pollution</t>
  </si>
  <si>
    <t>disorder</t>
  </si>
  <si>
    <t>furniture</t>
  </si>
  <si>
    <t>symbol</t>
  </si>
  <si>
    <t>apartment</t>
  </si>
  <si>
    <t>demonstration</t>
  </si>
  <si>
    <t>analyst</t>
  </si>
  <si>
    <t>platform</t>
  </si>
  <si>
    <t>steel</t>
  </si>
  <si>
    <t>cake</t>
  </si>
  <si>
    <t>transform</t>
  </si>
  <si>
    <t>wound</t>
  </si>
  <si>
    <t>restriction</t>
  </si>
  <si>
    <t>foundation</t>
  </si>
  <si>
    <t>designer</t>
  </si>
  <si>
    <t>strain</t>
  </si>
  <si>
    <t>innovation</t>
  </si>
  <si>
    <t>album</t>
  </si>
  <si>
    <t>singer</t>
  </si>
  <si>
    <t>trail</t>
  </si>
  <si>
    <t>trap</t>
  </si>
  <si>
    <t>loose</t>
  </si>
  <si>
    <t>extension</t>
  </si>
  <si>
    <t>wealth</t>
  </si>
  <si>
    <t>gradually</t>
  </si>
  <si>
    <t>tank</t>
  </si>
  <si>
    <t>evil</t>
  </si>
  <si>
    <t>remarkable</t>
  </si>
  <si>
    <t>tune</t>
  </si>
  <si>
    <t>grass</t>
  </si>
  <si>
    <t>invitation</t>
  </si>
  <si>
    <t>transition</t>
  </si>
  <si>
    <t>frighten</t>
  </si>
  <si>
    <t>bid</t>
  </si>
  <si>
    <t>breed</t>
  </si>
  <si>
    <t>extraordinary</t>
  </si>
  <si>
    <t>brilliant</t>
  </si>
  <si>
    <t>adviser</t>
  </si>
  <si>
    <t>stem</t>
  </si>
  <si>
    <t>reverse</t>
  </si>
  <si>
    <t>mode</t>
  </si>
  <si>
    <t>mirror</t>
  </si>
  <si>
    <t>awful</t>
  </si>
  <si>
    <t>pose</t>
  </si>
  <si>
    <t>adjust</t>
  </si>
  <si>
    <t>creative</t>
  </si>
  <si>
    <t>nowadays</t>
  </si>
  <si>
    <t>poem</t>
  </si>
  <si>
    <t>agricultural</t>
  </si>
  <si>
    <t>competitor</t>
  </si>
  <si>
    <t>alcohol</t>
  </si>
  <si>
    <t>festival</t>
  </si>
  <si>
    <t>vegetable</t>
  </si>
  <si>
    <t>van</t>
  </si>
  <si>
    <t>confident</t>
  </si>
  <si>
    <t>planet</t>
  </si>
  <si>
    <t>curve</t>
  </si>
  <si>
    <t>knee</t>
  </si>
  <si>
    <t>overcome</t>
  </si>
  <si>
    <t>web</t>
  </si>
  <si>
    <t>depth</t>
  </si>
  <si>
    <t>entrance</t>
  </si>
  <si>
    <t>log</t>
  </si>
  <si>
    <t>giant</t>
  </si>
  <si>
    <t>god</t>
  </si>
  <si>
    <t>portion</t>
  </si>
  <si>
    <t>substance</t>
  </si>
  <si>
    <t>extensive</t>
  </si>
  <si>
    <t>interpret</t>
  </si>
  <si>
    <t>independence</t>
  </si>
  <si>
    <t>sugar</t>
  </si>
  <si>
    <t>inner</t>
  </si>
  <si>
    <t>harm</t>
  </si>
  <si>
    <t>consult</t>
  </si>
  <si>
    <t>pink</t>
  </si>
  <si>
    <t>shadow</t>
  </si>
  <si>
    <t>strip</t>
  </si>
  <si>
    <t>smooth</t>
  </si>
  <si>
    <t>intervention</t>
  </si>
  <si>
    <t>impress</t>
  </si>
  <si>
    <t>exam</t>
  </si>
  <si>
    <t>vice</t>
  </si>
  <si>
    <t>radical</t>
  </si>
  <si>
    <t>similarly</t>
  </si>
  <si>
    <t>behave</t>
  </si>
  <si>
    <t>loud</t>
  </si>
  <si>
    <t>dimension</t>
  </si>
  <si>
    <t>subsequent</t>
  </si>
  <si>
    <t>infection</t>
  </si>
  <si>
    <t>jacket</t>
  </si>
  <si>
    <t>efficiency</t>
  </si>
  <si>
    <t>dirty</t>
  </si>
  <si>
    <t>statistic</t>
  </si>
  <si>
    <t>regularly</t>
  </si>
  <si>
    <t>resort</t>
  </si>
  <si>
    <t>iron</t>
  </si>
  <si>
    <t>broadcast</t>
  </si>
  <si>
    <t>membership</t>
  </si>
  <si>
    <t>bread</t>
  </si>
  <si>
    <t>blind</t>
  </si>
  <si>
    <t>pure</t>
  </si>
  <si>
    <t>bloody</t>
  </si>
  <si>
    <t>ally</t>
  </si>
  <si>
    <t>quantity</t>
  </si>
  <si>
    <t>bend</t>
  </si>
  <si>
    <t>mature</t>
  </si>
  <si>
    <t>briefly</t>
  </si>
  <si>
    <t>alarm</t>
  </si>
  <si>
    <t>disturb</t>
  </si>
  <si>
    <t>sustain</t>
  </si>
  <si>
    <t>flood</t>
  </si>
  <si>
    <t>poverty</t>
  </si>
  <si>
    <t>crazy</t>
  </si>
  <si>
    <t>cite</t>
  </si>
  <si>
    <t>newly</t>
  </si>
  <si>
    <t>parallel</t>
  </si>
  <si>
    <t>gender</t>
  </si>
  <si>
    <t>sponsor</t>
  </si>
  <si>
    <t>boot</t>
  </si>
  <si>
    <t>accurate</t>
  </si>
  <si>
    <t>dealer</t>
  </si>
  <si>
    <t>button</t>
  </si>
  <si>
    <t>burden</t>
  </si>
  <si>
    <t>desert</t>
  </si>
  <si>
    <t>mate</t>
  </si>
  <si>
    <t>occasionally</t>
  </si>
  <si>
    <t>shareholder</t>
  </si>
  <si>
    <t>bowl</t>
  </si>
  <si>
    <t>discovery</t>
  </si>
  <si>
    <t>resistance</t>
  </si>
  <si>
    <t>bath</t>
  </si>
  <si>
    <t>frequency</t>
  </si>
  <si>
    <t>criticize</t>
  </si>
  <si>
    <t>tap</t>
  </si>
  <si>
    <t>philosophy</t>
  </si>
  <si>
    <t>lip</t>
  </si>
  <si>
    <t>attribute</t>
  </si>
  <si>
    <t>apologize</t>
  </si>
  <si>
    <t>approval</t>
  </si>
  <si>
    <t>grab</t>
  </si>
  <si>
    <t>entitle</t>
  </si>
  <si>
    <t>lend</t>
  </si>
  <si>
    <t>involvement</t>
  </si>
  <si>
    <t>exposure</t>
  </si>
  <si>
    <t>conventional</t>
  </si>
  <si>
    <t>digital</t>
  </si>
  <si>
    <t>translate</t>
  </si>
  <si>
    <t>edit</t>
  </si>
  <si>
    <t>formation</t>
  </si>
  <si>
    <t>deposit</t>
  </si>
  <si>
    <t>pleasant</t>
  </si>
  <si>
    <t>overseas</t>
  </si>
  <si>
    <t>advocate</t>
  </si>
  <si>
    <t>establishment</t>
  </si>
  <si>
    <t>summary</t>
  </si>
  <si>
    <t>rough</t>
  </si>
  <si>
    <t>pen</t>
  </si>
  <si>
    <t>recovery</t>
  </si>
  <si>
    <t>seal</t>
  </si>
  <si>
    <t>tube</t>
  </si>
  <si>
    <t>tower</t>
  </si>
  <si>
    <t>characterize</t>
  </si>
  <si>
    <t>specify</t>
  </si>
  <si>
    <t>exact</t>
  </si>
  <si>
    <t>spin</t>
  </si>
  <si>
    <t>operator</t>
  </si>
  <si>
    <t>infant</t>
  </si>
  <si>
    <t>dig</t>
  </si>
  <si>
    <t>drag</t>
  </si>
  <si>
    <t>mount</t>
  </si>
  <si>
    <t>wrap</t>
  </si>
  <si>
    <t>anticipate</t>
  </si>
  <si>
    <t>dependent</t>
  </si>
  <si>
    <t>specialize</t>
  </si>
  <si>
    <t>angle</t>
  </si>
  <si>
    <t>chicken</t>
  </si>
  <si>
    <t>anxiety</t>
  </si>
  <si>
    <t>virus</t>
  </si>
  <si>
    <t>precisely</t>
  </si>
  <si>
    <t>rival</t>
  </si>
  <si>
    <t>offense</t>
  </si>
  <si>
    <t>detect</t>
  </si>
  <si>
    <t>teenager</t>
  </si>
  <si>
    <t>admire</t>
  </si>
  <si>
    <t>moderate</t>
  </si>
  <si>
    <t>surgery</t>
  </si>
  <si>
    <t>musician</t>
  </si>
  <si>
    <t>significance</t>
  </si>
  <si>
    <t>shower</t>
  </si>
  <si>
    <t>illegal</t>
  </si>
  <si>
    <t>charity</t>
  </si>
  <si>
    <t>universal</t>
  </si>
  <si>
    <t>cigarette</t>
  </si>
  <si>
    <t>constitute</t>
  </si>
  <si>
    <t>adequate</t>
  </si>
  <si>
    <t>consultant</t>
  </si>
  <si>
    <t>historian</t>
  </si>
  <si>
    <t>cousin</t>
  </si>
  <si>
    <t>visual</t>
  </si>
  <si>
    <t>stupid</t>
  </si>
  <si>
    <t>keen</t>
  </si>
  <si>
    <t>ethnic</t>
  </si>
  <si>
    <t>twin</t>
  </si>
  <si>
    <t>clinical</t>
  </si>
  <si>
    <t>eastern</t>
  </si>
  <si>
    <t>forecast</t>
  </si>
  <si>
    <t>segment</t>
  </si>
  <si>
    <t>custom</t>
  </si>
  <si>
    <t>adapt</t>
  </si>
  <si>
    <t>sand</t>
  </si>
  <si>
    <t>cap</t>
  </si>
  <si>
    <t>prompt</t>
  </si>
  <si>
    <t>charm</t>
  </si>
  <si>
    <t>react</t>
  </si>
  <si>
    <t>lecture</t>
  </si>
  <si>
    <t>venture</t>
  </si>
  <si>
    <t>compound</t>
  </si>
  <si>
    <t>rescue</t>
  </si>
  <si>
    <t>mess</t>
  </si>
  <si>
    <t>preference</t>
  </si>
  <si>
    <t>comprehensive</t>
  </si>
  <si>
    <t>incentive</t>
  </si>
  <si>
    <t>league</t>
  </si>
  <si>
    <t>dialog</t>
  </si>
  <si>
    <t>cream</t>
  </si>
  <si>
    <t>rapid</t>
  </si>
  <si>
    <t>cancel</t>
  </si>
  <si>
    <t>regret</t>
  </si>
  <si>
    <t>dismiss</t>
  </si>
  <si>
    <t>margin</t>
  </si>
  <si>
    <t>beneath</t>
  </si>
  <si>
    <t>opponent</t>
  </si>
  <si>
    <t>resist</t>
  </si>
  <si>
    <t>capability</t>
  </si>
  <si>
    <t>absolute</t>
  </si>
  <si>
    <t>correspond</t>
  </si>
  <si>
    <t>stroke</t>
  </si>
  <si>
    <t>dare</t>
  </si>
  <si>
    <t>barrier</t>
  </si>
  <si>
    <t>rid</t>
  </si>
  <si>
    <t>divorce</t>
  </si>
  <si>
    <t>ruin</t>
  </si>
  <si>
    <t>bury</t>
  </si>
  <si>
    <t>counsel</t>
  </si>
  <si>
    <t>tendency</t>
  </si>
  <si>
    <t>frequent</t>
  </si>
  <si>
    <t>motor</t>
  </si>
  <si>
    <t>survival</t>
  </si>
  <si>
    <t>counter</t>
  </si>
  <si>
    <t>possess</t>
  </si>
  <si>
    <t>permission</t>
  </si>
  <si>
    <t>valley</t>
  </si>
  <si>
    <t>float</t>
  </si>
  <si>
    <t>mad</t>
  </si>
  <si>
    <t>greatly</t>
  </si>
  <si>
    <t>visible</t>
  </si>
  <si>
    <t>electric</t>
  </si>
  <si>
    <t>impressive</t>
  </si>
  <si>
    <t>evolution</t>
  </si>
  <si>
    <t>awareness</t>
  </si>
  <si>
    <t>violent</t>
  </si>
  <si>
    <t>slave</t>
  </si>
  <si>
    <t>wealthy</t>
  </si>
  <si>
    <t>architecture</t>
  </si>
  <si>
    <t>acceptable</t>
  </si>
  <si>
    <t>journal</t>
  </si>
  <si>
    <t>coal</t>
  </si>
  <si>
    <t>measurement</t>
  </si>
  <si>
    <t>random</t>
  </si>
  <si>
    <t>successfully</t>
  </si>
  <si>
    <t>depress</t>
  </si>
  <si>
    <t>illustration</t>
  </si>
  <si>
    <t>burst</t>
  </si>
  <si>
    <t>privilege</t>
  </si>
  <si>
    <t>buyer</t>
  </si>
  <si>
    <t>mutual</t>
  </si>
  <si>
    <t>rail</t>
  </si>
  <si>
    <t>motivate</t>
  </si>
  <si>
    <t>laboratory</t>
  </si>
  <si>
    <t>mortgage</t>
  </si>
  <si>
    <t>promotion</t>
  </si>
  <si>
    <t>passion</t>
  </si>
  <si>
    <t>champion</t>
  </si>
  <si>
    <t>fulfill</t>
  </si>
  <si>
    <t>dust</t>
  </si>
  <si>
    <t>dedicate</t>
  </si>
  <si>
    <t>roughly</t>
  </si>
  <si>
    <t>skirt</t>
  </si>
  <si>
    <t>province</t>
  </si>
  <si>
    <t>march</t>
  </si>
  <si>
    <t>evaluation</t>
  </si>
  <si>
    <t>compromise</t>
  </si>
  <si>
    <t>accomplish</t>
  </si>
  <si>
    <t>weakness</t>
  </si>
  <si>
    <t>announcement</t>
  </si>
  <si>
    <t>salt</t>
  </si>
  <si>
    <t>glance</t>
  </si>
  <si>
    <t>opera</t>
  </si>
  <si>
    <t>contest</t>
  </si>
  <si>
    <t>brush</t>
  </si>
  <si>
    <t>embarrass</t>
  </si>
  <si>
    <t>gallery</t>
  </si>
  <si>
    <t>genetic</t>
  </si>
  <si>
    <t>aggressive</t>
  </si>
  <si>
    <t>chest</t>
  </si>
  <si>
    <t>format</t>
  </si>
  <si>
    <t>literary</t>
  </si>
  <si>
    <t>govern</t>
  </si>
  <si>
    <t>embrace</t>
  </si>
  <si>
    <t>praise</t>
  </si>
  <si>
    <t>silent</t>
  </si>
  <si>
    <t>pump</t>
  </si>
  <si>
    <t>publisher</t>
  </si>
  <si>
    <t>celebration</t>
  </si>
  <si>
    <t>golf</t>
  </si>
  <si>
    <t>compensation</t>
  </si>
  <si>
    <t>classical</t>
  </si>
  <si>
    <t>weigh</t>
  </si>
  <si>
    <t>versus</t>
  </si>
  <si>
    <t>deficit</t>
  </si>
  <si>
    <t>modify</t>
  </si>
  <si>
    <t>flash</t>
  </si>
  <si>
    <t>friendship</t>
  </si>
  <si>
    <t>profession</t>
  </si>
  <si>
    <t>literally</t>
  </si>
  <si>
    <t>equation</t>
  </si>
  <si>
    <t>gesture</t>
  </si>
  <si>
    <t>entertain</t>
  </si>
  <si>
    <t>fantastic</t>
  </si>
  <si>
    <t>assign</t>
  </si>
  <si>
    <t>inflation</t>
  </si>
  <si>
    <t>historic</t>
  </si>
  <si>
    <t>injure</t>
  </si>
  <si>
    <t>remote</t>
  </si>
  <si>
    <t>therapy</t>
  </si>
  <si>
    <t>orange</t>
  </si>
  <si>
    <t>twist</t>
  </si>
  <si>
    <t>personnel</t>
  </si>
  <si>
    <t>imagination</t>
  </si>
  <si>
    <t>disagree</t>
  </si>
  <si>
    <t>throat</t>
  </si>
  <si>
    <t>insight</t>
  </si>
  <si>
    <t>tackle</t>
  </si>
  <si>
    <t>forever</t>
  </si>
  <si>
    <t>exceed</t>
  </si>
  <si>
    <t>expenditure</t>
  </si>
  <si>
    <t>joy</t>
  </si>
  <si>
    <t>pregnant</t>
  </si>
  <si>
    <t>reliable</t>
  </si>
  <si>
    <t>gear</t>
  </si>
  <si>
    <t>poet</t>
  </si>
  <si>
    <t>fortune</t>
  </si>
  <si>
    <t>ceremony</t>
  </si>
  <si>
    <t>pile</t>
  </si>
  <si>
    <t>pig</t>
  </si>
  <si>
    <t>mixture</t>
  </si>
  <si>
    <t>automatically</t>
  </si>
  <si>
    <t>scholar</t>
  </si>
  <si>
    <t>psychological</t>
  </si>
  <si>
    <t>dramatically</t>
  </si>
  <si>
    <t>stake</t>
  </si>
  <si>
    <t>creature</t>
  </si>
  <si>
    <t>partnership</t>
  </si>
  <si>
    <t>participation</t>
  </si>
  <si>
    <t>clause</t>
  </si>
  <si>
    <t>penalty</t>
  </si>
  <si>
    <t>chamber</t>
  </si>
  <si>
    <t>fancy</t>
  </si>
  <si>
    <t>poetry</t>
  </si>
  <si>
    <t>chat</t>
  </si>
  <si>
    <t>clothing</t>
  </si>
  <si>
    <t>evolve</t>
  </si>
  <si>
    <t>sake</t>
  </si>
  <si>
    <t>shelf</t>
  </si>
  <si>
    <t>boost</t>
  </si>
  <si>
    <t>tail</t>
  </si>
  <si>
    <t>possession</t>
  </si>
  <si>
    <t>abortion</t>
  </si>
  <si>
    <t>curious</t>
  </si>
  <si>
    <t>wooden</t>
  </si>
  <si>
    <t>boom</t>
  </si>
  <si>
    <t>tale</t>
  </si>
  <si>
    <t>democratic</t>
  </si>
  <si>
    <t>maintenance</t>
  </si>
  <si>
    <t>consequently</t>
  </si>
  <si>
    <t>pot</t>
  </si>
  <si>
    <t>cow</t>
  </si>
  <si>
    <t>strengthen</t>
  </si>
  <si>
    <t>whilst</t>
  </si>
  <si>
    <t>constraint</t>
  </si>
  <si>
    <t>fold</t>
  </si>
  <si>
    <t>bin</t>
  </si>
  <si>
    <t>undergo</t>
  </si>
  <si>
    <t>potentially</t>
  </si>
  <si>
    <t>scope</t>
  </si>
  <si>
    <t>pretend</t>
  </si>
  <si>
    <t>diversity</t>
  </si>
  <si>
    <t>allege</t>
  </si>
  <si>
    <t>pride</t>
  </si>
  <si>
    <t>intense</t>
  </si>
  <si>
    <t>inquiry</t>
  </si>
  <si>
    <t>resign</t>
  </si>
  <si>
    <t>craft</t>
  </si>
  <si>
    <t>strict</t>
  </si>
  <si>
    <t>concrete</t>
  </si>
  <si>
    <t>shell</t>
  </si>
  <si>
    <t>damn</t>
  </si>
  <si>
    <t>distinct</t>
  </si>
  <si>
    <t>humor</t>
  </si>
  <si>
    <t>limitation</t>
  </si>
  <si>
    <t>indication</t>
  </si>
  <si>
    <t>stability</t>
  </si>
  <si>
    <t>wise</t>
  </si>
  <si>
    <t>neglect</t>
  </si>
  <si>
    <t>compose</t>
  </si>
  <si>
    <t>jail</t>
  </si>
  <si>
    <t>shelter</t>
  </si>
  <si>
    <t>mere</t>
  </si>
  <si>
    <t>carbon</t>
  </si>
  <si>
    <t>regulate</t>
  </si>
  <si>
    <t>cheese</t>
  </si>
  <si>
    <t>trigger</t>
  </si>
  <si>
    <t>pipe</t>
  </si>
  <si>
    <t>destruction</t>
  </si>
  <si>
    <t>guitar</t>
  </si>
  <si>
    <t>flag</t>
  </si>
  <si>
    <t>piano</t>
  </si>
  <si>
    <t>magic</t>
  </si>
  <si>
    <t>mystery</t>
  </si>
  <si>
    <t>ski</t>
  </si>
  <si>
    <t>whisper</t>
  </si>
  <si>
    <t>rear</t>
  </si>
  <si>
    <t>menu</t>
  </si>
  <si>
    <t>species</t>
  </si>
  <si>
    <t>moon</t>
  </si>
  <si>
    <t>presumably</t>
  </si>
  <si>
    <t>bless</t>
  </si>
  <si>
    <t>airline</t>
  </si>
  <si>
    <t>amendment</t>
  </si>
  <si>
    <t>grandmother</t>
  </si>
  <si>
    <t>jury</t>
  </si>
  <si>
    <t>cooperation</t>
  </si>
  <si>
    <t>civilian</t>
  </si>
  <si>
    <t>composition</t>
  </si>
  <si>
    <t>coin</t>
  </si>
  <si>
    <t>regardless</t>
  </si>
  <si>
    <t>scan</t>
  </si>
  <si>
    <t>bunch</t>
  </si>
  <si>
    <t>racial</t>
  </si>
  <si>
    <t>greet</t>
  </si>
  <si>
    <t>hopefully</t>
  </si>
  <si>
    <t>sanction</t>
  </si>
  <si>
    <t>trick</t>
  </si>
  <si>
    <t>paragraph</t>
  </si>
  <si>
    <t>maker</t>
  </si>
  <si>
    <t>chocolate</t>
  </si>
  <si>
    <t>stimulate</t>
  </si>
  <si>
    <t>belt</t>
  </si>
  <si>
    <t>potato</t>
  </si>
  <si>
    <t>narrative</t>
  </si>
  <si>
    <t>tissue</t>
  </si>
  <si>
    <t>barely</t>
  </si>
  <si>
    <t>invent</t>
  </si>
  <si>
    <t>tourism</t>
  </si>
  <si>
    <t>pro</t>
  </si>
  <si>
    <t>stair</t>
  </si>
  <si>
    <t>hesitate</t>
  </si>
  <si>
    <t>shine</t>
  </si>
  <si>
    <t>motivation</t>
  </si>
  <si>
    <t>romantic</t>
  </si>
  <si>
    <t>firmly</t>
  </si>
  <si>
    <t>interior</t>
  </si>
  <si>
    <t>stomach</t>
  </si>
  <si>
    <t>nowhere</t>
  </si>
  <si>
    <t>pray</t>
  </si>
  <si>
    <t>championship</t>
  </si>
  <si>
    <t>servant</t>
  </si>
  <si>
    <t>immigrant</t>
  </si>
  <si>
    <t>excess</t>
  </si>
  <si>
    <t>complexity</t>
  </si>
  <si>
    <t>liability</t>
  </si>
  <si>
    <t>surprisingly</t>
  </si>
  <si>
    <t>extract</t>
  </si>
  <si>
    <t>implementation</t>
  </si>
  <si>
    <t>bias</t>
  </si>
  <si>
    <t>differently</t>
  </si>
  <si>
    <t>catalog</t>
  </si>
  <si>
    <t>continuous</t>
  </si>
  <si>
    <t>golden</t>
  </si>
  <si>
    <t>stamp</t>
  </si>
  <si>
    <t>guideline</t>
  </si>
  <si>
    <t>envelope</t>
  </si>
  <si>
    <t>knife</t>
  </si>
  <si>
    <t>biological</t>
  </si>
  <si>
    <t>consume</t>
  </si>
  <si>
    <t>luxury</t>
  </si>
  <si>
    <t>weekly</t>
  </si>
  <si>
    <t>wherever</t>
  </si>
  <si>
    <t>bite</t>
  </si>
  <si>
    <t>printer</t>
  </si>
  <si>
    <t>firstly</t>
  </si>
  <si>
    <t>anxious</t>
  </si>
  <si>
    <t>adventure</t>
  </si>
  <si>
    <t>fence</t>
  </si>
  <si>
    <t>exhaust</t>
  </si>
  <si>
    <t>attraction</t>
  </si>
  <si>
    <t>ocean</t>
  </si>
  <si>
    <t>quietly</t>
  </si>
  <si>
    <t>castle</t>
  </si>
  <si>
    <t>veteran</t>
  </si>
  <si>
    <t>reflection</t>
  </si>
  <si>
    <t>nerve</t>
  </si>
  <si>
    <t>determination</t>
  </si>
  <si>
    <t>altogether</t>
  </si>
  <si>
    <t>fiction</t>
  </si>
  <si>
    <t>carpet</t>
  </si>
  <si>
    <t>cluster</t>
  </si>
  <si>
    <t>confusion</t>
  </si>
  <si>
    <t>hurry</t>
  </si>
  <si>
    <t>logic</t>
  </si>
  <si>
    <t>controversial</t>
  </si>
  <si>
    <t>raw</t>
  </si>
  <si>
    <t>grammar</t>
  </si>
  <si>
    <t>revise</t>
  </si>
  <si>
    <t>hint</t>
  </si>
  <si>
    <t>hook</t>
  </si>
  <si>
    <t>bell</t>
  </si>
  <si>
    <t>liquid</t>
  </si>
  <si>
    <t>panic</t>
  </si>
  <si>
    <t>uncle</t>
  </si>
  <si>
    <t>rice</t>
  </si>
  <si>
    <t>slope</t>
  </si>
  <si>
    <t>happiness</t>
  </si>
  <si>
    <t>genuine</t>
  </si>
  <si>
    <t>vessel</t>
  </si>
  <si>
    <t>verb</t>
  </si>
  <si>
    <t>reckon</t>
  </si>
  <si>
    <t>silly</t>
  </si>
  <si>
    <t>transportation</t>
  </si>
  <si>
    <t>harbor</t>
  </si>
  <si>
    <t>comedy</t>
  </si>
  <si>
    <t>chase</t>
  </si>
  <si>
    <t>storage</t>
  </si>
  <si>
    <t>universe</t>
  </si>
  <si>
    <t>horrible</t>
  </si>
  <si>
    <t>sheep</t>
  </si>
  <si>
    <t>lover</t>
  </si>
  <si>
    <t>rat</t>
  </si>
  <si>
    <t>portrait</t>
  </si>
  <si>
    <t>innocent</t>
  </si>
  <si>
    <t>substitute</t>
  </si>
  <si>
    <t>supplement</t>
  </si>
  <si>
    <t>adjustment</t>
  </si>
  <si>
    <t>reasonably</t>
  </si>
  <si>
    <t>filter</t>
  </si>
  <si>
    <t>flexible</t>
  </si>
  <si>
    <t>abstract</t>
  </si>
  <si>
    <t>tent</t>
  </si>
  <si>
    <t>precise</t>
  </si>
  <si>
    <t>distant</t>
  </si>
  <si>
    <t>stranger</t>
  </si>
  <si>
    <t>shade</t>
  </si>
  <si>
    <t>grain</t>
  </si>
  <si>
    <t>situate</t>
  </si>
  <si>
    <t>summarize</t>
  </si>
  <si>
    <t>leap</t>
  </si>
  <si>
    <t>snap</t>
  </si>
  <si>
    <t>probability</t>
  </si>
  <si>
    <t>leather</t>
  </si>
  <si>
    <t>uncertainty</t>
  </si>
  <si>
    <t>swear</t>
  </si>
  <si>
    <t>refugee</t>
  </si>
  <si>
    <t>shore</t>
  </si>
  <si>
    <t>monthly</t>
  </si>
  <si>
    <t>comprise</t>
  </si>
  <si>
    <t>stir</t>
  </si>
  <si>
    <t>excitement</t>
  </si>
  <si>
    <t>sigh</t>
  </si>
  <si>
    <t>pregnancy</t>
  </si>
  <si>
    <t>experimental</t>
  </si>
  <si>
    <t>institutional</t>
  </si>
  <si>
    <t>slice</t>
  </si>
  <si>
    <t>wander</t>
  </si>
  <si>
    <t>empire</t>
  </si>
  <si>
    <t>subsequently</t>
  </si>
  <si>
    <t>gentle</t>
  </si>
  <si>
    <t>attendance</t>
  </si>
  <si>
    <t>ownership</t>
  </si>
  <si>
    <t>qualification</t>
  </si>
  <si>
    <t>suspend</t>
  </si>
  <si>
    <t>functional</t>
  </si>
  <si>
    <t>voluntary</t>
  </si>
  <si>
    <t>pale</t>
  </si>
  <si>
    <t>stain</t>
  </si>
  <si>
    <t>athlete</t>
  </si>
  <si>
    <t>organic</t>
  </si>
  <si>
    <t>tongue</t>
  </si>
  <si>
    <t>server</t>
  </si>
  <si>
    <t>structural</t>
  </si>
  <si>
    <t>fool</t>
  </si>
  <si>
    <t>alongside</t>
  </si>
  <si>
    <t>unite</t>
  </si>
  <si>
    <t>gently</t>
  </si>
  <si>
    <t>compute</t>
  </si>
  <si>
    <t>wipe</t>
  </si>
  <si>
    <t>weird</t>
  </si>
  <si>
    <t>gaze</t>
  </si>
  <si>
    <t>fade</t>
  </si>
  <si>
    <t>cough</t>
  </si>
  <si>
    <t>hypothesis</t>
  </si>
  <si>
    <t>royal</t>
  </si>
  <si>
    <t>theoretical</t>
  </si>
  <si>
    <t>curtain</t>
  </si>
  <si>
    <t>mayor</t>
  </si>
  <si>
    <t>darkness</t>
  </si>
  <si>
    <t>aunt</t>
  </si>
  <si>
    <t>tournament</t>
  </si>
  <si>
    <t>registration</t>
  </si>
  <si>
    <t>fragment</t>
  </si>
  <si>
    <t>listener</t>
  </si>
  <si>
    <t>tender</t>
  </si>
  <si>
    <t>density</t>
  </si>
  <si>
    <t>ugly</t>
  </si>
  <si>
    <t>module</t>
  </si>
  <si>
    <t>faithfully</t>
  </si>
  <si>
    <t>autumn</t>
  </si>
  <si>
    <t>cheek</t>
  </si>
  <si>
    <t>attachment</t>
  </si>
  <si>
    <t>holder</t>
  </si>
  <si>
    <t>grin</t>
  </si>
  <si>
    <t>noun</t>
  </si>
  <si>
    <t>fortunate</t>
  </si>
  <si>
    <t>alright</t>
  </si>
  <si>
    <t>lazy</t>
  </si>
  <si>
    <t>hello</t>
  </si>
  <si>
    <t>hunger</t>
  </si>
  <si>
    <t>insure</t>
  </si>
  <si>
    <t>ashamed</t>
  </si>
  <si>
    <t>found</t>
  </si>
  <si>
    <t>thirst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</si>
</sst>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02"/>
  <sheetViews>
    <sheetView tabSelected="1" workbookViewId="0">
      <selection activeCell="D4" sqref="D4"/>
    </sheetView>
  </sheetViews>
  <sheetFormatPr defaultColWidth="14.44140625" defaultRowHeight="15" customHeight="1" x14ac:dyDescent="0.3"/>
  <cols>
    <col min="1" max="1" width="9.6640625" customWidth="1"/>
    <col min="2" max="2" width="15.88671875" customWidth="1"/>
    <col min="3" max="3" width="20" customWidth="1"/>
    <col min="4" max="4" width="27.6640625" customWidth="1"/>
    <col min="5" max="5" width="26.44140625" customWidth="1"/>
    <col min="6" max="6" width="19.44140625" customWidth="1"/>
    <col min="7" max="7" width="25.109375" customWidth="1"/>
    <col min="8" max="8" width="19.44140625" customWidth="1"/>
    <col min="9" max="9" width="18.5546875" customWidth="1"/>
    <col min="10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>
        <v>1</v>
      </c>
      <c r="B2" s="3" t="s">
        <v>9</v>
      </c>
      <c r="C2" s="2" t="str">
        <f ca="1">IFERROR(__xludf.DUMMYFUNCTION("GOOGLETRANSLATE(B2, ""en"",""es"")"),"el")</f>
        <v>el</v>
      </c>
      <c r="D2" s="2" t="str">
        <f ca="1">IFERROR(__xludf.DUMMYFUNCTION("GOOGLETRANSLATE(B2,""en"",""ig"")"),"oseihe nwoke")</f>
        <v>oseihe nwoke</v>
      </c>
      <c r="E2" s="2" t="str">
        <f ca="1">IFERROR(__xludf.DUMMYFUNCTION("GOOGLETRANSLATE(B2,""en"",""fr"")"),"le")</f>
        <v>le</v>
      </c>
      <c r="F2" s="2" t="str">
        <f ca="1">IFERROR(__xludf.DUMMYFUNCTION("GOOGLETRANSLATE(B2,""en"",""it"")"),"IL")</f>
        <v>IL</v>
      </c>
      <c r="G2" s="2" t="str">
        <f ca="1">IFERROR(__xludf.DUMMYFUNCTION("GOOGLETRANSLATE(B2,""en"",""de"")"),"Die")</f>
        <v>Die</v>
      </c>
      <c r="H2" s="2" t="str">
        <f ca="1">IFERROR(__xludf.DUMMYFUNCTION("GOOGLETRANSLATE(B2,""en"",""zh"")"),"这")</f>
        <v>这</v>
      </c>
      <c r="I2" s="2" t="str">
        <f ca="1">IFERROR(__xludf.DUMMYFUNCTION("GOOGLETRANSLATE(B2,""en"",""gd"")"),"an")</f>
        <v>an</v>
      </c>
    </row>
    <row r="3" spans="1:26" ht="14.25" customHeight="1" x14ac:dyDescent="0.3">
      <c r="A3" s="2">
        <v>2</v>
      </c>
      <c r="B3" s="3" t="s">
        <v>10</v>
      </c>
      <c r="C3" s="2" t="str">
        <f ca="1">IFERROR(__xludf.DUMMYFUNCTION("GOOGLETRANSLATE(B3, ""en"",""es"")"),"ser")</f>
        <v>ser</v>
      </c>
      <c r="D3" s="2" t="str">
        <f ca="1">IFERROR(__xludf.DUMMYFUNCTION("GOOGLETRANSLATE(B3,""en"",""ig"")"),"ibu")</f>
        <v>ibu</v>
      </c>
      <c r="E3" s="2" t="str">
        <f ca="1">IFERROR(__xludf.DUMMYFUNCTION("GOOGLETRANSLATE(B3,""en"",""fr"")"),"être")</f>
        <v>être</v>
      </c>
      <c r="F3" s="2" t="str">
        <f ca="1">IFERROR(__xludf.DUMMYFUNCTION("GOOGLETRANSLATE(B3,""en"",""it"")"),"Essere")</f>
        <v>Essere</v>
      </c>
      <c r="G3" s="2" t="str">
        <f ca="1">IFERROR(__xludf.DUMMYFUNCTION("GOOGLETRANSLATE(B3,""en"",""de"")"),"Sei")</f>
        <v>Sei</v>
      </c>
      <c r="H3" s="2" t="str">
        <f ca="1">IFERROR(__xludf.DUMMYFUNCTION("GOOGLETRANSLATE(B3,""en"",""zh"")"),"是")</f>
        <v>是</v>
      </c>
      <c r="I3" s="2" t="str">
        <f ca="1">IFERROR(__xludf.DUMMYFUNCTION("GOOGLETRANSLATE(B3,""en"",""gd"")"),"bi")</f>
        <v>bi</v>
      </c>
    </row>
    <row r="4" spans="1:26" ht="14.25" customHeight="1" x14ac:dyDescent="0.3">
      <c r="A4" s="2">
        <v>3</v>
      </c>
      <c r="B4" s="3" t="s">
        <v>11</v>
      </c>
      <c r="C4" s="2" t="str">
        <f ca="1">IFERROR(__xludf.DUMMYFUNCTION("GOOGLETRANSLATE(B4, ""en"",""es"")"),"y")</f>
        <v>y</v>
      </c>
      <c r="D4" s="2" t="str">
        <f ca="1">IFERROR(__xludf.DUMMYFUNCTION("GOOGLETRANSLATE(B4,""en"",""ig"")"),"na")</f>
        <v>na</v>
      </c>
      <c r="E4" s="2" t="str">
        <f ca="1">IFERROR(__xludf.DUMMYFUNCTION("GOOGLETRANSLATE(B4,""en"",""fr"")"),"et")</f>
        <v>et</v>
      </c>
      <c r="F4" s="2" t="str">
        <f ca="1">IFERROR(__xludf.DUMMYFUNCTION("GOOGLETRANSLATE(B4,""en"",""it"")"),"E")</f>
        <v>E</v>
      </c>
      <c r="G4" s="2" t="str">
        <f ca="1">IFERROR(__xludf.DUMMYFUNCTION("GOOGLETRANSLATE(B4,""en"",""de"")"),"Und")</f>
        <v>Und</v>
      </c>
      <c r="H4" s="2" t="str">
        <f ca="1">IFERROR(__xludf.DUMMYFUNCTION("GOOGLETRANSLATE(B4,""en"",""zh"")"),"和")</f>
        <v>和</v>
      </c>
      <c r="I4" s="2" t="str">
        <f ca="1">IFERROR(__xludf.DUMMYFUNCTION("GOOGLETRANSLATE(B4,""en"",""gd"")"),"agus")</f>
        <v>agus</v>
      </c>
    </row>
    <row r="5" spans="1:26" ht="14.25" customHeight="1" x14ac:dyDescent="0.3">
      <c r="A5" s="2">
        <v>4</v>
      </c>
      <c r="B5" s="3" t="s">
        <v>12</v>
      </c>
      <c r="C5" s="2" t="str">
        <f ca="1">IFERROR(__xludf.DUMMYFUNCTION("GOOGLETRANSLATE(B5, ""en"",""es"")"),"de")</f>
        <v>de</v>
      </c>
      <c r="D5" s="2" t="str">
        <f ca="1">IFERROR(__xludf.DUMMYFUNCTION("GOOGLETRANSLATE(B5,""en"",""ig"")"),"nke")</f>
        <v>nke</v>
      </c>
      <c r="E5" s="2" t="str">
        <f ca="1">IFERROR(__xludf.DUMMYFUNCTION("GOOGLETRANSLATE(B5,""en"",""fr"")"),"de")</f>
        <v>de</v>
      </c>
      <c r="F5" s="2" t="str">
        <f ca="1">IFERROR(__xludf.DUMMYFUNCTION("GOOGLETRANSLATE(B5,""en"",""it"")"),"Di")</f>
        <v>Di</v>
      </c>
      <c r="G5" s="2" t="str">
        <f ca="1">IFERROR(__xludf.DUMMYFUNCTION("GOOGLETRANSLATE(B5,""en"",""de"")"),"von")</f>
        <v>von</v>
      </c>
      <c r="H5" s="2" t="str">
        <f ca="1">IFERROR(__xludf.DUMMYFUNCTION("GOOGLETRANSLATE(B5,""en"",""zh"")"),"的")</f>
        <v>的</v>
      </c>
      <c r="I5" s="2" t="str">
        <f ca="1">IFERROR(__xludf.DUMMYFUNCTION("GOOGLETRANSLATE(B5,""en"",""gd"")"),"de")</f>
        <v>de</v>
      </c>
    </row>
    <row r="6" spans="1:26" ht="14.25" customHeight="1" x14ac:dyDescent="0.3">
      <c r="A6" s="2">
        <v>5</v>
      </c>
      <c r="B6" s="3" t="s">
        <v>13</v>
      </c>
      <c r="C6" s="2" t="str">
        <f ca="1">IFERROR(__xludf.DUMMYFUNCTION("GOOGLETRANSLATE(B6, ""en"",""es"")"),"a")</f>
        <v>a</v>
      </c>
      <c r="D6" s="2" t="str">
        <f ca="1">IFERROR(__xludf.DUMMYFUNCTION("GOOGLETRANSLATE(B6,""en"",""ig"")"),"ka")</f>
        <v>ka</v>
      </c>
      <c r="E6" s="2" t="str">
        <f ca="1">IFERROR(__xludf.DUMMYFUNCTION("GOOGLETRANSLATE(B6,""en"",""fr"")"),"à")</f>
        <v>à</v>
      </c>
      <c r="F6" s="2" t="str">
        <f ca="1">IFERROR(__xludf.DUMMYFUNCTION("GOOGLETRANSLATE(B6,""en"",""it"")"),"A")</f>
        <v>A</v>
      </c>
      <c r="G6" s="2" t="str">
        <f ca="1">IFERROR(__xludf.DUMMYFUNCTION("GOOGLETRANSLATE(B6,""en"",""de"")"),"Zu")</f>
        <v>Zu</v>
      </c>
      <c r="H6" s="2" t="str">
        <f ca="1">IFERROR(__xludf.DUMMYFUNCTION("GOOGLETRANSLATE(B6,""en"",""zh"")"),"到")</f>
        <v>到</v>
      </c>
      <c r="I6" s="2" t="str">
        <f ca="1">IFERROR(__xludf.DUMMYFUNCTION("GOOGLETRANSLATE(B6,""en"",""gd"")"),"gu")</f>
        <v>gu</v>
      </c>
    </row>
    <row r="7" spans="1:26" ht="14.25" customHeight="1" x14ac:dyDescent="0.3">
      <c r="A7" s="2">
        <v>6</v>
      </c>
      <c r="B7" s="3" t="s">
        <v>14</v>
      </c>
      <c r="C7" s="2" t="str">
        <f ca="1">IFERROR(__xludf.DUMMYFUNCTION("GOOGLETRANSLATE(B7, ""en"",""es"")"),"a")</f>
        <v>a</v>
      </c>
      <c r="D7" s="2" t="str">
        <f ca="1">IFERROR(__xludf.DUMMYFUNCTION("GOOGLETRANSLATE(B7,""en"",""ig"")"),"a")</f>
        <v>a</v>
      </c>
      <c r="E7" s="2" t="str">
        <f ca="1">IFERROR(__xludf.DUMMYFUNCTION("GOOGLETRANSLATE(B7,""en"",""fr"")"),"un")</f>
        <v>un</v>
      </c>
      <c r="F7" s="2" t="str">
        <f ca="1">IFERROR(__xludf.DUMMYFUNCTION("GOOGLETRANSLATE(B7,""en"",""it"")"),"UN")</f>
        <v>UN</v>
      </c>
      <c r="G7" s="2" t="str">
        <f ca="1">IFERROR(__xludf.DUMMYFUNCTION("GOOGLETRANSLATE(B7,""en"",""de"")"),"A")</f>
        <v>A</v>
      </c>
      <c r="H7" s="2" t="str">
        <f ca="1">IFERROR(__xludf.DUMMYFUNCTION("GOOGLETRANSLATE(B7,""en"",""zh"")"),"A")</f>
        <v>A</v>
      </c>
      <c r="I7" s="2" t="str">
        <f ca="1">IFERROR(__xludf.DUMMYFUNCTION("GOOGLETRANSLATE(B7,""en"",""gd"")"),"a")</f>
        <v>a</v>
      </c>
    </row>
    <row r="8" spans="1:26" ht="14.25" customHeight="1" x14ac:dyDescent="0.3">
      <c r="A8" s="2">
        <v>7</v>
      </c>
      <c r="B8" s="3" t="s">
        <v>15</v>
      </c>
      <c r="C8" s="2" t="str">
        <f ca="1">IFERROR(__xludf.DUMMYFUNCTION("GOOGLETRANSLATE(B8, ""en"",""es"")"),"en")</f>
        <v>en</v>
      </c>
      <c r="D8" s="2" t="str">
        <f ca="1">IFERROR(__xludf.DUMMYFUNCTION("GOOGLETRANSLATE(B8,""en"",""ig"")"),"n'ime")</f>
        <v>n'ime</v>
      </c>
      <c r="E8" s="2" t="str">
        <f ca="1">IFERROR(__xludf.DUMMYFUNCTION("GOOGLETRANSLATE(B8,""en"",""fr"")"),"dans")</f>
        <v>dans</v>
      </c>
      <c r="F8" s="2" t="str">
        <f ca="1">IFERROR(__xludf.DUMMYFUNCTION("GOOGLETRANSLATE(B8,""en"",""it"")"),"In")</f>
        <v>In</v>
      </c>
      <c r="G8" s="2" t="str">
        <f ca="1">IFERROR(__xludf.DUMMYFUNCTION("GOOGLETRANSLATE(B8,""en"",""de"")"),"In")</f>
        <v>In</v>
      </c>
      <c r="H8" s="2" t="str">
        <f ca="1">IFERROR(__xludf.DUMMYFUNCTION("GOOGLETRANSLATE(B8,""en"",""zh"")"),"在")</f>
        <v>在</v>
      </c>
      <c r="I8" s="2" t="str">
        <f ca="1">IFERROR(__xludf.DUMMYFUNCTION("GOOGLETRANSLATE(B8,""en"",""gd"")"),"ann an")</f>
        <v>ann an</v>
      </c>
    </row>
    <row r="9" spans="1:26" ht="14.25" customHeight="1" x14ac:dyDescent="0.3">
      <c r="A9" s="2">
        <v>8</v>
      </c>
      <c r="B9" s="3" t="s">
        <v>16</v>
      </c>
      <c r="C9" s="2" t="str">
        <f ca="1">IFERROR(__xludf.DUMMYFUNCTION("GOOGLETRANSLATE(B9, ""en"",""es"")"),"tener")</f>
        <v>tener</v>
      </c>
      <c r="D9" s="2" t="str">
        <f ca="1">IFERROR(__xludf.DUMMYFUNCTION("GOOGLETRANSLATE(B9,""en"",""ig"")"),"inwe")</f>
        <v>inwe</v>
      </c>
      <c r="E9" s="2" t="str">
        <f ca="1">IFERROR(__xludf.DUMMYFUNCTION("GOOGLETRANSLATE(B9,""en"",""fr"")"),"avoir")</f>
        <v>avoir</v>
      </c>
      <c r="F9" s="2" t="str">
        <f ca="1">IFERROR(__xludf.DUMMYFUNCTION("GOOGLETRANSLATE(B9,""en"",""it"")"),"Avere")</f>
        <v>Avere</v>
      </c>
      <c r="G9" s="2" t="str">
        <f ca="1">IFERROR(__xludf.DUMMYFUNCTION("GOOGLETRANSLATE(B9,""en"",""de"")"),"haben")</f>
        <v>haben</v>
      </c>
      <c r="H9" s="2" t="str">
        <f ca="1">IFERROR(__xludf.DUMMYFUNCTION("GOOGLETRANSLATE(B9,""en"",""zh"")"),"有")</f>
        <v>有</v>
      </c>
      <c r="I9" s="2" t="str">
        <f ca="1">IFERROR(__xludf.DUMMYFUNCTION("GOOGLETRANSLATE(B9,""en"",""gd"")"),"ma tha")</f>
        <v>ma tha</v>
      </c>
    </row>
    <row r="10" spans="1:26" ht="14.25" customHeight="1" x14ac:dyDescent="0.3">
      <c r="A10" s="2">
        <v>9</v>
      </c>
      <c r="B10" s="3" t="s">
        <v>17</v>
      </c>
      <c r="C10" s="2" t="str">
        <f ca="1">IFERROR(__xludf.DUMMYFUNCTION("GOOGLETRANSLATE(B10, ""en"",""es"")"),"él")</f>
        <v>él</v>
      </c>
      <c r="D10" s="2" t="str">
        <f ca="1">IFERROR(__xludf.DUMMYFUNCTION("GOOGLETRANSLATE(B10,""en"",""ig"")"),"ya")</f>
        <v>ya</v>
      </c>
      <c r="E10" s="2" t="str">
        <f ca="1">IFERROR(__xludf.DUMMYFUNCTION("GOOGLETRANSLATE(B10,""en"",""fr"")"),"il")</f>
        <v>il</v>
      </c>
      <c r="F10" s="2" t="str">
        <f ca="1">IFERROR(__xludf.DUMMYFUNCTION("GOOGLETRANSLATE(B10,""en"",""it"")"),"Esso")</f>
        <v>Esso</v>
      </c>
      <c r="G10" s="2" t="str">
        <f ca="1">IFERROR(__xludf.DUMMYFUNCTION("GOOGLETRANSLATE(B10,""en"",""de"")"),"Es")</f>
        <v>Es</v>
      </c>
      <c r="H10" s="2" t="str">
        <f ca="1">IFERROR(__xludf.DUMMYFUNCTION("GOOGLETRANSLATE(B10,""en"",""zh"")"),"它")</f>
        <v>它</v>
      </c>
      <c r="I10" s="2" t="str">
        <f ca="1">IFERROR(__xludf.DUMMYFUNCTION("GOOGLETRANSLATE(B10,""en"",""gd"")"),"e")</f>
        <v>e</v>
      </c>
    </row>
    <row r="11" spans="1:26" ht="14.25" customHeight="1" x14ac:dyDescent="0.3">
      <c r="A11" s="2">
        <v>10</v>
      </c>
      <c r="B11" s="3" t="s">
        <v>18</v>
      </c>
      <c r="C11" s="2" t="str">
        <f ca="1">IFERROR(__xludf.DUMMYFUNCTION("GOOGLETRANSLATE(B11, ""en"",""es"")"),"tú")</f>
        <v>tú</v>
      </c>
      <c r="D11" s="2" t="str">
        <f ca="1">IFERROR(__xludf.DUMMYFUNCTION("GOOGLETRANSLATE(B11,""en"",""ig"")"),"gi")</f>
        <v>gi</v>
      </c>
      <c r="E11" s="2" t="str">
        <f ca="1">IFERROR(__xludf.DUMMYFUNCTION("GOOGLETRANSLATE(B11,""en"",""fr"")"),"toi")</f>
        <v>toi</v>
      </c>
      <c r="F11" s="2" t="str">
        <f ca="1">IFERROR(__xludf.DUMMYFUNCTION("GOOGLETRANSLATE(B11,""en"",""it"")"),"Voi")</f>
        <v>Voi</v>
      </c>
      <c r="G11" s="2" t="str">
        <f ca="1">IFERROR(__xludf.DUMMYFUNCTION("GOOGLETRANSLATE(B11,""en"",""de"")"),"Du")</f>
        <v>Du</v>
      </c>
      <c r="H11" s="2" t="str">
        <f ca="1">IFERROR(__xludf.DUMMYFUNCTION("GOOGLETRANSLATE(B11,""en"",""zh"")"),"你")</f>
        <v>你</v>
      </c>
      <c r="I11" s="2" t="str">
        <f ca="1">IFERROR(__xludf.DUMMYFUNCTION("GOOGLETRANSLATE(B11,""en"",""gd"")"),"thu")</f>
        <v>thu</v>
      </c>
    </row>
    <row r="12" spans="1:26" ht="14.25" customHeight="1" x14ac:dyDescent="0.3">
      <c r="A12" s="2">
        <v>11</v>
      </c>
      <c r="B12" s="3" t="s">
        <v>19</v>
      </c>
      <c r="C12" s="2" t="str">
        <f ca="1">IFERROR(__xludf.DUMMYFUNCTION("GOOGLETRANSLATE(B12, ""en"",""es"")"),"él")</f>
        <v>él</v>
      </c>
      <c r="D12" s="2" t="str">
        <f ca="1">IFERROR(__xludf.DUMMYFUNCTION("GOOGLETRANSLATE(B12,""en"",""ig"")"),"ya")</f>
        <v>ya</v>
      </c>
      <c r="E12" s="2" t="str">
        <f ca="1">IFERROR(__xludf.DUMMYFUNCTION("GOOGLETRANSLATE(B12,""en"",""fr"")"),"il")</f>
        <v>il</v>
      </c>
      <c r="F12" s="2" t="str">
        <f ca="1">IFERROR(__xludf.DUMMYFUNCTION("GOOGLETRANSLATE(B12,""en"",""it"")"),"Lui")</f>
        <v>Lui</v>
      </c>
      <c r="G12" s="2" t="str">
        <f ca="1">IFERROR(__xludf.DUMMYFUNCTION("GOOGLETRANSLATE(B12,""en"",""de"")"),"Er")</f>
        <v>Er</v>
      </c>
      <c r="H12" s="2" t="str">
        <f ca="1">IFERROR(__xludf.DUMMYFUNCTION("GOOGLETRANSLATE(B12,""en"",""zh"")"),"他")</f>
        <v>他</v>
      </c>
      <c r="I12" s="2" t="str">
        <f ca="1">IFERROR(__xludf.DUMMYFUNCTION("GOOGLETRANSLATE(B12,""en"",""gd"")"),"e")</f>
        <v>e</v>
      </c>
    </row>
    <row r="13" spans="1:26" ht="14.25" customHeight="1" x14ac:dyDescent="0.3">
      <c r="A13" s="2">
        <v>12</v>
      </c>
      <c r="B13" s="3" t="s">
        <v>20</v>
      </c>
      <c r="C13" s="2" t="str">
        <f ca="1">IFERROR(__xludf.DUMMYFUNCTION("GOOGLETRANSLATE(B13, ""en"",""es"")"),"para")</f>
        <v>para</v>
      </c>
      <c r="D13" s="2" t="str">
        <f ca="1">IFERROR(__xludf.DUMMYFUNCTION("GOOGLETRANSLATE(B13,""en"",""ig"")"),"nke")</f>
        <v>nke</v>
      </c>
      <c r="E13" s="2" t="str">
        <f ca="1">IFERROR(__xludf.DUMMYFUNCTION("GOOGLETRANSLATE(B13,""en"",""fr"")"),"pour")</f>
        <v>pour</v>
      </c>
      <c r="F13" s="2" t="str">
        <f ca="1">IFERROR(__xludf.DUMMYFUNCTION("GOOGLETRANSLATE(B13,""en"",""it"")"),"per")</f>
        <v>per</v>
      </c>
      <c r="G13" s="2" t="str">
        <f ca="1">IFERROR(__xludf.DUMMYFUNCTION("GOOGLETRANSLATE(B13,""en"",""de"")"),"für")</f>
        <v>für</v>
      </c>
      <c r="H13" s="2" t="str">
        <f ca="1">IFERROR(__xludf.DUMMYFUNCTION("GOOGLETRANSLATE(B13,""en"",""zh"")"),"为了")</f>
        <v>为了</v>
      </c>
      <c r="I13" s="2" t="str">
        <f ca="1">IFERROR(__xludf.DUMMYFUNCTION("GOOGLETRANSLATE(B13,""en"",""gd"")"),"airson")</f>
        <v>airson</v>
      </c>
    </row>
    <row r="14" spans="1:26" ht="14.25" customHeight="1" x14ac:dyDescent="0.3">
      <c r="A14" s="2">
        <v>13</v>
      </c>
      <c r="B14" s="3" t="s">
        <v>21</v>
      </c>
      <c r="C14" s="2" t="str">
        <f ca="1">IFERROR(__xludf.DUMMYFUNCTION("GOOGLETRANSLATE(B14, ""en"",""es"")"),"ellos")</f>
        <v>ellos</v>
      </c>
      <c r="D14" s="2" t="str">
        <f ca="1">IFERROR(__xludf.DUMMYFUNCTION("GOOGLETRANSLATE(B14,""en"",""ig"")"),"ha")</f>
        <v>ha</v>
      </c>
      <c r="E14" s="2" t="str">
        <f ca="1">IFERROR(__xludf.DUMMYFUNCTION("GOOGLETRANSLATE(B14,""en"",""fr"")"),"ils")</f>
        <v>ils</v>
      </c>
      <c r="F14" s="2" t="str">
        <f ca="1">IFERROR(__xludf.DUMMYFUNCTION("GOOGLETRANSLATE(B14,""en"",""it"")"),"Essi")</f>
        <v>Essi</v>
      </c>
      <c r="G14" s="2" t="str">
        <f ca="1">IFERROR(__xludf.DUMMYFUNCTION("GOOGLETRANSLATE(B14,""en"",""de"")"),"Sie")</f>
        <v>Sie</v>
      </c>
      <c r="H14" s="2" t="str">
        <f ca="1">IFERROR(__xludf.DUMMYFUNCTION("GOOGLETRANSLATE(B14,""en"",""zh"")"),"他们")</f>
        <v>他们</v>
      </c>
      <c r="I14" s="2" t="str">
        <f ca="1">IFERROR(__xludf.DUMMYFUNCTION("GOOGLETRANSLATE(B14,""en"",""gd"")"),"iad")</f>
        <v>iad</v>
      </c>
    </row>
    <row r="15" spans="1:26" ht="14.25" customHeight="1" x14ac:dyDescent="0.3">
      <c r="A15" s="2">
        <v>14</v>
      </c>
      <c r="B15" s="3" t="s">
        <v>22</v>
      </c>
      <c r="C15" s="2" t="str">
        <f ca="1">IFERROR(__xludf.DUMMYFUNCTION("GOOGLETRANSLATE(B15, ""en"",""es"")"),"no")</f>
        <v>no</v>
      </c>
      <c r="D15" s="2" t="str">
        <f ca="1">IFERROR(__xludf.DUMMYFUNCTION("GOOGLETRANSLATE(B15,""en"",""ig"")"),"adighi")</f>
        <v>adighi</v>
      </c>
      <c r="E15" s="2" t="str">
        <f ca="1">IFERROR(__xludf.DUMMYFUNCTION("GOOGLETRANSLATE(B15,""en"",""fr"")"),"pas")</f>
        <v>pas</v>
      </c>
      <c r="F15" s="2" t="str">
        <f ca="1">IFERROR(__xludf.DUMMYFUNCTION("GOOGLETRANSLATE(B15,""en"",""it"")"),"non")</f>
        <v>non</v>
      </c>
      <c r="G15" s="2" t="str">
        <f ca="1">IFERROR(__xludf.DUMMYFUNCTION("GOOGLETRANSLATE(B15,""en"",""de"")"),"nicht")</f>
        <v>nicht</v>
      </c>
      <c r="H15" s="2" t="str">
        <f ca="1">IFERROR(__xludf.DUMMYFUNCTION("GOOGLETRANSLATE(B15,""en"",""zh"")"),"不是")</f>
        <v>不是</v>
      </c>
      <c r="I15" s="2" t="str">
        <f ca="1">IFERROR(__xludf.DUMMYFUNCTION("GOOGLETRANSLATE(B15,""en"",""gd"")"),"chan eil")</f>
        <v>chan eil</v>
      </c>
    </row>
    <row r="16" spans="1:26" ht="14.25" customHeight="1" x14ac:dyDescent="0.3">
      <c r="A16" s="2">
        <v>15</v>
      </c>
      <c r="B16" s="3" t="s">
        <v>23</v>
      </c>
      <c r="C16" s="2" t="str">
        <f ca="1">IFERROR(__xludf.DUMMYFUNCTION("GOOGLETRANSLATE(B16, ""en"",""es"")"),"eso")</f>
        <v>eso</v>
      </c>
      <c r="D16" s="2" t="str">
        <f ca="1">IFERROR(__xludf.DUMMYFUNCTION("GOOGLETRANSLATE(B16,""en"",""ig"")"),"nkaa")</f>
        <v>nkaa</v>
      </c>
      <c r="E16" s="2" t="str">
        <f ca="1">IFERROR(__xludf.DUMMYFUNCTION("GOOGLETRANSLATE(B16,""en"",""fr"")"),"que")</f>
        <v>que</v>
      </c>
      <c r="F16" s="2" t="str">
        <f ca="1">IFERROR(__xludf.DUMMYFUNCTION("GOOGLETRANSLATE(B16,""en"",""it"")"),"Quello")</f>
        <v>Quello</v>
      </c>
      <c r="G16" s="2" t="str">
        <f ca="1">IFERROR(__xludf.DUMMYFUNCTION("GOOGLETRANSLATE(B16,""en"",""de"")"),"Das")</f>
        <v>Das</v>
      </c>
      <c r="H16" s="2" t="str">
        <f ca="1">IFERROR(__xludf.DUMMYFUNCTION("GOOGLETRANSLATE(B16,""en"",""zh"")"),"那")</f>
        <v>那</v>
      </c>
      <c r="I16" s="2" t="str">
        <f ca="1">IFERROR(__xludf.DUMMYFUNCTION("GOOGLETRANSLATE(B16,""en"",""gd"")"),"sin")</f>
        <v>sin</v>
      </c>
    </row>
    <row r="17" spans="1:9" ht="14.25" customHeight="1" x14ac:dyDescent="0.3">
      <c r="A17" s="2">
        <v>16</v>
      </c>
      <c r="B17" s="3" t="s">
        <v>24</v>
      </c>
      <c r="C17" s="2" t="str">
        <f ca="1">IFERROR(__xludf.DUMMYFUNCTION("GOOGLETRANSLATE(B17, ""en"",""es"")"),"nosotros")</f>
        <v>nosotros</v>
      </c>
      <c r="D17" s="2" t="str">
        <f ca="1">IFERROR(__xludf.DUMMYFUNCTION("GOOGLETRANSLATE(B17,""en"",""ig"")"),"anyi")</f>
        <v>anyi</v>
      </c>
      <c r="E17" s="2" t="str">
        <f ca="1">IFERROR(__xludf.DUMMYFUNCTION("GOOGLETRANSLATE(B17,""en"",""fr"")"),"nous")</f>
        <v>nous</v>
      </c>
      <c r="F17" s="2" t="str">
        <f ca="1">IFERROR(__xludf.DUMMYFUNCTION("GOOGLETRANSLATE(B17,""en"",""it"")"),"Noi")</f>
        <v>Noi</v>
      </c>
      <c r="G17" s="2" t="str">
        <f ca="1">IFERROR(__xludf.DUMMYFUNCTION("GOOGLETRANSLATE(B17,""en"",""de"")"),"Wir")</f>
        <v>Wir</v>
      </c>
      <c r="H17" s="2" t="str">
        <f ca="1">IFERROR(__xludf.DUMMYFUNCTION("GOOGLETRANSLATE(B17,""en"",""zh"")"),"我们")</f>
        <v>我们</v>
      </c>
      <c r="I17" s="2" t="str">
        <f ca="1">IFERROR(__xludf.DUMMYFUNCTION("GOOGLETRANSLATE(B17,""en"",""gd"")"),"sinne")</f>
        <v>sinne</v>
      </c>
    </row>
    <row r="18" spans="1:9" ht="14.25" customHeight="1" x14ac:dyDescent="0.3">
      <c r="A18" s="2">
        <v>17</v>
      </c>
      <c r="B18" s="3" t="s">
        <v>25</v>
      </c>
      <c r="C18" s="2" t="str">
        <f ca="1">IFERROR(__xludf.DUMMYFUNCTION("GOOGLETRANSLATE(B18, ""en"",""es"")"),"en")</f>
        <v>en</v>
      </c>
      <c r="D18" s="2" t="str">
        <f ca="1">IFERROR(__xludf.DUMMYFUNCTION("GOOGLETRANSLATE(B18,""en"",""ig"")"),"inwu")</f>
        <v>inwu</v>
      </c>
      <c r="E18" s="2" t="str">
        <f ca="1">IFERROR(__xludf.DUMMYFUNCTION("GOOGLETRANSLATE(B18,""en"",""fr"")"),"sur")</f>
        <v>sur</v>
      </c>
      <c r="F18" s="2" t="str">
        <f ca="1">IFERROR(__xludf.DUMMYFUNCTION("GOOGLETRANSLATE(B18,""en"",""it"")"),"SU")</f>
        <v>SU</v>
      </c>
      <c r="G18" s="2" t="str">
        <f ca="1">IFERROR(__xludf.DUMMYFUNCTION("GOOGLETRANSLATE(B18,""en"",""de"")"),"An")</f>
        <v>An</v>
      </c>
      <c r="H18" s="2" t="str">
        <f ca="1">IFERROR(__xludf.DUMMYFUNCTION("GOOGLETRANSLATE(B18,""en"",""zh"")"),"在")</f>
        <v>在</v>
      </c>
      <c r="I18" s="2" t="str">
        <f ca="1">IFERROR(__xludf.DUMMYFUNCTION("GOOGLETRANSLATE(B18,""en"",""gd"")"),"air")</f>
        <v>air</v>
      </c>
    </row>
    <row r="19" spans="1:9" ht="14.25" customHeight="1" x14ac:dyDescent="0.3">
      <c r="A19" s="2">
        <v>18</v>
      </c>
      <c r="B19" s="3" t="s">
        <v>26</v>
      </c>
      <c r="C19" s="2" t="str">
        <f ca="1">IFERROR(__xludf.DUMMYFUNCTION("GOOGLETRANSLATE(B19, ""en"",""es"")"),"con")</f>
        <v>con</v>
      </c>
      <c r="D19" s="2" t="str">
        <f ca="1">IFERROR(__xludf.DUMMYFUNCTION("GOOGLETRANSLATE(B19,""en"",""ig"")"),"na")</f>
        <v>na</v>
      </c>
      <c r="E19" s="2" t="str">
        <f ca="1">IFERROR(__xludf.DUMMYFUNCTION("GOOGLETRANSLATE(B19,""en"",""fr"")"),"avec")</f>
        <v>avec</v>
      </c>
      <c r="F19" s="2" t="str">
        <f ca="1">IFERROR(__xludf.DUMMYFUNCTION("GOOGLETRANSLATE(B19,""en"",""it"")"),"con")</f>
        <v>con</v>
      </c>
      <c r="G19" s="2" t="str">
        <f ca="1">IFERROR(__xludf.DUMMYFUNCTION("GOOGLETRANSLATE(B19,""en"",""de"")"),"mit")</f>
        <v>mit</v>
      </c>
      <c r="H19" s="2" t="str">
        <f ca="1">IFERROR(__xludf.DUMMYFUNCTION("GOOGLETRANSLATE(B19,""en"",""zh"")"),"和")</f>
        <v>和</v>
      </c>
      <c r="I19" s="2" t="str">
        <f ca="1">IFERROR(__xludf.DUMMYFUNCTION("GOOGLETRANSLATE(B19,""en"",""gd"")"),"le")</f>
        <v>le</v>
      </c>
    </row>
    <row r="20" spans="1:9" ht="14.25" customHeight="1" x14ac:dyDescent="0.3">
      <c r="A20" s="2">
        <v>19</v>
      </c>
      <c r="B20" s="3" t="s">
        <v>27</v>
      </c>
      <c r="C20" s="2" t="str">
        <f ca="1">IFERROR(__xludf.DUMMYFUNCTION("GOOGLETRANSLATE(B20, ""en"",""es"")"),"este")</f>
        <v>este</v>
      </c>
      <c r="D20" s="2" t="str">
        <f ca="1">IFERROR(__xludf.DUMMYFUNCTION("GOOGLETRANSLATE(B20,""en"",""ig"")"),"nke a")</f>
        <v>nke a</v>
      </c>
      <c r="E20" s="2" t="str">
        <f ca="1">IFERROR(__xludf.DUMMYFUNCTION("GOOGLETRANSLATE(B20,""en"",""fr"")"),"ce")</f>
        <v>ce</v>
      </c>
      <c r="F20" s="2" t="str">
        <f ca="1">IFERROR(__xludf.DUMMYFUNCTION("GOOGLETRANSLATE(B20,""en"",""it"")"),"Questo")</f>
        <v>Questo</v>
      </c>
      <c r="G20" s="2" t="str">
        <f ca="1">IFERROR(__xludf.DUMMYFUNCTION("GOOGLETRANSLATE(B20,""en"",""de"")"),"Das")</f>
        <v>Das</v>
      </c>
      <c r="H20" s="2" t="str">
        <f ca="1">IFERROR(__xludf.DUMMYFUNCTION("GOOGLETRANSLATE(B20,""en"",""zh"")"),"这")</f>
        <v>这</v>
      </c>
      <c r="I20" s="2" t="str">
        <f ca="1">IFERROR(__xludf.DUMMYFUNCTION("GOOGLETRANSLATE(B20,""en"",""gd"")"),"seo")</f>
        <v>seo</v>
      </c>
    </row>
    <row r="21" spans="1:9" ht="14.25" customHeight="1" x14ac:dyDescent="0.3">
      <c r="A21" s="2">
        <v>20</v>
      </c>
      <c r="B21" s="3" t="s">
        <v>28</v>
      </c>
      <c r="C21" s="2" t="str">
        <f ca="1">IFERROR(__xludf.DUMMYFUNCTION("GOOGLETRANSLATE(B21, ""en"",""es"")"),"i")</f>
        <v>i</v>
      </c>
      <c r="D21" s="2" t="str">
        <f ca="1">IFERROR(__xludf.DUMMYFUNCTION("GOOGLETRANSLATE(B21,""en"",""ig"")"),"ice")</f>
        <v>ice</v>
      </c>
      <c r="E21" s="2" t="str">
        <f ca="1">IFERROR(__xludf.DUMMYFUNCTION("GOOGLETRANSLATE(B21,""en"",""fr"")"),"je")</f>
        <v>je</v>
      </c>
      <c r="F21" s="2" t="str">
        <f ca="1">IFERROR(__xludf.DUMMYFUNCTION("GOOGLETRANSLATE(B21,""en"",""it"")"),"io")</f>
        <v>io</v>
      </c>
      <c r="G21" s="2" t="str">
        <f ca="1">IFERROR(__xludf.DUMMYFUNCTION("GOOGLETRANSLATE(B21,""en"",""de"")"),"ich")</f>
        <v>ich</v>
      </c>
      <c r="H21" s="2" t="str">
        <f ca="1">IFERROR(__xludf.DUMMYFUNCTION("GOOGLETRANSLATE(B21,""en"",""zh"")"),"我")</f>
        <v>我</v>
      </c>
      <c r="I21" s="2" t="str">
        <f ca="1">IFERROR(__xludf.DUMMYFUNCTION("GOOGLETRANSLATE(B21,""en"",""gd"")"),"i")</f>
        <v>i</v>
      </c>
    </row>
    <row r="22" spans="1:9" ht="14.25" customHeight="1" x14ac:dyDescent="0.3">
      <c r="A22" s="2">
        <v>21</v>
      </c>
      <c r="B22" s="3" t="s">
        <v>29</v>
      </c>
      <c r="C22" s="2" t="str">
        <f ca="1">IFERROR(__xludf.DUMMYFUNCTION("GOOGLETRANSLATE(B22, ""en"",""es"")"),"hacer")</f>
        <v>hacer</v>
      </c>
      <c r="D22" s="2" t="str">
        <f ca="1">IFERROR(__xludf.DUMMYFUNCTION("GOOGLETRANSLATE(B22,""en"",""ig"")"),"ime")</f>
        <v>ime</v>
      </c>
      <c r="E22" s="2" t="str">
        <f ca="1">IFERROR(__xludf.DUMMYFUNCTION("GOOGLETRANSLATE(B22,""en"",""fr"")"),"faire")</f>
        <v>faire</v>
      </c>
      <c r="F22" s="2" t="str">
        <f ca="1">IFERROR(__xludf.DUMMYFUNCTION("GOOGLETRANSLATE(B22,""en"",""it"")"),"Fare")</f>
        <v>Fare</v>
      </c>
      <c r="G22" s="2" t="str">
        <f ca="1">IFERROR(__xludf.DUMMYFUNCTION("GOOGLETRANSLATE(B22,""en"",""de"")"),"Tun")</f>
        <v>Tun</v>
      </c>
      <c r="H22" s="2" t="str">
        <f ca="1">IFERROR(__xludf.DUMMYFUNCTION("GOOGLETRANSLATE(B22,""en"",""zh"")"),"做")</f>
        <v>做</v>
      </c>
      <c r="I22" s="2" t="str">
        <f ca="1">IFERROR(__xludf.DUMMYFUNCTION("GOOGLETRANSLATE(B22,""en"",""gd"")"),"dèan")</f>
        <v>dèan</v>
      </c>
    </row>
    <row r="23" spans="1:9" ht="14.25" customHeight="1" x14ac:dyDescent="0.3">
      <c r="A23" s="2">
        <v>22</v>
      </c>
      <c r="B23" s="3" t="s">
        <v>30</v>
      </c>
      <c r="C23" s="2" t="str">
        <f ca="1">IFERROR(__xludf.DUMMYFUNCTION("GOOGLETRANSLATE(B23, ""en"",""es"")"),"como")</f>
        <v>como</v>
      </c>
      <c r="D23" s="2" t="str">
        <f ca="1">IFERROR(__xludf.DUMMYFUNCTION("GOOGLETRANSLATE(B23,""en"",""ig"")"),"di ka")</f>
        <v>di ka</v>
      </c>
      <c r="E23" s="2" t="str">
        <f ca="1">IFERROR(__xludf.DUMMYFUNCTION("GOOGLETRANSLATE(B23,""en"",""fr"")"),"comme")</f>
        <v>comme</v>
      </c>
      <c r="F23" s="2" t="str">
        <f ca="1">IFERROR(__xludf.DUMMYFUNCTION("GOOGLETRANSLATE(B23,""en"",""it"")"),"COME")</f>
        <v>COME</v>
      </c>
      <c r="G23" s="2" t="str">
        <f ca="1">IFERROR(__xludf.DUMMYFUNCTION("GOOGLETRANSLATE(B23,""en"",""de"")"),"als")</f>
        <v>als</v>
      </c>
      <c r="H23" s="2" t="str">
        <f ca="1">IFERROR(__xludf.DUMMYFUNCTION("GOOGLETRANSLATE(B23,""en"",""zh"")"),"作为")</f>
        <v>作为</v>
      </c>
      <c r="I23" s="2" t="str">
        <f ca="1">IFERROR(__xludf.DUMMYFUNCTION("GOOGLETRANSLATE(B23,""en"",""gd"")"),"mar")</f>
        <v>mar</v>
      </c>
    </row>
    <row r="24" spans="1:9" ht="14.25" customHeight="1" x14ac:dyDescent="0.3">
      <c r="A24" s="2">
        <v>23</v>
      </c>
      <c r="B24" s="3" t="s">
        <v>31</v>
      </c>
      <c r="C24" s="2" t="str">
        <f ca="1">IFERROR(__xludf.DUMMYFUNCTION("GOOGLETRANSLATE(B24, ""en"",""es"")"),"en")</f>
        <v>en</v>
      </c>
      <c r="D24" s="2" t="str">
        <f ca="1">IFERROR(__xludf.DUMMYFUNCTION("GOOGLETRANSLATE(B24,""en"",""ig"")"),"na")</f>
        <v>na</v>
      </c>
      <c r="E24" s="2" t="str">
        <f ca="1">IFERROR(__xludf.DUMMYFUNCTION("GOOGLETRANSLATE(B24,""en"",""fr"")"),"à")</f>
        <v>à</v>
      </c>
      <c r="F24" s="2" t="str">
        <f ca="1">IFERROR(__xludf.DUMMYFUNCTION("GOOGLETRANSLATE(B24,""en"",""it"")"),"A")</f>
        <v>A</v>
      </c>
      <c r="G24" s="2" t="str">
        <f ca="1">IFERROR(__xludf.DUMMYFUNCTION("GOOGLETRANSLATE(B24,""en"",""de"")"),"bei")</f>
        <v>bei</v>
      </c>
      <c r="H24" s="2" t="str">
        <f ca="1">IFERROR(__xludf.DUMMYFUNCTION("GOOGLETRANSLATE(B24,""en"",""zh"")"),"在")</f>
        <v>在</v>
      </c>
      <c r="I24" s="2" t="str">
        <f ca="1">IFERROR(__xludf.DUMMYFUNCTION("GOOGLETRANSLATE(B24,""en"",""gd"")"),"aig")</f>
        <v>aig</v>
      </c>
    </row>
    <row r="25" spans="1:9" ht="14.25" customHeight="1" x14ac:dyDescent="0.3">
      <c r="A25" s="2">
        <v>24</v>
      </c>
      <c r="B25" s="3" t="s">
        <v>32</v>
      </c>
      <c r="C25" s="2" t="str">
        <f ca="1">IFERROR(__xludf.DUMMYFUNCTION("GOOGLETRANSLATE(B25, ""en"",""es"")"),"ella")</f>
        <v>ella</v>
      </c>
      <c r="D25" s="2" t="str">
        <f ca="1">IFERROR(__xludf.DUMMYFUNCTION("GOOGLETRANSLATE(B25,""en"",""ig"")"),"o")</f>
        <v>o</v>
      </c>
      <c r="E25" s="2" t="str">
        <f ca="1">IFERROR(__xludf.DUMMYFUNCTION("GOOGLETRANSLATE(B25,""en"",""fr"")"),"elle")</f>
        <v>elle</v>
      </c>
      <c r="F25" s="2" t="str">
        <f ca="1">IFERROR(__xludf.DUMMYFUNCTION("GOOGLETRANSLATE(B25,""en"",""it"")"),"Lei")</f>
        <v>Lei</v>
      </c>
      <c r="G25" s="2" t="str">
        <f ca="1">IFERROR(__xludf.DUMMYFUNCTION("GOOGLETRANSLATE(B25,""en"",""de"")"),"sie")</f>
        <v>sie</v>
      </c>
      <c r="H25" s="2" t="str">
        <f ca="1">IFERROR(__xludf.DUMMYFUNCTION("GOOGLETRANSLATE(B25,""en"",""zh"")"),"她")</f>
        <v>她</v>
      </c>
      <c r="I25" s="2" t="str">
        <f ca="1">IFERROR(__xludf.DUMMYFUNCTION("GOOGLETRANSLATE(B25,""en"",""gd"")"),"Tha i")</f>
        <v>Tha i</v>
      </c>
    </row>
    <row r="26" spans="1:9" ht="14.25" customHeight="1" x14ac:dyDescent="0.3">
      <c r="A26" s="2">
        <v>25</v>
      </c>
      <c r="B26" s="3" t="s">
        <v>33</v>
      </c>
      <c r="C26" s="2" t="str">
        <f ca="1">IFERROR(__xludf.DUMMYFUNCTION("GOOGLETRANSLATE(B26, ""en"",""es"")"),"pero")</f>
        <v>pero</v>
      </c>
      <c r="D26" s="2" t="str">
        <f ca="1">IFERROR(__xludf.DUMMYFUNCTION("GOOGLETRANSLATE(B26,""en"",""ig"")"),"mana")</f>
        <v>mana</v>
      </c>
      <c r="E26" s="2" t="str">
        <f ca="1">IFERROR(__xludf.DUMMYFUNCTION("GOOGLETRANSLATE(B26,""en"",""fr"")"),"mais")</f>
        <v>mais</v>
      </c>
      <c r="F26" s="2" t="str">
        <f ca="1">IFERROR(__xludf.DUMMYFUNCTION("GOOGLETRANSLATE(B26,""en"",""it"")"),"Ma")</f>
        <v>Ma</v>
      </c>
      <c r="G26" s="2" t="str">
        <f ca="1">IFERROR(__xludf.DUMMYFUNCTION("GOOGLETRANSLATE(B26,""en"",""de"")"),"Aber")</f>
        <v>Aber</v>
      </c>
      <c r="H26" s="2" t="str">
        <f ca="1">IFERROR(__xludf.DUMMYFUNCTION("GOOGLETRANSLATE(B26,""en"",""zh"")"),"但")</f>
        <v>但</v>
      </c>
      <c r="I26" s="2" t="str">
        <f ca="1">IFERROR(__xludf.DUMMYFUNCTION("GOOGLETRANSLATE(B26,""en"",""gd"")"),"Ach")</f>
        <v>Ach</v>
      </c>
    </row>
    <row r="27" spans="1:9" ht="14.25" customHeight="1" x14ac:dyDescent="0.3">
      <c r="A27" s="2">
        <v>26</v>
      </c>
      <c r="B27" s="3" t="s">
        <v>34</v>
      </c>
      <c r="C27" s="2" t="str">
        <f ca="1">IFERROR(__xludf.DUMMYFUNCTION("GOOGLETRANSLATE(B27, ""en"",""es"")"),"de")</f>
        <v>de</v>
      </c>
      <c r="D27" s="2" t="str">
        <f ca="1">IFERROR(__xludf.DUMMYFUNCTION("GOOGLETRANSLATE(B27,""en"",""ig"")"),"site na")</f>
        <v>site na</v>
      </c>
      <c r="E27" s="2" t="str">
        <f ca="1">IFERROR(__xludf.DUMMYFUNCTION("GOOGLETRANSLATE(B27,""en"",""fr"")"),"depuis")</f>
        <v>depuis</v>
      </c>
      <c r="F27" s="2" t="str">
        <f ca="1">IFERROR(__xludf.DUMMYFUNCTION("GOOGLETRANSLATE(B27,""en"",""it"")"),"da")</f>
        <v>da</v>
      </c>
      <c r="G27" s="2" t="str">
        <f ca="1">IFERROR(__xludf.DUMMYFUNCTION("GOOGLETRANSLATE(B27,""en"",""de"")"),"aus")</f>
        <v>aus</v>
      </c>
      <c r="H27" s="2" t="str">
        <f ca="1">IFERROR(__xludf.DUMMYFUNCTION("GOOGLETRANSLATE(B27,""en"",""zh"")"),"从")</f>
        <v>从</v>
      </c>
      <c r="I27" s="2" t="str">
        <f ca="1">IFERROR(__xludf.DUMMYFUNCTION("GOOGLETRANSLATE(B27,""en"",""gd"")"),"bho")</f>
        <v>bho</v>
      </c>
    </row>
    <row r="28" spans="1:9" ht="14.25" customHeight="1" x14ac:dyDescent="0.3">
      <c r="A28" s="2">
        <v>27</v>
      </c>
      <c r="B28" s="3" t="s">
        <v>35</v>
      </c>
      <c r="C28" s="2" t="str">
        <f ca="1">IFERROR(__xludf.DUMMYFUNCTION("GOOGLETRANSLATE(B28, ""en"",""es"")"),"por")</f>
        <v>por</v>
      </c>
      <c r="D28" s="2" t="str">
        <f ca="1">IFERROR(__xludf.DUMMYFUNCTION("GOOGLETRANSLATE(B28,""en"",""ig"")"),"site")</f>
        <v>site</v>
      </c>
      <c r="E28" s="2" t="str">
        <f ca="1">IFERROR(__xludf.DUMMYFUNCTION("GOOGLETRANSLATE(B28,""en"",""fr"")"),"par")</f>
        <v>par</v>
      </c>
      <c r="F28" s="2" t="str">
        <f ca="1">IFERROR(__xludf.DUMMYFUNCTION("GOOGLETRANSLATE(B28,""en"",""it"")"),"di")</f>
        <v>di</v>
      </c>
      <c r="G28" s="2" t="str">
        <f ca="1">IFERROR(__xludf.DUMMYFUNCTION("GOOGLETRANSLATE(B28,""en"",""de"")"),"von")</f>
        <v>von</v>
      </c>
      <c r="H28" s="2" t="str">
        <f ca="1">IFERROR(__xludf.DUMMYFUNCTION("GOOGLETRANSLATE(B28,""en"",""zh"")"),"经过")</f>
        <v>经过</v>
      </c>
      <c r="I28" s="2" t="str">
        <f ca="1">IFERROR(__xludf.DUMMYFUNCTION("GOOGLETRANSLATE(B28,""en"",""gd"")"),"le")</f>
        <v>le</v>
      </c>
    </row>
    <row r="29" spans="1:9" ht="14.25" customHeight="1" x14ac:dyDescent="0.3">
      <c r="A29" s="2">
        <v>28</v>
      </c>
      <c r="B29" s="3" t="s">
        <v>36</v>
      </c>
      <c r="C29" s="2" t="str">
        <f ca="1">IFERROR(__xludf.DUMMYFUNCTION("GOOGLETRANSLATE(B29, ""en"",""es"")"),"voluntad")</f>
        <v>voluntad</v>
      </c>
      <c r="D29" s="2" t="str">
        <f ca="1">IFERROR(__xludf.DUMMYFUNCTION("GOOGLETRANSLATE(B29,""en"",""ig"")"),"uche")</f>
        <v>uche</v>
      </c>
      <c r="E29" s="2" t="str">
        <f ca="1">IFERROR(__xludf.DUMMYFUNCTION("GOOGLETRANSLATE(B29,""en"",""fr"")"),"volonté")</f>
        <v>volonté</v>
      </c>
      <c r="F29" s="2" t="str">
        <f ca="1">IFERROR(__xludf.DUMMYFUNCTION("GOOGLETRANSLATE(B29,""en"",""it"")"),"Volere")</f>
        <v>Volere</v>
      </c>
      <c r="G29" s="2" t="str">
        <f ca="1">IFERROR(__xludf.DUMMYFUNCTION("GOOGLETRANSLATE(B29,""en"",""de"")"),"Wille")</f>
        <v>Wille</v>
      </c>
      <c r="H29" s="2" t="str">
        <f ca="1">IFERROR(__xludf.DUMMYFUNCTION("GOOGLETRANSLATE(B29,""en"",""zh"")"),"将要")</f>
        <v>将要</v>
      </c>
      <c r="I29" s="2" t="str">
        <f ca="1">IFERROR(__xludf.DUMMYFUNCTION("GOOGLETRANSLATE(B29,""en"",""gd"")"),"bidh")</f>
        <v>bidh</v>
      </c>
    </row>
    <row r="30" spans="1:9" ht="14.25" customHeight="1" x14ac:dyDescent="0.3">
      <c r="A30" s="2">
        <v>29</v>
      </c>
      <c r="B30" s="3" t="s">
        <v>37</v>
      </c>
      <c r="C30" s="2" t="str">
        <f ca="1">IFERROR(__xludf.DUMMYFUNCTION("GOOGLETRANSLATE(B30, ""en"",""es"")"),"o")</f>
        <v>o</v>
      </c>
      <c r="D30" s="2" t="str">
        <f ca="1">IFERROR(__xludf.DUMMYFUNCTION("GOOGLETRANSLATE(B30,""en"",""ig"")"),"ma ọ bụ")</f>
        <v>ma ọ bụ</v>
      </c>
      <c r="E30" s="2" t="str">
        <f ca="1">IFERROR(__xludf.DUMMYFUNCTION("GOOGLETRANSLATE(B30,""en"",""fr"")"),"ou")</f>
        <v>ou</v>
      </c>
      <c r="F30" s="2" t="str">
        <f ca="1">IFERROR(__xludf.DUMMYFUNCTION("GOOGLETRANSLATE(B30,""en"",""it"")"),"O")</f>
        <v>O</v>
      </c>
      <c r="G30" s="2" t="str">
        <f ca="1">IFERROR(__xludf.DUMMYFUNCTION("GOOGLETRANSLATE(B30,""en"",""de"")"),"oder")</f>
        <v>oder</v>
      </c>
      <c r="H30" s="2" t="str">
        <f ca="1">IFERROR(__xludf.DUMMYFUNCTION("GOOGLETRANSLATE(B30,""en"",""zh"")"),"或者")</f>
        <v>或者</v>
      </c>
      <c r="I30" s="2" t="str">
        <f ca="1">IFERROR(__xludf.DUMMYFUNCTION("GOOGLETRANSLATE(B30,""en"",""gd"")"),"no")</f>
        <v>no</v>
      </c>
    </row>
    <row r="31" spans="1:9" ht="14.25" customHeight="1" x14ac:dyDescent="0.3">
      <c r="A31" s="2">
        <v>30</v>
      </c>
      <c r="B31" s="3" t="s">
        <v>38</v>
      </c>
      <c r="C31" s="2" t="str">
        <f ca="1">IFERROR(__xludf.DUMMYFUNCTION("GOOGLETRANSLATE(B31, ""en"",""es"")"),"decir")</f>
        <v>decir</v>
      </c>
      <c r="D31" s="2" t="str">
        <f ca="1">IFERROR(__xludf.DUMMYFUNCTION("GOOGLETRANSLATE(B31,""en"",""ig"")"),"kwuoo")</f>
        <v>kwuoo</v>
      </c>
      <c r="E31" s="2" t="str">
        <f ca="1">IFERROR(__xludf.DUMMYFUNCTION("GOOGLETRANSLATE(B31,""en"",""fr"")"),"dire")</f>
        <v>dire</v>
      </c>
      <c r="F31" s="2" t="str">
        <f ca="1">IFERROR(__xludf.DUMMYFUNCTION("GOOGLETRANSLATE(B31,""en"",""it"")"),"Dire")</f>
        <v>Dire</v>
      </c>
      <c r="G31" s="2" t="str">
        <f ca="1">IFERROR(__xludf.DUMMYFUNCTION("GOOGLETRANSLATE(B31,""en"",""de"")"),"sagen")</f>
        <v>sagen</v>
      </c>
      <c r="H31" s="2" t="str">
        <f ca="1">IFERROR(__xludf.DUMMYFUNCTION("GOOGLETRANSLATE(B31,""en"",""zh"")"),"说")</f>
        <v>说</v>
      </c>
      <c r="I31" s="2" t="str">
        <f ca="1">IFERROR(__xludf.DUMMYFUNCTION("GOOGLETRANSLATE(B31,""en"",""gd"")"),"Abair")</f>
        <v>Abair</v>
      </c>
    </row>
    <row r="32" spans="1:9" ht="14.25" customHeight="1" x14ac:dyDescent="0.3">
      <c r="A32" s="2">
        <v>31</v>
      </c>
      <c r="B32" s="3" t="s">
        <v>39</v>
      </c>
      <c r="C32" s="2" t="str">
        <f ca="1">IFERROR(__xludf.DUMMYFUNCTION("GOOGLETRANSLATE(B32, ""en"",""es"")"),"ir")</f>
        <v>ir</v>
      </c>
      <c r="D32" s="2" t="str">
        <f ca="1">IFERROR(__xludf.DUMMYFUNCTION("GOOGLETRANSLATE(B32,""en"",""ig"")"),"iga")</f>
        <v>iga</v>
      </c>
      <c r="E32" s="2" t="str">
        <f ca="1">IFERROR(__xludf.DUMMYFUNCTION("GOOGLETRANSLATE(B32,""en"",""fr"")"),"aller")</f>
        <v>aller</v>
      </c>
      <c r="F32" s="2" t="str">
        <f ca="1">IFERROR(__xludf.DUMMYFUNCTION("GOOGLETRANSLATE(B32,""en"",""it"")"),"andare")</f>
        <v>andare</v>
      </c>
      <c r="G32" s="2" t="str">
        <f ca="1">IFERROR(__xludf.DUMMYFUNCTION("GOOGLETRANSLATE(B32,""en"",""de"")"),"gehen")</f>
        <v>gehen</v>
      </c>
      <c r="H32" s="2" t="str">
        <f ca="1">IFERROR(__xludf.DUMMYFUNCTION("GOOGLETRANSLATE(B32,""en"",""zh"")"),"去")</f>
        <v>去</v>
      </c>
      <c r="I32" s="2" t="str">
        <f ca="1">IFERROR(__xludf.DUMMYFUNCTION("GOOGLETRANSLATE(B32,""en"",""gd"")"),"falbh")</f>
        <v>falbh</v>
      </c>
    </row>
    <row r="33" spans="1:9" ht="14.25" customHeight="1" x14ac:dyDescent="0.3">
      <c r="A33" s="2">
        <v>32</v>
      </c>
      <c r="B33" s="3" t="s">
        <v>40</v>
      </c>
      <c r="C33" s="2" t="str">
        <f ca="1">IFERROR(__xludf.DUMMYFUNCTION("GOOGLETRANSLATE(B33, ""en"",""es"")"),"entonces")</f>
        <v>entonces</v>
      </c>
      <c r="D33" s="2" t="str">
        <f ca="1">IFERROR(__xludf.DUMMYFUNCTION("GOOGLETRANSLATE(B33,""en"",""ig"")"),"so")</f>
        <v>so</v>
      </c>
      <c r="E33" s="2" t="str">
        <f ca="1">IFERROR(__xludf.DUMMYFUNCTION("GOOGLETRANSLATE(B33,""en"",""fr"")"),"donc")</f>
        <v>donc</v>
      </c>
      <c r="F33" s="2" t="str">
        <f ca="1">IFERROR(__xludf.DUMMYFUNCTION("GOOGLETRANSLATE(B33,""en"",""it"")"),"COSÌ")</f>
        <v>COSÌ</v>
      </c>
      <c r="G33" s="2" t="str">
        <f ca="1">IFERROR(__xludf.DUMMYFUNCTION("GOOGLETRANSLATE(B33,""en"",""de"")"),"Also")</f>
        <v>Also</v>
      </c>
      <c r="H33" s="2" t="str">
        <f ca="1">IFERROR(__xludf.DUMMYFUNCTION("GOOGLETRANSLATE(B33,""en"",""zh"")"),"所以")</f>
        <v>所以</v>
      </c>
      <c r="I33" s="2" t="str">
        <f ca="1">IFERROR(__xludf.DUMMYFUNCTION("GOOGLETRANSLATE(B33,""en"",""gd"")"),"Mar sin")</f>
        <v>Mar sin</v>
      </c>
    </row>
    <row r="34" spans="1:9" ht="14.25" customHeight="1" x14ac:dyDescent="0.3">
      <c r="A34" s="2">
        <v>33</v>
      </c>
      <c r="B34" s="3" t="s">
        <v>41</v>
      </c>
      <c r="C34" s="2" t="str">
        <f ca="1">IFERROR(__xludf.DUMMYFUNCTION("GOOGLETRANSLATE(B34, ""en"",""es"")"),"todo")</f>
        <v>todo</v>
      </c>
      <c r="D34" s="2" t="str">
        <f ca="1">IFERROR(__xludf.DUMMYFUNCTION("GOOGLETRANSLATE(B34,""en"",""ig"")"),"dum")</f>
        <v>dum</v>
      </c>
      <c r="E34" s="2" t="str">
        <f ca="1">IFERROR(__xludf.DUMMYFUNCTION("GOOGLETRANSLATE(B34,""en"",""fr"")"),"tous")</f>
        <v>tous</v>
      </c>
      <c r="F34" s="2" t="str">
        <f ca="1">IFERROR(__xludf.DUMMYFUNCTION("GOOGLETRANSLATE(B34,""en"",""it"")"),"Tutto")</f>
        <v>Tutto</v>
      </c>
      <c r="G34" s="2" t="str">
        <f ca="1">IFERROR(__xludf.DUMMYFUNCTION("GOOGLETRANSLATE(B34,""en"",""de"")"),"alle")</f>
        <v>alle</v>
      </c>
      <c r="H34" s="2" t="str">
        <f ca="1">IFERROR(__xludf.DUMMYFUNCTION("GOOGLETRANSLATE(B34,""en"",""zh"")"),"全部")</f>
        <v>全部</v>
      </c>
      <c r="I34" s="2" t="str">
        <f ca="1">IFERROR(__xludf.DUMMYFUNCTION("GOOGLETRANSLATE(B34,""en"",""gd"")"),"Uile")</f>
        <v>Uile</v>
      </c>
    </row>
    <row r="35" spans="1:9" ht="14.25" customHeight="1" x14ac:dyDescent="0.3">
      <c r="A35" s="2">
        <v>34</v>
      </c>
      <c r="B35" s="3" t="s">
        <v>42</v>
      </c>
      <c r="C35" s="2" t="str">
        <f ca="1">IFERROR(__xludf.DUMMYFUNCTION("GOOGLETRANSLATE(B35, ""en"",""es"")"),"si")</f>
        <v>si</v>
      </c>
      <c r="D35" s="2" t="str">
        <f ca="1">IFERROR(__xludf.DUMMYFUNCTION("GOOGLETRANSLATE(B35,""en"",""ig"")"),"o buru na")</f>
        <v>o buru na</v>
      </c>
      <c r="E35" s="2" t="str">
        <f ca="1">IFERROR(__xludf.DUMMYFUNCTION("GOOGLETRANSLATE(B35,""en"",""fr"")"),"si")</f>
        <v>si</v>
      </c>
      <c r="F35" s="2" t="str">
        <f ca="1">IFERROR(__xludf.DUMMYFUNCTION("GOOGLETRANSLATE(B35,""en"",""it"")"),"Se")</f>
        <v>Se</v>
      </c>
      <c r="G35" s="2" t="str">
        <f ca="1">IFERROR(__xludf.DUMMYFUNCTION("GOOGLETRANSLATE(B35,""en"",""de"")"),"Wenn")</f>
        <v>Wenn</v>
      </c>
      <c r="H35" s="2" t="str">
        <f ca="1">IFERROR(__xludf.DUMMYFUNCTION("GOOGLETRANSLATE(B35,""en"",""zh"")"),"如果")</f>
        <v>如果</v>
      </c>
      <c r="I35" s="2" t="str">
        <f ca="1">IFERROR(__xludf.DUMMYFUNCTION("GOOGLETRANSLATE(B35,""en"",""gd"")"),"Ma tha")</f>
        <v>Ma tha</v>
      </c>
    </row>
    <row r="36" spans="1:9" ht="14.25" customHeight="1" x14ac:dyDescent="0.3">
      <c r="A36" s="2">
        <v>35</v>
      </c>
      <c r="B36" s="3" t="s">
        <v>43</v>
      </c>
      <c r="C36" s="2" t="str">
        <f ca="1">IFERROR(__xludf.DUMMYFUNCTION("GOOGLETRANSLATE(B36, ""en"",""es"")"),"uno")</f>
        <v>uno</v>
      </c>
      <c r="D36" s="2" t="str">
        <f ca="1">IFERROR(__xludf.DUMMYFUNCTION("GOOGLETRANSLATE(B36,""en"",""ig"")"),"otu")</f>
        <v>otu</v>
      </c>
      <c r="E36" s="2" t="str">
        <f ca="1">IFERROR(__xludf.DUMMYFUNCTION("GOOGLETRANSLATE(B36,""en"",""fr"")"),"un")</f>
        <v>un</v>
      </c>
      <c r="F36" s="2" t="str">
        <f ca="1">IFERROR(__xludf.DUMMYFUNCTION("GOOGLETRANSLATE(B36,""en"",""it"")"),"uno")</f>
        <v>uno</v>
      </c>
      <c r="G36" s="2" t="str">
        <f ca="1">IFERROR(__xludf.DUMMYFUNCTION("GOOGLETRANSLATE(B36,""en"",""de"")"),"eins")</f>
        <v>eins</v>
      </c>
      <c r="H36" s="2" t="str">
        <f ca="1">IFERROR(__xludf.DUMMYFUNCTION("GOOGLETRANSLATE(B36,""en"",""zh"")"),"一")</f>
        <v>一</v>
      </c>
      <c r="I36" s="2" t="str">
        <f ca="1">IFERROR(__xludf.DUMMYFUNCTION("GOOGLETRANSLATE(B36,""en"",""gd"")"),"aon")</f>
        <v>aon</v>
      </c>
    </row>
    <row r="37" spans="1:9" ht="14.25" customHeight="1" x14ac:dyDescent="0.3">
      <c r="A37" s="2">
        <v>36</v>
      </c>
      <c r="B37" s="3" t="s">
        <v>44</v>
      </c>
      <c r="C37" s="2" t="str">
        <f ca="1">IFERROR(__xludf.DUMMYFUNCTION("GOOGLETRANSLATE(B37, ""en"",""es"")"),"haría")</f>
        <v>haría</v>
      </c>
      <c r="D37" s="2" t="str">
        <f ca="1">IFERROR(__xludf.DUMMYFUNCTION("GOOGLETRANSLATE(B37,""en"",""ig"")"),"ga-")</f>
        <v>ga-</v>
      </c>
      <c r="E37" s="2" t="str">
        <f ca="1">IFERROR(__xludf.DUMMYFUNCTION("GOOGLETRANSLATE(B37,""en"",""fr"")"),"serait")</f>
        <v>serait</v>
      </c>
      <c r="F37" s="2" t="str">
        <f ca="1">IFERROR(__xludf.DUMMYFUNCTION("GOOGLETRANSLATE(B37,""en"",""it"")"),"volevo")</f>
        <v>volevo</v>
      </c>
      <c r="G37" s="2" t="str">
        <f ca="1">IFERROR(__xludf.DUMMYFUNCTION("GOOGLETRANSLATE(B37,""en"",""de"")"),"würde")</f>
        <v>würde</v>
      </c>
      <c r="H37" s="2" t="str">
        <f ca="1">IFERROR(__xludf.DUMMYFUNCTION("GOOGLETRANSLATE(B37,""en"",""zh"")"),"会")</f>
        <v>会</v>
      </c>
      <c r="I37" s="2" t="str">
        <f ca="1">IFERROR(__xludf.DUMMYFUNCTION("GOOGLETRANSLATE(B37,""en"",""gd"")"),"bhiodh")</f>
        <v>bhiodh</v>
      </c>
    </row>
    <row r="38" spans="1:9" ht="14.25" customHeight="1" x14ac:dyDescent="0.3">
      <c r="A38" s="2">
        <v>37</v>
      </c>
      <c r="B38" s="3" t="s">
        <v>45</v>
      </c>
      <c r="C38" s="2" t="str">
        <f ca="1">IFERROR(__xludf.DUMMYFUNCTION("GOOGLETRANSLATE(B38, ""en"",""es"")"),"acerca de")</f>
        <v>acerca de</v>
      </c>
      <c r="D38" s="2" t="str">
        <f ca="1">IFERROR(__xludf.DUMMYFUNCTION("GOOGLETRANSLATE(B38,""en"",""ig"")"),"maka")</f>
        <v>maka</v>
      </c>
      <c r="E38" s="2" t="str">
        <f ca="1">IFERROR(__xludf.DUMMYFUNCTION("GOOGLETRANSLATE(B38,""en"",""fr"")"),"à propos")</f>
        <v>à propos</v>
      </c>
      <c r="F38" s="2" t="str">
        <f ca="1">IFERROR(__xludf.DUMMYFUNCTION("GOOGLETRANSLATE(B38,""en"",""it"")"),"Di")</f>
        <v>Di</v>
      </c>
      <c r="G38" s="2" t="str">
        <f ca="1">IFERROR(__xludf.DUMMYFUNCTION("GOOGLETRANSLATE(B38,""en"",""de"")"),"um")</f>
        <v>um</v>
      </c>
      <c r="H38" s="2" t="str">
        <f ca="1">IFERROR(__xludf.DUMMYFUNCTION("GOOGLETRANSLATE(B38,""en"",""zh"")"),"关于")</f>
        <v>关于</v>
      </c>
      <c r="I38" s="2" t="str">
        <f ca="1">IFERROR(__xludf.DUMMYFUNCTION("GOOGLETRANSLATE(B38,""en"",""gd"")"),"mu dheidhinn")</f>
        <v>mu dheidhinn</v>
      </c>
    </row>
    <row r="39" spans="1:9" ht="14.25" customHeight="1" x14ac:dyDescent="0.3">
      <c r="A39" s="2">
        <v>38</v>
      </c>
      <c r="B39" s="3" t="s">
        <v>46</v>
      </c>
      <c r="C39" s="2" t="str">
        <f ca="1">IFERROR(__xludf.DUMMYFUNCTION("GOOGLETRANSLATE(B39, ""en"",""es"")"),"poder")</f>
        <v>poder</v>
      </c>
      <c r="D39" s="2" t="str">
        <f ca="1">IFERROR(__xludf.DUMMYFUNCTION("GOOGLETRANSLATE(B39,""en"",""ig"")"),"inwe ike")</f>
        <v>inwe ike</v>
      </c>
      <c r="E39" s="2" t="str">
        <f ca="1">IFERROR(__xludf.DUMMYFUNCTION("GOOGLETRANSLATE(B39,""en"",""fr"")"),"peut")</f>
        <v>peut</v>
      </c>
      <c r="F39" s="2" t="str">
        <f ca="1">IFERROR(__xludf.DUMMYFUNCTION("GOOGLETRANSLATE(B39,""en"",""it"")"),"Potere")</f>
        <v>Potere</v>
      </c>
      <c r="G39" s="2" t="str">
        <f ca="1">IFERROR(__xludf.DUMMYFUNCTION("GOOGLETRANSLATE(B39,""en"",""de"")"),"dürfen")</f>
        <v>dürfen</v>
      </c>
      <c r="H39" s="2" t="str">
        <f ca="1">IFERROR(__xludf.DUMMYFUNCTION("GOOGLETRANSLATE(B39,""en"",""zh"")"),"能")</f>
        <v>能</v>
      </c>
      <c r="I39" s="2" t="str">
        <f ca="1">IFERROR(__xludf.DUMMYFUNCTION("GOOGLETRANSLATE(B39,""en"",""gd"")"),"urrainn")</f>
        <v>urrainn</v>
      </c>
    </row>
    <row r="40" spans="1:9" ht="14.25" customHeight="1" x14ac:dyDescent="0.3">
      <c r="A40" s="2">
        <v>39</v>
      </c>
      <c r="B40" s="3" t="s">
        <v>47</v>
      </c>
      <c r="C40" s="2" t="str">
        <f ca="1">IFERROR(__xludf.DUMMYFUNCTION("GOOGLETRANSLATE(B40, ""en"",""es"")"),"cual")</f>
        <v>cual</v>
      </c>
      <c r="D40" s="2" t="str">
        <f ca="1">IFERROR(__xludf.DUMMYFUNCTION("GOOGLETRANSLATE(B40,""en"",""ig"")"),"nke")</f>
        <v>nke</v>
      </c>
      <c r="E40" s="2" t="str">
        <f ca="1">IFERROR(__xludf.DUMMYFUNCTION("GOOGLETRANSLATE(B40,""en"",""fr"")"),"lequel")</f>
        <v>lequel</v>
      </c>
      <c r="F40" s="2" t="str">
        <f ca="1">IFERROR(__xludf.DUMMYFUNCTION("GOOGLETRANSLATE(B40,""en"",""it"")"),"Quale")</f>
        <v>Quale</v>
      </c>
      <c r="G40" s="2" t="str">
        <f ca="1">IFERROR(__xludf.DUMMYFUNCTION("GOOGLETRANSLATE(B40,""en"",""de"")"),"welche")</f>
        <v>welche</v>
      </c>
      <c r="H40" s="2" t="str">
        <f ca="1">IFERROR(__xludf.DUMMYFUNCTION("GOOGLETRANSLATE(B40,""en"",""zh"")"),"哪个")</f>
        <v>哪个</v>
      </c>
      <c r="I40" s="2" t="str">
        <f ca="1">IFERROR(__xludf.DUMMYFUNCTION("GOOGLETRANSLATE(B40,""en"",""gd"")"),"a")</f>
        <v>a</v>
      </c>
    </row>
    <row r="41" spans="1:9" ht="14.25" customHeight="1" x14ac:dyDescent="0.3">
      <c r="A41" s="2">
        <v>40</v>
      </c>
      <c r="B41" s="3" t="s">
        <v>48</v>
      </c>
      <c r="C41" s="2" t="str">
        <f ca="1">IFERROR(__xludf.DUMMYFUNCTION("GOOGLETRANSLATE(B41, ""en"",""es"")"),"allá")</f>
        <v>allá</v>
      </c>
      <c r="D41" s="2" t="str">
        <f ca="1">IFERROR(__xludf.DUMMYFUNCTION("GOOGLETRANSLATE(B41,""en"",""ig"")"),"Ebe ahụ")</f>
        <v>Ebe ahụ</v>
      </c>
      <c r="E41" s="2" t="str">
        <f ca="1">IFERROR(__xludf.DUMMYFUNCTION("GOOGLETRANSLATE(B41,""en"",""fr"")"),"là")</f>
        <v>là</v>
      </c>
      <c r="F41" s="2" t="str">
        <f ca="1">IFERROR(__xludf.DUMMYFUNCTION("GOOGLETRANSLATE(B41,""en"",""it"")"),"Là")</f>
        <v>Là</v>
      </c>
      <c r="G41" s="2" t="str">
        <f ca="1">IFERROR(__xludf.DUMMYFUNCTION("GOOGLETRANSLATE(B41,""en"",""de"")"),"Dort")</f>
        <v>Dort</v>
      </c>
      <c r="H41" s="2" t="str">
        <f ca="1">IFERROR(__xludf.DUMMYFUNCTION("GOOGLETRANSLATE(B41,""en"",""zh"")"),"那里")</f>
        <v>那里</v>
      </c>
      <c r="I41" s="2" t="str">
        <f ca="1">IFERROR(__xludf.DUMMYFUNCTION("GOOGLETRANSLATE(B41,""en"",""gd"")"),"an sin")</f>
        <v>an sin</v>
      </c>
    </row>
    <row r="42" spans="1:9" ht="14.25" customHeight="1" x14ac:dyDescent="0.3">
      <c r="A42" s="2">
        <v>41</v>
      </c>
      <c r="B42" s="3" t="s">
        <v>49</v>
      </c>
      <c r="C42" s="2" t="str">
        <f ca="1">IFERROR(__xludf.DUMMYFUNCTION("GOOGLETRANSLATE(B42, ""en"",""es"")"),"saber")</f>
        <v>saber</v>
      </c>
      <c r="D42" s="2" t="str">
        <f ca="1">IFERROR(__xludf.DUMMYFUNCTION("GOOGLETRANSLATE(B42,""en"",""ig"")"),"ima ihe")</f>
        <v>ima ihe</v>
      </c>
      <c r="E42" s="2" t="str">
        <f ca="1">IFERROR(__xludf.DUMMYFUNCTION("GOOGLETRANSLATE(B42,""en"",""fr"")"),"savoir")</f>
        <v>savoir</v>
      </c>
      <c r="F42" s="2" t="str">
        <f ca="1">IFERROR(__xludf.DUMMYFUNCTION("GOOGLETRANSLATE(B42,""en"",""it"")"),"Sapere")</f>
        <v>Sapere</v>
      </c>
      <c r="G42" s="2" t="str">
        <f ca="1">IFERROR(__xludf.DUMMYFUNCTION("GOOGLETRANSLATE(B42,""en"",""de"")"),"wissen")</f>
        <v>wissen</v>
      </c>
      <c r="H42" s="2" t="str">
        <f ca="1">IFERROR(__xludf.DUMMYFUNCTION("GOOGLETRANSLATE(B42,""en"",""zh"")"),"知道")</f>
        <v>知道</v>
      </c>
      <c r="I42" s="2" t="str">
        <f ca="1">IFERROR(__xludf.DUMMYFUNCTION("GOOGLETRANSLATE(B42,""en"",""gd"")"),"fios")</f>
        <v>fios</v>
      </c>
    </row>
    <row r="43" spans="1:9" ht="14.25" customHeight="1" x14ac:dyDescent="0.3">
      <c r="A43" s="2">
        <v>42</v>
      </c>
      <c r="B43" s="3" t="s">
        <v>50</v>
      </c>
      <c r="C43" s="2" t="str">
        <f ca="1">IFERROR(__xludf.DUMMYFUNCTION("GOOGLETRANSLATE(B43, ""en"",""es"")"),"más")</f>
        <v>más</v>
      </c>
      <c r="D43" s="2" t="str">
        <f ca="1">IFERROR(__xludf.DUMMYFUNCTION("GOOGLETRANSLATE(B43,""en"",""ig"")"),"Ọzọ")</f>
        <v>Ọzọ</v>
      </c>
      <c r="E43" s="2" t="str">
        <f ca="1">IFERROR(__xludf.DUMMYFUNCTION("GOOGLETRANSLATE(B43,""en"",""fr"")"),"plus")</f>
        <v>plus</v>
      </c>
      <c r="F43" s="2" t="str">
        <f ca="1">IFERROR(__xludf.DUMMYFUNCTION("GOOGLETRANSLATE(B43,""en"",""it"")"),"Di più")</f>
        <v>Di più</v>
      </c>
      <c r="G43" s="2" t="str">
        <f ca="1">IFERROR(__xludf.DUMMYFUNCTION("GOOGLETRANSLATE(B43,""en"",""de"")"),"mehr")</f>
        <v>mehr</v>
      </c>
      <c r="H43" s="2" t="str">
        <f ca="1">IFERROR(__xludf.DUMMYFUNCTION("GOOGLETRANSLATE(B43,""en"",""zh"")"),"更多的")</f>
        <v>更多的</v>
      </c>
      <c r="I43" s="2" t="str">
        <f ca="1">IFERROR(__xludf.DUMMYFUNCTION("GOOGLETRANSLATE(B43,""en"",""gd"")"),"Barrachd")</f>
        <v>Barrachd</v>
      </c>
    </row>
    <row r="44" spans="1:9" ht="14.25" customHeight="1" x14ac:dyDescent="0.3">
      <c r="A44" s="2">
        <v>43</v>
      </c>
      <c r="B44" s="3" t="s">
        <v>51</v>
      </c>
      <c r="C44" s="2" t="str">
        <f ca="1">IFERROR(__xludf.DUMMYFUNCTION("GOOGLETRANSLATE(B44, ""en"",""es"")"),"conseguir")</f>
        <v>conseguir</v>
      </c>
      <c r="D44" s="2" t="str">
        <f ca="1">IFERROR(__xludf.DUMMYFUNCTION("GOOGLETRANSLATE(B44,""en"",""ig"")"),"inwe")</f>
        <v>inwe</v>
      </c>
      <c r="E44" s="2" t="str">
        <f ca="1">IFERROR(__xludf.DUMMYFUNCTION("GOOGLETRANSLATE(B44,""en"",""fr"")"),"obtenir")</f>
        <v>obtenir</v>
      </c>
      <c r="F44" s="2" t="str">
        <f ca="1">IFERROR(__xludf.DUMMYFUNCTION("GOOGLETRANSLATE(B44,""en"",""it"")"),"Ottenere")</f>
        <v>Ottenere</v>
      </c>
      <c r="G44" s="2" t="str">
        <f ca="1">IFERROR(__xludf.DUMMYFUNCTION("GOOGLETRANSLATE(B44,""en"",""de"")"),"erhalten")</f>
        <v>erhalten</v>
      </c>
      <c r="H44" s="2" t="str">
        <f ca="1">IFERROR(__xludf.DUMMYFUNCTION("GOOGLETRANSLATE(B44,""en"",""zh"")"),"得到")</f>
        <v>得到</v>
      </c>
      <c r="I44" s="2" t="str">
        <f ca="1">IFERROR(__xludf.DUMMYFUNCTION("GOOGLETRANSLATE(B44,""en"",""gd"")"),"faighinn")</f>
        <v>faighinn</v>
      </c>
    </row>
    <row r="45" spans="1:9" ht="14.25" customHeight="1" x14ac:dyDescent="0.3">
      <c r="A45" s="2">
        <v>44</v>
      </c>
      <c r="B45" s="3" t="s">
        <v>52</v>
      </c>
      <c r="C45" s="2" t="str">
        <f ca="1">IFERROR(__xludf.DUMMYFUNCTION("GOOGLETRANSLATE(B45, ""en"",""es"")"),"OMS")</f>
        <v>OMS</v>
      </c>
      <c r="D45" s="2" t="str">
        <f ca="1">IFERROR(__xludf.DUMMYFUNCTION("GOOGLETRANSLATE(B45,""en"",""ig"")"),"WHO")</f>
        <v>WHO</v>
      </c>
      <c r="E45" s="2" t="str">
        <f ca="1">IFERROR(__xludf.DUMMYFUNCTION("GOOGLETRANSLATE(B45,""en"",""fr"")"),"OMS")</f>
        <v>OMS</v>
      </c>
      <c r="F45" s="2" t="str">
        <f ca="1">IFERROR(__xludf.DUMMYFUNCTION("GOOGLETRANSLATE(B45,""en"",""it"")"),"Chi")</f>
        <v>Chi</v>
      </c>
      <c r="G45" s="2" t="str">
        <f ca="1">IFERROR(__xludf.DUMMYFUNCTION("GOOGLETRANSLATE(B45,""en"",""de"")"),"WHO")</f>
        <v>WHO</v>
      </c>
      <c r="H45" s="2" t="str">
        <f ca="1">IFERROR(__xludf.DUMMYFUNCTION("GOOGLETRANSLATE(B45,""en"",""zh"")"),"WHO")</f>
        <v>WHO</v>
      </c>
      <c r="I45" s="2" t="str">
        <f ca="1">IFERROR(__xludf.DUMMYFUNCTION("GOOGLETRANSLATE(B45,""en"",""gd"")"),"WHO")</f>
        <v>WHO</v>
      </c>
    </row>
    <row r="46" spans="1:9" ht="14.25" customHeight="1" x14ac:dyDescent="0.3">
      <c r="A46" s="2">
        <v>45</v>
      </c>
      <c r="B46" s="3" t="s">
        <v>53</v>
      </c>
      <c r="C46" s="2" t="str">
        <f ca="1">IFERROR(__xludf.DUMMYFUNCTION("GOOGLETRANSLATE(B46, ""en"",""es"")"),"como")</f>
        <v>como</v>
      </c>
      <c r="D46" s="2" t="str">
        <f ca="1">IFERROR(__xludf.DUMMYFUNCTION("GOOGLETRANSLATE(B46,""en"",""ig"")"),"di ka")</f>
        <v>di ka</v>
      </c>
      <c r="E46" s="2" t="str">
        <f ca="1">IFERROR(__xludf.DUMMYFUNCTION("GOOGLETRANSLATE(B46,""en"",""fr"")"),"comme")</f>
        <v>comme</v>
      </c>
      <c r="F46" s="2" t="str">
        <f ca="1">IFERROR(__xludf.DUMMYFUNCTION("GOOGLETRANSLATE(B46,""en"",""it"")"),"Piace")</f>
        <v>Piace</v>
      </c>
      <c r="G46" s="2" t="str">
        <f ca="1">IFERROR(__xludf.DUMMYFUNCTION("GOOGLETRANSLATE(B46,""en"",""de"")"),"wie")</f>
        <v>wie</v>
      </c>
      <c r="H46" s="2" t="str">
        <f ca="1">IFERROR(__xludf.DUMMYFUNCTION("GOOGLETRANSLATE(B46,""en"",""zh"")"),"喜欢")</f>
        <v>喜欢</v>
      </c>
      <c r="I46" s="2" t="str">
        <f ca="1">IFERROR(__xludf.DUMMYFUNCTION("GOOGLETRANSLATE(B46,""en"",""gd"")"),"Coltach ri")</f>
        <v>Coltach ri</v>
      </c>
    </row>
    <row r="47" spans="1:9" ht="14.25" customHeight="1" x14ac:dyDescent="0.3">
      <c r="A47" s="2">
        <v>46</v>
      </c>
      <c r="B47" s="3" t="s">
        <v>54</v>
      </c>
      <c r="C47" s="2" t="str">
        <f ca="1">IFERROR(__xludf.DUMMYFUNCTION("GOOGLETRANSLATE(B47, ""en"",""es"")"),"cuando")</f>
        <v>cuando</v>
      </c>
      <c r="D47" s="2" t="str">
        <f ca="1">IFERROR(__xludf.DUMMYFUNCTION("GOOGLETRANSLATE(B47,""en"",""ig"")"),"mgbe ole")</f>
        <v>mgbe ole</v>
      </c>
      <c r="E47" s="2" t="str">
        <f ca="1">IFERROR(__xludf.DUMMYFUNCTION("GOOGLETRANSLATE(B47,""en"",""fr"")"),"quand")</f>
        <v>quand</v>
      </c>
      <c r="F47" s="2" t="str">
        <f ca="1">IFERROR(__xludf.DUMMYFUNCTION("GOOGLETRANSLATE(B47,""en"",""it"")"),"Quando")</f>
        <v>Quando</v>
      </c>
      <c r="G47" s="2" t="str">
        <f ca="1">IFERROR(__xludf.DUMMYFUNCTION("GOOGLETRANSLATE(B47,""en"",""de"")"),"Wann")</f>
        <v>Wann</v>
      </c>
      <c r="H47" s="2" t="str">
        <f ca="1">IFERROR(__xludf.DUMMYFUNCTION("GOOGLETRANSLATE(B47,""en"",""zh"")"),"什么时候")</f>
        <v>什么时候</v>
      </c>
      <c r="I47" s="2" t="str">
        <f ca="1">IFERROR(__xludf.DUMMYFUNCTION("GOOGLETRANSLATE(B47,""en"",""gd"")"),"cuin")</f>
        <v>cuin</v>
      </c>
    </row>
    <row r="48" spans="1:9" ht="14.25" customHeight="1" x14ac:dyDescent="0.3">
      <c r="A48" s="2">
        <v>47</v>
      </c>
      <c r="B48" s="3" t="s">
        <v>55</v>
      </c>
      <c r="C48" s="2" t="str">
        <f ca="1">IFERROR(__xludf.DUMMYFUNCTION("GOOGLETRANSLATE(B48, ""en"",""es"")"),"pensar")</f>
        <v>pensar</v>
      </c>
      <c r="D48" s="2" t="str">
        <f ca="1">IFERROR(__xludf.DUMMYFUNCTION("GOOGLETRANSLATE(B48,""en"",""ig"")"),"icho")</f>
        <v>icho</v>
      </c>
      <c r="E48" s="2" t="str">
        <f ca="1">IFERROR(__xludf.DUMMYFUNCTION("GOOGLETRANSLATE(B48,""en"",""fr"")"),"pense")</f>
        <v>pense</v>
      </c>
      <c r="F48" s="2" t="str">
        <f ca="1">IFERROR(__xludf.DUMMYFUNCTION("GOOGLETRANSLATE(B48,""en"",""it"")"),"pensare")</f>
        <v>pensare</v>
      </c>
      <c r="G48" s="2" t="str">
        <f ca="1">IFERROR(__xludf.DUMMYFUNCTION("GOOGLETRANSLATE(B48,""en"",""de"")"),"denken")</f>
        <v>denken</v>
      </c>
      <c r="H48" s="2" t="str">
        <f ca="1">IFERROR(__xludf.DUMMYFUNCTION("GOOGLETRANSLATE(B48,""en"",""zh"")"),"思考")</f>
        <v>思考</v>
      </c>
      <c r="I48" s="2" t="str">
        <f ca="1">IFERROR(__xludf.DUMMYFUNCTION("GOOGLETRANSLATE(B48,""en"",""gd"")"),"smaoinich")</f>
        <v>smaoinich</v>
      </c>
    </row>
    <row r="49" spans="1:9" ht="14.25" customHeight="1" x14ac:dyDescent="0.3">
      <c r="A49" s="2">
        <v>48</v>
      </c>
      <c r="B49" s="3" t="s">
        <v>56</v>
      </c>
      <c r="C49" s="2" t="str">
        <f ca="1">IFERROR(__xludf.DUMMYFUNCTION("GOOGLETRANSLATE(B49, ""en"",""es"")"),"hacer")</f>
        <v>hacer</v>
      </c>
      <c r="D49" s="2" t="str">
        <f ca="1">IFERROR(__xludf.DUMMYFUNCTION("GOOGLETRANSLATE(B49,""en"",""ig"")"),"ime")</f>
        <v>ime</v>
      </c>
      <c r="E49" s="2" t="str">
        <f ca="1">IFERROR(__xludf.DUMMYFUNCTION("GOOGLETRANSLATE(B49,""en"",""fr"")"),"faire")</f>
        <v>faire</v>
      </c>
      <c r="F49" s="2" t="str">
        <f ca="1">IFERROR(__xludf.DUMMYFUNCTION("GOOGLETRANSLATE(B49,""en"",""it"")"),"Fare")</f>
        <v>Fare</v>
      </c>
      <c r="G49" s="2" t="str">
        <f ca="1">IFERROR(__xludf.DUMMYFUNCTION("GOOGLETRANSLATE(B49,""en"",""de"")"),"machen")</f>
        <v>machen</v>
      </c>
      <c r="H49" s="2" t="str">
        <f ca="1">IFERROR(__xludf.DUMMYFUNCTION("GOOGLETRANSLATE(B49,""en"",""zh"")"),"制作")</f>
        <v>制作</v>
      </c>
      <c r="I49" s="2" t="str">
        <f ca="1">IFERROR(__xludf.DUMMYFUNCTION("GOOGLETRANSLATE(B49,""en"",""gd"")"),"dèan")</f>
        <v>dèan</v>
      </c>
    </row>
    <row r="50" spans="1:9" ht="14.25" customHeight="1" x14ac:dyDescent="0.3">
      <c r="A50" s="2">
        <v>49</v>
      </c>
      <c r="B50" s="3" t="s">
        <v>57</v>
      </c>
      <c r="C50" s="2" t="str">
        <f ca="1">IFERROR(__xludf.DUMMYFUNCTION("GOOGLETRANSLATE(B50, ""en"",""es"")"),"tiempo")</f>
        <v>tiempo</v>
      </c>
      <c r="D50" s="2" t="str">
        <f ca="1">IFERROR(__xludf.DUMMYFUNCTION("GOOGLETRANSLATE(B50,""en"",""ig"")"),"oge")</f>
        <v>oge</v>
      </c>
      <c r="E50" s="2" t="str">
        <f ca="1">IFERROR(__xludf.DUMMYFUNCTION("GOOGLETRANSLATE(B50,""en"",""fr"")"),"temps")</f>
        <v>temps</v>
      </c>
      <c r="F50" s="2" t="str">
        <f ca="1">IFERROR(__xludf.DUMMYFUNCTION("GOOGLETRANSLATE(B50,""en"",""it"")"),"tempo")</f>
        <v>tempo</v>
      </c>
      <c r="G50" s="2" t="str">
        <f ca="1">IFERROR(__xludf.DUMMYFUNCTION("GOOGLETRANSLATE(B50,""en"",""de"")"),"Zeit")</f>
        <v>Zeit</v>
      </c>
      <c r="H50" s="2" t="str">
        <f ca="1">IFERROR(__xludf.DUMMYFUNCTION("GOOGLETRANSLATE(B50,""en"",""zh"")"),"时间")</f>
        <v>时间</v>
      </c>
      <c r="I50" s="2" t="str">
        <f ca="1">IFERROR(__xludf.DUMMYFUNCTION("GOOGLETRANSLATE(B50,""en"",""gd"")"),"Ùine")</f>
        <v>Ùine</v>
      </c>
    </row>
    <row r="51" spans="1:9" ht="14.25" customHeight="1" x14ac:dyDescent="0.3">
      <c r="A51" s="2">
        <v>50</v>
      </c>
      <c r="B51" s="3" t="s">
        <v>58</v>
      </c>
      <c r="C51" s="2" t="str">
        <f ca="1">IFERROR(__xludf.DUMMYFUNCTION("GOOGLETRANSLATE(B51, ""en"",""es"")"),"ver")</f>
        <v>ver</v>
      </c>
      <c r="D51" s="2" t="str">
        <f ca="1">IFERROR(__xludf.DUMMYFUNCTION("GOOGLETRANSLATE(B51,""en"",""ig"")"),"ile")</f>
        <v>ile</v>
      </c>
      <c r="E51" s="2" t="str">
        <f ca="1">IFERROR(__xludf.DUMMYFUNCTION("GOOGLETRANSLATE(B51,""en"",""fr"")"),"voir")</f>
        <v>voir</v>
      </c>
      <c r="F51" s="2" t="str">
        <f ca="1">IFERROR(__xludf.DUMMYFUNCTION("GOOGLETRANSLATE(B51,""en"",""it"")"),"Vedere")</f>
        <v>Vedere</v>
      </c>
      <c r="G51" s="2" t="str">
        <f ca="1">IFERROR(__xludf.DUMMYFUNCTION("GOOGLETRANSLATE(B51,""en"",""de"")"),"sehen")</f>
        <v>sehen</v>
      </c>
      <c r="H51" s="2" t="str">
        <f ca="1">IFERROR(__xludf.DUMMYFUNCTION("GOOGLETRANSLATE(B51,""en"",""zh"")"),"看")</f>
        <v>看</v>
      </c>
      <c r="I51" s="2" t="str">
        <f ca="1">IFERROR(__xludf.DUMMYFUNCTION("GOOGLETRANSLATE(B51,""en"",""gd"")"),"faic")</f>
        <v>faic</v>
      </c>
    </row>
    <row r="52" spans="1:9" ht="14.25" customHeight="1" x14ac:dyDescent="0.3">
      <c r="A52" s="2">
        <v>51</v>
      </c>
      <c r="B52" s="3" t="s">
        <v>59</v>
      </c>
      <c r="C52" s="2" t="str">
        <f ca="1">IFERROR(__xludf.DUMMYFUNCTION("GOOGLETRANSLATE(B52, ""en"",""es"")"),"qué")</f>
        <v>qué</v>
      </c>
      <c r="D52" s="2" t="str">
        <f ca="1">IFERROR(__xludf.DUMMYFUNCTION("GOOGLETRANSLATE(B52,""en"",""ig"")"),"Kedu")</f>
        <v>Kedu</v>
      </c>
      <c r="E52" s="2" t="str">
        <f ca="1">IFERROR(__xludf.DUMMYFUNCTION("GOOGLETRANSLATE(B52,""en"",""fr"")"),"quoi")</f>
        <v>quoi</v>
      </c>
      <c r="F52" s="2" t="str">
        <f ca="1">IFERROR(__xludf.DUMMYFUNCTION("GOOGLETRANSLATE(B52,""en"",""it"")"),"Che cosa")</f>
        <v>Che cosa</v>
      </c>
      <c r="G52" s="2" t="str">
        <f ca="1">IFERROR(__xludf.DUMMYFUNCTION("GOOGLETRANSLATE(B52,""en"",""de"")"),"Was")</f>
        <v>Was</v>
      </c>
      <c r="H52" s="2" t="str">
        <f ca="1">IFERROR(__xludf.DUMMYFUNCTION("GOOGLETRANSLATE(B52,""en"",""zh"")"),"什么")</f>
        <v>什么</v>
      </c>
      <c r="I52" s="2" t="str">
        <f ca="1">IFERROR(__xludf.DUMMYFUNCTION("GOOGLETRANSLATE(B52,""en"",""gd"")"),"dè")</f>
        <v>dè</v>
      </c>
    </row>
    <row r="53" spans="1:9" ht="14.25" customHeight="1" x14ac:dyDescent="0.3">
      <c r="A53" s="2">
        <v>52</v>
      </c>
      <c r="B53" s="3" t="s">
        <v>60</v>
      </c>
      <c r="C53" s="2" t="str">
        <f ca="1">IFERROR(__xludf.DUMMYFUNCTION("GOOGLETRANSLATE(B53, ""en"",""es"")"),"arriba")</f>
        <v>arriba</v>
      </c>
      <c r="D53" s="2" t="str">
        <f ca="1">IFERROR(__xludf.DUMMYFUNCTION("GOOGLETRANSLATE(B53,""en"",""ig"")"),"elu")</f>
        <v>elu</v>
      </c>
      <c r="E53" s="2" t="str">
        <f ca="1">IFERROR(__xludf.DUMMYFUNCTION("GOOGLETRANSLATE(B53,""en"",""fr"")"),"en haut")</f>
        <v>en haut</v>
      </c>
      <c r="F53" s="2" t="str">
        <f ca="1">IFERROR(__xludf.DUMMYFUNCTION("GOOGLETRANSLATE(B53,""en"",""it"")"),"su")</f>
        <v>su</v>
      </c>
      <c r="G53" s="2" t="str">
        <f ca="1">IFERROR(__xludf.DUMMYFUNCTION("GOOGLETRANSLATE(B53,""en"",""de"")"),"hoch")</f>
        <v>hoch</v>
      </c>
      <c r="H53" s="2" t="str">
        <f ca="1">IFERROR(__xludf.DUMMYFUNCTION("GOOGLETRANSLATE(B53,""en"",""zh"")"),"向上")</f>
        <v>向上</v>
      </c>
      <c r="I53" s="2" t="str">
        <f ca="1">IFERROR(__xludf.DUMMYFUNCTION("GOOGLETRANSLATE(B53,""en"",""gd"")"),"suas")</f>
        <v>suas</v>
      </c>
    </row>
    <row r="54" spans="1:9" ht="14.25" customHeight="1" x14ac:dyDescent="0.3">
      <c r="A54" s="2">
        <v>53</v>
      </c>
      <c r="B54" s="3" t="s">
        <v>61</v>
      </c>
      <c r="C54" s="2" t="str">
        <f ca="1">IFERROR(__xludf.DUMMYFUNCTION("GOOGLETRANSLATE(B54, ""en"",""es"")"),"alguno")</f>
        <v>alguno</v>
      </c>
      <c r="D54" s="2" t="str">
        <f ca="1">IFERROR(__xludf.DUMMYFUNCTION("GOOGLETRANSLATE(B54,""en"",""ig"")"),"ufodu")</f>
        <v>ufodu</v>
      </c>
      <c r="E54" s="2" t="str">
        <f ca="1">IFERROR(__xludf.DUMMYFUNCTION("GOOGLETRANSLATE(B54,""en"",""fr"")"),"quelques")</f>
        <v>quelques</v>
      </c>
      <c r="F54" s="2" t="str">
        <f ca="1">IFERROR(__xludf.DUMMYFUNCTION("GOOGLETRANSLATE(B54,""en"",""it"")"),"Alcuni")</f>
        <v>Alcuni</v>
      </c>
      <c r="G54" s="2" t="str">
        <f ca="1">IFERROR(__xludf.DUMMYFUNCTION("GOOGLETRANSLATE(B54,""en"",""de"")"),"manche")</f>
        <v>manche</v>
      </c>
      <c r="H54" s="2" t="str">
        <f ca="1">IFERROR(__xludf.DUMMYFUNCTION("GOOGLETRANSLATE(B54,""en"",""zh"")"),"一些")</f>
        <v>一些</v>
      </c>
      <c r="I54" s="2" t="str">
        <f ca="1">IFERROR(__xludf.DUMMYFUNCTION("GOOGLETRANSLATE(B54,""en"",""gd"")"),"cuid")</f>
        <v>cuid</v>
      </c>
    </row>
    <row r="55" spans="1:9" ht="14.25" customHeight="1" x14ac:dyDescent="0.3">
      <c r="A55" s="2">
        <v>54</v>
      </c>
      <c r="B55" s="3" t="s">
        <v>62</v>
      </c>
      <c r="C55" s="2" t="str">
        <f ca="1">IFERROR(__xludf.DUMMYFUNCTION("GOOGLETRANSLATE(B55, ""en"",""es"")"),"otro")</f>
        <v>otro</v>
      </c>
      <c r="D55" s="2" t="str">
        <f ca="1">IFERROR(__xludf.DUMMYFUNCTION("GOOGLETRANSLATE(B55,""en"",""ig"")"),"nke ozo")</f>
        <v>nke ozo</v>
      </c>
      <c r="E55" s="2" t="str">
        <f ca="1">IFERROR(__xludf.DUMMYFUNCTION("GOOGLETRANSLATE(B55,""en"",""fr"")"),"autre")</f>
        <v>autre</v>
      </c>
      <c r="F55" s="2" t="str">
        <f ca="1">IFERROR(__xludf.DUMMYFUNCTION("GOOGLETRANSLATE(B55,""en"",""it"")"),"altro")</f>
        <v>altro</v>
      </c>
      <c r="G55" s="2" t="str">
        <f ca="1">IFERROR(__xludf.DUMMYFUNCTION("GOOGLETRANSLATE(B55,""en"",""de"")"),"andere")</f>
        <v>andere</v>
      </c>
      <c r="H55" s="2" t="str">
        <f ca="1">IFERROR(__xludf.DUMMYFUNCTION("GOOGLETRANSLATE(B55,""en"",""zh"")"),"其他")</f>
        <v>其他</v>
      </c>
      <c r="I55" s="2" t="str">
        <f ca="1">IFERROR(__xludf.DUMMYFUNCTION("GOOGLETRANSLATE(B55,""en"",""gd"")"),"eile")</f>
        <v>eile</v>
      </c>
    </row>
    <row r="56" spans="1:9" ht="14.25" customHeight="1" x14ac:dyDescent="0.3">
      <c r="A56" s="2">
        <v>55</v>
      </c>
      <c r="B56" s="3" t="s">
        <v>63</v>
      </c>
      <c r="C56" s="2" t="str">
        <f ca="1">IFERROR(__xludf.DUMMYFUNCTION("GOOGLETRANSLATE(B56, ""en"",""es"")"),"afuera")</f>
        <v>afuera</v>
      </c>
      <c r="D56" s="2" t="str">
        <f ca="1">IFERROR(__xludf.DUMMYFUNCTION("GOOGLETRANSLATE(B56,""en"",""ig"")"),"anoghi")</f>
        <v>anoghi</v>
      </c>
      <c r="E56" s="2" t="str">
        <f ca="1">IFERROR(__xludf.DUMMYFUNCTION("GOOGLETRANSLATE(B56,""en"",""fr"")"),"dehors")</f>
        <v>dehors</v>
      </c>
      <c r="F56" s="2" t="str">
        <f ca="1">IFERROR(__xludf.DUMMYFUNCTION("GOOGLETRANSLATE(B56,""en"",""it"")"),"fuori")</f>
        <v>fuori</v>
      </c>
      <c r="G56" s="2" t="str">
        <f ca="1">IFERROR(__xludf.DUMMYFUNCTION("GOOGLETRANSLATE(B56,""en"",""de"")"),"aus")</f>
        <v>aus</v>
      </c>
      <c r="H56" s="2" t="str">
        <f ca="1">IFERROR(__xludf.DUMMYFUNCTION("GOOGLETRANSLATE(B56,""en"",""zh"")"),"出去")</f>
        <v>出去</v>
      </c>
      <c r="I56" s="2" t="str">
        <f ca="1">IFERROR(__xludf.DUMMYFUNCTION("GOOGLETRANSLATE(B56,""en"",""gd"")"),"a-mach")</f>
        <v>a-mach</v>
      </c>
    </row>
    <row r="57" spans="1:9" ht="14.25" customHeight="1" x14ac:dyDescent="0.3">
      <c r="A57" s="2">
        <v>56</v>
      </c>
      <c r="B57" s="3" t="s">
        <v>64</v>
      </c>
      <c r="C57" s="2" t="str">
        <f ca="1">IFERROR(__xludf.DUMMYFUNCTION("GOOGLETRANSLATE(B57, ""en"",""es"")"),"bien")</f>
        <v>bien</v>
      </c>
      <c r="D57" s="2" t="str">
        <f ca="1">IFERROR(__xludf.DUMMYFUNCTION("GOOGLETRANSLATE(B57,""en"",""ig"")"),"keoma")</f>
        <v>keoma</v>
      </c>
      <c r="E57" s="2" t="str">
        <f ca="1">IFERROR(__xludf.DUMMYFUNCTION("GOOGLETRANSLATE(B57,""en"",""fr"")"),"bien")</f>
        <v>bien</v>
      </c>
      <c r="F57" s="2" t="str">
        <f ca="1">IFERROR(__xludf.DUMMYFUNCTION("GOOGLETRANSLATE(B57,""en"",""it"")"),"Bene")</f>
        <v>Bene</v>
      </c>
      <c r="G57" s="2" t="str">
        <f ca="1">IFERROR(__xludf.DUMMYFUNCTION("GOOGLETRANSLATE(B57,""en"",""de"")"),"Gut")</f>
        <v>Gut</v>
      </c>
      <c r="H57" s="2" t="str">
        <f ca="1">IFERROR(__xludf.DUMMYFUNCTION("GOOGLETRANSLATE(B57,""en"",""zh"")"),"好的")</f>
        <v>好的</v>
      </c>
      <c r="I57" s="2" t="str">
        <f ca="1">IFERROR(__xludf.DUMMYFUNCTION("GOOGLETRANSLATE(B57,""en"",""gd"")"),"math")</f>
        <v>math</v>
      </c>
    </row>
    <row r="58" spans="1:9" ht="14.25" customHeight="1" x14ac:dyDescent="0.3">
      <c r="A58" s="2">
        <v>57</v>
      </c>
      <c r="B58" s="3" t="s">
        <v>65</v>
      </c>
      <c r="C58" s="2" t="str">
        <f ca="1">IFERROR(__xludf.DUMMYFUNCTION("GOOGLETRANSLATE(B58, ""en"",""es"")"),"gente")</f>
        <v>gente</v>
      </c>
      <c r="D58" s="2" t="str">
        <f ca="1">IFERROR(__xludf.DUMMYFUNCTION("GOOGLETRANSLATE(B58,""en"",""ig"")"),"ndi mmadu")</f>
        <v>ndi mmadu</v>
      </c>
      <c r="E58" s="2" t="str">
        <f ca="1">IFERROR(__xludf.DUMMYFUNCTION("GOOGLETRANSLATE(B58,""en"",""fr"")"),"personnes")</f>
        <v>personnes</v>
      </c>
      <c r="F58" s="2" t="str">
        <f ca="1">IFERROR(__xludf.DUMMYFUNCTION("GOOGLETRANSLATE(B58,""en"",""it"")"),"persone")</f>
        <v>persone</v>
      </c>
      <c r="G58" s="2" t="str">
        <f ca="1">IFERROR(__xludf.DUMMYFUNCTION("GOOGLETRANSLATE(B58,""en"",""de"")"),"Menschen")</f>
        <v>Menschen</v>
      </c>
      <c r="H58" s="2" t="str">
        <f ca="1">IFERROR(__xludf.DUMMYFUNCTION("GOOGLETRANSLATE(B58,""en"",""zh"")"),"人们")</f>
        <v>人们</v>
      </c>
      <c r="I58" s="2" t="str">
        <f ca="1">IFERROR(__xludf.DUMMYFUNCTION("GOOGLETRANSLATE(B58,""en"",""gd"")"),"Daoine")</f>
        <v>Daoine</v>
      </c>
    </row>
    <row r="59" spans="1:9" ht="14.25" customHeight="1" x14ac:dyDescent="0.3">
      <c r="A59" s="2">
        <v>58</v>
      </c>
      <c r="B59" s="3" t="s">
        <v>66</v>
      </c>
      <c r="C59" s="2" t="str">
        <f ca="1">IFERROR(__xludf.DUMMYFUNCTION("GOOGLETRANSLATE(B59, ""en"",""es"")"),"año")</f>
        <v>año</v>
      </c>
      <c r="D59" s="2" t="str">
        <f ca="1">IFERROR(__xludf.DUMMYFUNCTION("GOOGLETRANSLATE(B59,""en"",""ig"")"),"afo")</f>
        <v>afo</v>
      </c>
      <c r="E59" s="2" t="str">
        <f ca="1">IFERROR(__xludf.DUMMYFUNCTION("GOOGLETRANSLATE(B59,""en"",""fr"")"),"année")</f>
        <v>année</v>
      </c>
      <c r="F59" s="2" t="str">
        <f ca="1">IFERROR(__xludf.DUMMYFUNCTION("GOOGLETRANSLATE(B59,""en"",""it"")"),"anno")</f>
        <v>anno</v>
      </c>
      <c r="G59" s="2" t="str">
        <f ca="1">IFERROR(__xludf.DUMMYFUNCTION("GOOGLETRANSLATE(B59,""en"",""de"")"),"Jahr")</f>
        <v>Jahr</v>
      </c>
      <c r="H59" s="2" t="str">
        <f ca="1">IFERROR(__xludf.DUMMYFUNCTION("GOOGLETRANSLATE(B59,""en"",""zh"")"),"年")</f>
        <v>年</v>
      </c>
      <c r="I59" s="2" t="str">
        <f ca="1">IFERROR(__xludf.DUMMYFUNCTION("GOOGLETRANSLATE(B59,""en"",""gd"")"),"bliadhna")</f>
        <v>bliadhna</v>
      </c>
    </row>
    <row r="60" spans="1:9" ht="14.25" customHeight="1" x14ac:dyDescent="0.3">
      <c r="A60" s="2">
        <v>59</v>
      </c>
      <c r="B60" s="3" t="s">
        <v>67</v>
      </c>
      <c r="C60" s="2" t="str">
        <f ca="1">IFERROR(__xludf.DUMMYFUNCTION("GOOGLETRANSLATE(B60, ""en"",""es"")"),"llevar")</f>
        <v>llevar</v>
      </c>
      <c r="D60" s="2" t="str">
        <f ca="1">IFERROR(__xludf.DUMMYFUNCTION("GOOGLETRANSLATE(B60,""en"",""ig"")"),"iburu")</f>
        <v>iburu</v>
      </c>
      <c r="E60" s="2" t="str">
        <f ca="1">IFERROR(__xludf.DUMMYFUNCTION("GOOGLETRANSLATE(B60,""en"",""fr"")"),"prendre")</f>
        <v>prendre</v>
      </c>
      <c r="F60" s="2" t="str">
        <f ca="1">IFERROR(__xludf.DUMMYFUNCTION("GOOGLETRANSLATE(B60,""en"",""it"")"),"Prendere")</f>
        <v>Prendere</v>
      </c>
      <c r="G60" s="2" t="str">
        <f ca="1">IFERROR(__xludf.DUMMYFUNCTION("GOOGLETRANSLATE(B60,""en"",""de"")"),"nehmen")</f>
        <v>nehmen</v>
      </c>
      <c r="H60" s="2" t="str">
        <f ca="1">IFERROR(__xludf.DUMMYFUNCTION("GOOGLETRANSLATE(B60,""en"",""zh"")"),"拿")</f>
        <v>拿</v>
      </c>
      <c r="I60" s="2" t="str">
        <f ca="1">IFERROR(__xludf.DUMMYFUNCTION("GOOGLETRANSLATE(B60,""en"",""gd"")"),"gabh")</f>
        <v>gabh</v>
      </c>
    </row>
    <row r="61" spans="1:9" ht="14.25" customHeight="1" x14ac:dyDescent="0.3">
      <c r="A61" s="2">
        <v>60</v>
      </c>
      <c r="B61" s="3" t="s">
        <v>68</v>
      </c>
      <c r="C61" s="2" t="str">
        <f ca="1">IFERROR(__xludf.DUMMYFUNCTION("GOOGLETRANSLATE(B61, ""en"",""es"")"),"No")</f>
        <v>No</v>
      </c>
      <c r="D61" s="2" t="str">
        <f ca="1">IFERROR(__xludf.DUMMYFUNCTION("GOOGLETRANSLATE(B61,""en"",""ig"")"),"mba")</f>
        <v>mba</v>
      </c>
      <c r="E61" s="2" t="str">
        <f ca="1">IFERROR(__xludf.DUMMYFUNCTION("GOOGLETRANSLATE(B61,""en"",""fr"")"),"Non")</f>
        <v>Non</v>
      </c>
      <c r="F61" s="2" t="str">
        <f ca="1">IFERROR(__xludf.DUMMYFUNCTION("GOOGLETRANSLATE(B61,""en"",""it"")"),"NO")</f>
        <v>NO</v>
      </c>
      <c r="G61" s="2" t="str">
        <f ca="1">IFERROR(__xludf.DUMMYFUNCTION("GOOGLETRANSLATE(B61,""en"",""de"")"),"NEIN")</f>
        <v>NEIN</v>
      </c>
      <c r="H61" s="2" t="str">
        <f ca="1">IFERROR(__xludf.DUMMYFUNCTION("GOOGLETRANSLATE(B61,""en"",""zh"")"),"不")</f>
        <v>不</v>
      </c>
      <c r="I61" s="2" t="str">
        <f ca="1">IFERROR(__xludf.DUMMYFUNCTION("GOOGLETRANSLATE(B61,""en"",""gd"")"),"Chan eil")</f>
        <v>Chan eil</v>
      </c>
    </row>
    <row r="62" spans="1:9" ht="14.25" customHeight="1" x14ac:dyDescent="0.3">
      <c r="A62" s="2">
        <v>61</v>
      </c>
      <c r="B62" s="3" t="s">
        <v>69</v>
      </c>
      <c r="C62" s="2" t="str">
        <f ca="1">IFERROR(__xludf.DUMMYFUNCTION("GOOGLETRANSLATE(B62, ""en"",""es"")"),"Bueno")</f>
        <v>Bueno</v>
      </c>
      <c r="D62" s="2" t="str">
        <f ca="1">IFERROR(__xludf.DUMMYFUNCTION("GOOGLETRANSLATE(B62,""en"",""ig"")"),"mmezi mma")</f>
        <v>mmezi mma</v>
      </c>
      <c r="E62" s="2" t="str">
        <f ca="1">IFERROR(__xludf.DUMMYFUNCTION("GOOGLETRANSLATE(B62,""en"",""fr"")"),"Bien")</f>
        <v>Bien</v>
      </c>
      <c r="F62" s="2" t="str">
        <f ca="1">IFERROR(__xludf.DUMMYFUNCTION("GOOGLETRANSLATE(B62,""en"",""it"")"),"BENE")</f>
        <v>BENE</v>
      </c>
      <c r="G62" s="2" t="str">
        <f ca="1">IFERROR(__xludf.DUMMYFUNCTION("GOOGLETRANSLATE(B62,""en"",""de"")"),"Also")</f>
        <v>Also</v>
      </c>
      <c r="H62" s="2" t="str">
        <f ca="1">IFERROR(__xludf.DUMMYFUNCTION("GOOGLETRANSLATE(B62,""en"",""zh"")"),"出色地")</f>
        <v>出色地</v>
      </c>
      <c r="I62" s="2" t="str">
        <f ca="1">IFERROR(__xludf.DUMMYFUNCTION("GOOGLETRANSLATE(B62,""en"",""gd"")"),"gu math")</f>
        <v>gu math</v>
      </c>
    </row>
    <row r="63" spans="1:9" ht="14.25" customHeight="1" x14ac:dyDescent="0.3">
      <c r="A63" s="2">
        <v>62</v>
      </c>
      <c r="B63" s="3" t="s">
        <v>70</v>
      </c>
      <c r="C63" s="2" t="str">
        <f ca="1">IFERROR(__xludf.DUMMYFUNCTION("GOOGLETRANSLATE(B63, ""en"",""es"")"),"porque")</f>
        <v>porque</v>
      </c>
      <c r="D63" s="2" t="str">
        <f ca="1">IFERROR(__xludf.DUMMYFUNCTION("GOOGLETRANSLATE(B63,""en"",""ig"")"),"maka")</f>
        <v>maka</v>
      </c>
      <c r="E63" s="2" t="str">
        <f ca="1">IFERROR(__xludf.DUMMYFUNCTION("GOOGLETRANSLATE(B63,""en"",""fr"")"),"parce que")</f>
        <v>parce que</v>
      </c>
      <c r="F63" s="2" t="str">
        <f ca="1">IFERROR(__xludf.DUMMYFUNCTION("GOOGLETRANSLATE(B63,""en"",""it"")"),"Perché")</f>
        <v>Perché</v>
      </c>
      <c r="G63" s="2" t="str">
        <f ca="1">IFERROR(__xludf.DUMMYFUNCTION("GOOGLETRANSLATE(B63,""en"",""de"")"),"Weil")</f>
        <v>Weil</v>
      </c>
      <c r="H63" s="2" t="str">
        <f ca="1">IFERROR(__xludf.DUMMYFUNCTION("GOOGLETRANSLATE(B63,""en"",""zh"")"),"因为")</f>
        <v>因为</v>
      </c>
      <c r="I63" s="2" t="str">
        <f ca="1">IFERROR(__xludf.DUMMYFUNCTION("GOOGLETRANSLATE(B63,""en"",""gd"")"),"air sgàth")</f>
        <v>air sgàth</v>
      </c>
    </row>
    <row r="64" spans="1:9" ht="14.25" customHeight="1" x14ac:dyDescent="0.3">
      <c r="A64" s="2">
        <v>63</v>
      </c>
      <c r="B64" s="3" t="s">
        <v>71</v>
      </c>
      <c r="C64" s="2" t="str">
        <f ca="1">IFERROR(__xludf.DUMMYFUNCTION("GOOGLETRANSLATE(B64, ""en"",""es"")"),"muy")</f>
        <v>muy</v>
      </c>
      <c r="D64" s="2" t="str">
        <f ca="1">IFERROR(__xludf.DUMMYFUNCTION("GOOGLETRANSLATE(B64,""en"",""ig"")"),"ukwu")</f>
        <v>ukwu</v>
      </c>
      <c r="E64" s="2" t="str">
        <f ca="1">IFERROR(__xludf.DUMMYFUNCTION("GOOGLETRANSLATE(B64,""en"",""fr"")"),"très")</f>
        <v>très</v>
      </c>
      <c r="F64" s="2" t="str">
        <f ca="1">IFERROR(__xludf.DUMMYFUNCTION("GOOGLETRANSLATE(B64,""en"",""it"")"),"molto")</f>
        <v>molto</v>
      </c>
      <c r="G64" s="2" t="str">
        <f ca="1">IFERROR(__xludf.DUMMYFUNCTION("GOOGLETRANSLATE(B64,""en"",""de"")"),"sehr")</f>
        <v>sehr</v>
      </c>
      <c r="H64" s="2" t="str">
        <f ca="1">IFERROR(__xludf.DUMMYFUNCTION("GOOGLETRANSLATE(B64,""en"",""zh"")"),"非常")</f>
        <v>非常</v>
      </c>
      <c r="I64" s="2" t="str">
        <f ca="1">IFERROR(__xludf.DUMMYFUNCTION("GOOGLETRANSLATE(B64,""en"",""gd"")"),"glè")</f>
        <v>glè</v>
      </c>
    </row>
    <row r="65" spans="1:9" ht="14.25" customHeight="1" x14ac:dyDescent="0.3">
      <c r="A65" s="2">
        <v>64</v>
      </c>
      <c r="B65" s="3" t="s">
        <v>72</v>
      </c>
      <c r="C65" s="2" t="str">
        <f ca="1">IFERROR(__xludf.DUMMYFUNCTION("GOOGLETRANSLATE(B65, ""en"",""es"")"),"justo")</f>
        <v>justo</v>
      </c>
      <c r="D65" s="2" t="str">
        <f ca="1">IFERROR(__xludf.DUMMYFUNCTION("GOOGLETRANSLATE(B65,""en"",""ig"")"),"sonso")</f>
        <v>sonso</v>
      </c>
      <c r="E65" s="2" t="str">
        <f ca="1">IFERROR(__xludf.DUMMYFUNCTION("GOOGLETRANSLATE(B65,""en"",""fr"")"),"juste")</f>
        <v>juste</v>
      </c>
      <c r="F65" s="2" t="str">
        <f ca="1">IFERROR(__xludf.DUMMYFUNCTION("GOOGLETRANSLATE(B65,""en"",""it"")"),"Appena")</f>
        <v>Appena</v>
      </c>
      <c r="G65" s="2" t="str">
        <f ca="1">IFERROR(__xludf.DUMMYFUNCTION("GOOGLETRANSLATE(B65,""en"",""de"")"),"Nur")</f>
        <v>Nur</v>
      </c>
      <c r="H65" s="2" t="str">
        <f ca="1">IFERROR(__xludf.DUMMYFUNCTION("GOOGLETRANSLATE(B65,""en"",""zh"")"),"只是")</f>
        <v>只是</v>
      </c>
      <c r="I65" s="2" t="str">
        <f ca="1">IFERROR(__xludf.DUMMYFUNCTION("GOOGLETRANSLATE(B65,""en"",""gd"")"),"dìreach")</f>
        <v>dìreach</v>
      </c>
    </row>
    <row r="66" spans="1:9" ht="14.25" customHeight="1" x14ac:dyDescent="0.3">
      <c r="A66" s="2">
        <v>65</v>
      </c>
      <c r="B66" s="3" t="s">
        <v>73</v>
      </c>
      <c r="C66" s="2" t="str">
        <f ca="1">IFERROR(__xludf.DUMMYFUNCTION("GOOGLETRANSLATE(B66, ""en"",""es"")"),"venir")</f>
        <v>venir</v>
      </c>
      <c r="D66" s="2" t="str">
        <f ca="1">IFERROR(__xludf.DUMMYFUNCTION("GOOGLETRANSLATE(B66,""en"",""ig"")"),"bia")</f>
        <v>bia</v>
      </c>
      <c r="E66" s="2" t="str">
        <f ca="1">IFERROR(__xludf.DUMMYFUNCTION("GOOGLETRANSLATE(B66,""en"",""fr"")"),"viens")</f>
        <v>viens</v>
      </c>
      <c r="F66" s="2" t="str">
        <f ca="1">IFERROR(__xludf.DUMMYFUNCTION("GOOGLETRANSLATE(B66,""en"",""it"")"),"Venire")</f>
        <v>Venire</v>
      </c>
      <c r="G66" s="2" t="str">
        <f ca="1">IFERROR(__xludf.DUMMYFUNCTION("GOOGLETRANSLATE(B66,""en"",""de"")"),"kommen")</f>
        <v>kommen</v>
      </c>
      <c r="H66" s="2" t="str">
        <f ca="1">IFERROR(__xludf.DUMMYFUNCTION("GOOGLETRANSLATE(B66,""en"",""zh"")"),"来")</f>
        <v>来</v>
      </c>
      <c r="I66" s="2" t="str">
        <f ca="1">IFERROR(__xludf.DUMMYFUNCTION("GOOGLETRANSLATE(B66,""en"",""gd"")"),"thig")</f>
        <v>thig</v>
      </c>
    </row>
    <row r="67" spans="1:9" ht="14.25" customHeight="1" x14ac:dyDescent="0.3">
      <c r="A67" s="2">
        <v>66</v>
      </c>
      <c r="B67" s="3" t="s">
        <v>74</v>
      </c>
      <c r="C67" s="2" t="str">
        <f ca="1">IFERROR(__xludf.DUMMYFUNCTION("GOOGLETRANSLATE(B67, ""en"",""es"")"),"podría")</f>
        <v>podría</v>
      </c>
      <c r="D67" s="2" t="str">
        <f ca="1">IFERROR(__xludf.DUMMYFUNCTION("GOOGLETRANSLATE(B67,""en"",""ig"")"),"ikwere")</f>
        <v>ikwere</v>
      </c>
      <c r="E67" s="2" t="str">
        <f ca="1">IFERROR(__xludf.DUMMYFUNCTION("GOOGLETRANSLATE(B67,""en"",""fr"")"),"pourrait")</f>
        <v>pourrait</v>
      </c>
      <c r="F67" s="2" t="str">
        <f ca="1">IFERROR(__xludf.DUMMYFUNCTION("GOOGLETRANSLATE(B67,""en"",""it"")"),"Potevo")</f>
        <v>Potevo</v>
      </c>
      <c r="G67" s="2" t="str">
        <f ca="1">IFERROR(__xludf.DUMMYFUNCTION("GOOGLETRANSLATE(B67,""en"",""de"")"),"könnte")</f>
        <v>könnte</v>
      </c>
      <c r="H67" s="2" t="str">
        <f ca="1">IFERROR(__xludf.DUMMYFUNCTION("GOOGLETRANSLATE(B67,""en"",""zh"")"),"可以")</f>
        <v>可以</v>
      </c>
      <c r="I67" s="2" t="str">
        <f ca="1">IFERROR(__xludf.DUMMYFUNCTION("GOOGLETRANSLATE(B67,""en"",""gd"")"),"b 'urrainn")</f>
        <v>b 'urrainn</v>
      </c>
    </row>
    <row r="68" spans="1:9" ht="14.25" customHeight="1" x14ac:dyDescent="0.3">
      <c r="A68" s="2">
        <v>67</v>
      </c>
      <c r="B68" s="3" t="s">
        <v>75</v>
      </c>
      <c r="C68" s="2" t="str">
        <f ca="1">IFERROR(__xludf.DUMMYFUNCTION("GOOGLETRANSLATE(B68, ""en"",""es"")"),"trabajar")</f>
        <v>trabajar</v>
      </c>
      <c r="D68" s="2" t="str">
        <f ca="1">IFERROR(__xludf.DUMMYFUNCTION("GOOGLETRANSLATE(B68,""en"",""ig"")"),"oru")</f>
        <v>oru</v>
      </c>
      <c r="E68" s="2" t="str">
        <f ca="1">IFERROR(__xludf.DUMMYFUNCTION("GOOGLETRANSLATE(B68,""en"",""fr"")"),"travail")</f>
        <v>travail</v>
      </c>
      <c r="F68" s="2" t="str">
        <f ca="1">IFERROR(__xludf.DUMMYFUNCTION("GOOGLETRANSLATE(B68,""en"",""it"")"),"lavoro")</f>
        <v>lavoro</v>
      </c>
      <c r="G68" s="2" t="str">
        <f ca="1">IFERROR(__xludf.DUMMYFUNCTION("GOOGLETRANSLATE(B68,""en"",""de"")"),"arbeiten")</f>
        <v>arbeiten</v>
      </c>
      <c r="H68" s="2" t="str">
        <f ca="1">IFERROR(__xludf.DUMMYFUNCTION("GOOGLETRANSLATE(B68,""en"",""zh"")"),"工作")</f>
        <v>工作</v>
      </c>
      <c r="I68" s="2" t="str">
        <f ca="1">IFERROR(__xludf.DUMMYFUNCTION("GOOGLETRANSLATE(B68,""en"",""gd"")"),"obair")</f>
        <v>obair</v>
      </c>
    </row>
    <row r="69" spans="1:9" ht="14.25" customHeight="1" x14ac:dyDescent="0.3">
      <c r="A69" s="2">
        <v>68</v>
      </c>
      <c r="B69" s="3" t="s">
        <v>76</v>
      </c>
      <c r="C69" s="2" t="str">
        <f ca="1">IFERROR(__xludf.DUMMYFUNCTION("GOOGLETRANSLATE(B69, ""en"",""es"")"),"usar")</f>
        <v>usar</v>
      </c>
      <c r="D69" s="2" t="str">
        <f ca="1">IFERROR(__xludf.DUMMYFUNCTION("GOOGLETRANSLATE(B69,""en"",""ig"")"),"mwere")</f>
        <v>mwere</v>
      </c>
      <c r="E69" s="2" t="str">
        <f ca="1">IFERROR(__xludf.DUMMYFUNCTION("GOOGLETRANSLATE(B69,""en"",""fr"")"),"utiliser")</f>
        <v>utiliser</v>
      </c>
      <c r="F69" s="2" t="str">
        <f ca="1">IFERROR(__xludf.DUMMYFUNCTION("GOOGLETRANSLATE(B69,""en"",""it"")"),"utilizzo")</f>
        <v>utilizzo</v>
      </c>
      <c r="G69" s="2" t="str">
        <f ca="1">IFERROR(__xludf.DUMMYFUNCTION("GOOGLETRANSLATE(B69,""en"",""de"")"),"verwenden")</f>
        <v>verwenden</v>
      </c>
      <c r="H69" s="2" t="str">
        <f ca="1">IFERROR(__xludf.DUMMYFUNCTION("GOOGLETRANSLATE(B69,""en"",""zh"")"),"使用")</f>
        <v>使用</v>
      </c>
      <c r="I69" s="2" t="str">
        <f ca="1">IFERROR(__xludf.DUMMYFUNCTION("GOOGLETRANSLATE(B69,""en"",""gd"")"),"cleachdadh")</f>
        <v>cleachdadh</v>
      </c>
    </row>
    <row r="70" spans="1:9" ht="14.25" customHeight="1" x14ac:dyDescent="0.3">
      <c r="A70" s="2">
        <v>69</v>
      </c>
      <c r="B70" s="3" t="s">
        <v>77</v>
      </c>
      <c r="C70" s="2" t="str">
        <f ca="1">IFERROR(__xludf.DUMMYFUNCTION("GOOGLETRANSLATE(B70, ""en"",""es"")"),"que")</f>
        <v>que</v>
      </c>
      <c r="D70" s="2" t="str">
        <f ca="1">IFERROR(__xludf.DUMMYFUNCTION("GOOGLETRANSLATE(B70,""en"",""ig"")"),"ka")</f>
        <v>ka</v>
      </c>
      <c r="E70" s="2" t="str">
        <f ca="1">IFERROR(__xludf.DUMMYFUNCTION("GOOGLETRANSLATE(B70,""en"",""fr"")"),"que")</f>
        <v>que</v>
      </c>
      <c r="F70" s="2" t="str">
        <f ca="1">IFERROR(__xludf.DUMMYFUNCTION("GOOGLETRANSLATE(B70,""en"",""it"")"),"di")</f>
        <v>di</v>
      </c>
      <c r="G70" s="2" t="str">
        <f ca="1">IFERROR(__xludf.DUMMYFUNCTION("GOOGLETRANSLATE(B70,""en"",""de"")"),"als")</f>
        <v>als</v>
      </c>
      <c r="H70" s="2" t="str">
        <f ca="1">IFERROR(__xludf.DUMMYFUNCTION("GOOGLETRANSLATE(B70,""en"",""zh"")"),"比")</f>
        <v>比</v>
      </c>
      <c r="I70" s="2" t="str">
        <f ca="1">IFERROR(__xludf.DUMMYFUNCTION("GOOGLETRANSLATE(B70,""en"",""gd"")"),"na")</f>
        <v>na</v>
      </c>
    </row>
    <row r="71" spans="1:9" ht="14.25" customHeight="1" x14ac:dyDescent="0.3">
      <c r="A71" s="2">
        <v>70</v>
      </c>
      <c r="B71" s="3" t="s">
        <v>78</v>
      </c>
      <c r="C71" s="2" t="str">
        <f ca="1">IFERROR(__xludf.DUMMYFUNCTION("GOOGLETRANSLATE(B71, ""en"",""es"")"),"ahora")</f>
        <v>ahora</v>
      </c>
      <c r="D71" s="2" t="str">
        <f ca="1">IFERROR(__xludf.DUMMYFUNCTION("GOOGLETRANSLATE(B71,""en"",""ig"")"),"ugbua")</f>
        <v>ugbua</v>
      </c>
      <c r="E71" s="2" t="str">
        <f ca="1">IFERROR(__xludf.DUMMYFUNCTION("GOOGLETRANSLATE(B71,""en"",""fr"")"),"maintenant")</f>
        <v>maintenant</v>
      </c>
      <c r="F71" s="2" t="str">
        <f ca="1">IFERROR(__xludf.DUMMYFUNCTION("GOOGLETRANSLATE(B71,""en"",""it"")"),"Ora")</f>
        <v>Ora</v>
      </c>
      <c r="G71" s="2" t="str">
        <f ca="1">IFERROR(__xludf.DUMMYFUNCTION("GOOGLETRANSLATE(B71,""en"",""de"")"),"Jetzt")</f>
        <v>Jetzt</v>
      </c>
      <c r="H71" s="2" t="str">
        <f ca="1">IFERROR(__xludf.DUMMYFUNCTION("GOOGLETRANSLATE(B71,""en"",""zh"")"),"现在")</f>
        <v>现在</v>
      </c>
      <c r="I71" s="2" t="str">
        <f ca="1">IFERROR(__xludf.DUMMYFUNCTION("GOOGLETRANSLATE(B71,""en"",""gd"")"),"A-nis")</f>
        <v>A-nis</v>
      </c>
    </row>
    <row r="72" spans="1:9" ht="14.25" customHeight="1" x14ac:dyDescent="0.3">
      <c r="A72" s="2">
        <v>71</v>
      </c>
      <c r="B72" s="3" t="s">
        <v>79</v>
      </c>
      <c r="C72" s="2" t="str">
        <f ca="1">IFERROR(__xludf.DUMMYFUNCTION("GOOGLETRANSLATE(B72, ""en"",""es"")"),"entonces")</f>
        <v>entonces</v>
      </c>
      <c r="D72" s="2" t="str">
        <f ca="1">IFERROR(__xludf.DUMMYFUNCTION("GOOGLETRANSLATE(B72,""en"",""ig"")"),"mgeahu")</f>
        <v>mgeahu</v>
      </c>
      <c r="E72" s="2" t="str">
        <f ca="1">IFERROR(__xludf.DUMMYFUNCTION("GOOGLETRANSLATE(B72,""en"",""fr"")"),"alors")</f>
        <v>alors</v>
      </c>
      <c r="F72" s="2" t="str">
        <f ca="1">IFERROR(__xludf.DUMMYFUNCTION("GOOGLETRANSLATE(B72,""en"",""it"")"),"Poi")</f>
        <v>Poi</v>
      </c>
      <c r="G72" s="2" t="str">
        <f ca="1">IFERROR(__xludf.DUMMYFUNCTION("GOOGLETRANSLATE(B72,""en"",""de"")"),"Dann")</f>
        <v>Dann</v>
      </c>
      <c r="H72" s="2" t="str">
        <f ca="1">IFERROR(__xludf.DUMMYFUNCTION("GOOGLETRANSLATE(B72,""en"",""zh"")"),"然后")</f>
        <v>然后</v>
      </c>
      <c r="I72" s="2" t="str">
        <f ca="1">IFERROR(__xludf.DUMMYFUNCTION("GOOGLETRANSLATE(B72,""en"",""gd"")"),"An uairsin")</f>
        <v>An uairsin</v>
      </c>
    </row>
    <row r="73" spans="1:9" ht="14.25" customHeight="1" x14ac:dyDescent="0.3">
      <c r="A73" s="2">
        <v>72</v>
      </c>
      <c r="B73" s="3" t="s">
        <v>80</v>
      </c>
      <c r="C73" s="2" t="str">
        <f ca="1">IFERROR(__xludf.DUMMYFUNCTION("GOOGLETRANSLATE(B73, ""en"",""es"")"),"también")</f>
        <v>también</v>
      </c>
      <c r="D73" s="2" t="str">
        <f ca="1">IFERROR(__xludf.DUMMYFUNCTION("GOOGLETRANSLATE(B73,""en"",""ig"")"),"nakwa")</f>
        <v>nakwa</v>
      </c>
      <c r="E73" s="2" t="str">
        <f ca="1">IFERROR(__xludf.DUMMYFUNCTION("GOOGLETRANSLATE(B73,""en"",""fr"")"),"aussi")</f>
        <v>aussi</v>
      </c>
      <c r="F73" s="2" t="str">
        <f ca="1">IFERROR(__xludf.DUMMYFUNCTION("GOOGLETRANSLATE(B73,""en"",""it"")"),"Anche")</f>
        <v>Anche</v>
      </c>
      <c r="G73" s="2" t="str">
        <f ca="1">IFERROR(__xludf.DUMMYFUNCTION("GOOGLETRANSLATE(B73,""en"",""de"")"),"Auch")</f>
        <v>Auch</v>
      </c>
      <c r="H73" s="2" t="str">
        <f ca="1">IFERROR(__xludf.DUMMYFUNCTION("GOOGLETRANSLATE(B73,""en"",""zh"")"),"还")</f>
        <v>还</v>
      </c>
      <c r="I73" s="2" t="str">
        <f ca="1">IFERROR(__xludf.DUMMYFUNCTION("GOOGLETRANSLATE(B73,""en"",""gd"")"),"Cuideachd")</f>
        <v>Cuideachd</v>
      </c>
    </row>
    <row r="74" spans="1:9" ht="14.25" customHeight="1" x14ac:dyDescent="0.3">
      <c r="A74" s="2">
        <v>73</v>
      </c>
      <c r="B74" s="3" t="s">
        <v>81</v>
      </c>
      <c r="C74" s="2" t="str">
        <f ca="1">IFERROR(__xludf.DUMMYFUNCTION("GOOGLETRANSLATE(B74, ""en"",""es"")"),"en")</f>
        <v>en</v>
      </c>
      <c r="D74" s="2" t="str">
        <f ca="1">IFERROR(__xludf.DUMMYFUNCTION("GOOGLETRANSLATE(B74,""en"",""ig"")"),"n'ime")</f>
        <v>n'ime</v>
      </c>
      <c r="E74" s="2" t="str">
        <f ca="1">IFERROR(__xludf.DUMMYFUNCTION("GOOGLETRANSLATE(B74,""en"",""fr"")"),"dans")</f>
        <v>dans</v>
      </c>
      <c r="F74" s="2" t="str">
        <f ca="1">IFERROR(__xludf.DUMMYFUNCTION("GOOGLETRANSLATE(B74,""en"",""it"")"),"in")</f>
        <v>in</v>
      </c>
      <c r="G74" s="2" t="str">
        <f ca="1">IFERROR(__xludf.DUMMYFUNCTION("GOOGLETRANSLATE(B74,""en"",""de"")"),"hinein")</f>
        <v>hinein</v>
      </c>
      <c r="H74" s="2" t="str">
        <f ca="1">IFERROR(__xludf.DUMMYFUNCTION("GOOGLETRANSLATE(B74,""en"",""zh"")"),"进入")</f>
        <v>进入</v>
      </c>
      <c r="I74" s="2" t="str">
        <f ca="1">IFERROR(__xludf.DUMMYFUNCTION("GOOGLETRANSLATE(B74,""en"",""gd"")"),"a-steach")</f>
        <v>a-steach</v>
      </c>
    </row>
    <row r="75" spans="1:9" ht="14.25" customHeight="1" x14ac:dyDescent="0.3">
      <c r="A75" s="2">
        <v>74</v>
      </c>
      <c r="B75" s="3" t="s">
        <v>82</v>
      </c>
      <c r="C75" s="2" t="str">
        <f ca="1">IFERROR(__xludf.DUMMYFUNCTION("GOOGLETRANSLATE(B75, ""en"",""es"")"),"solo")</f>
        <v>solo</v>
      </c>
      <c r="D75" s="2" t="str">
        <f ca="1">IFERROR(__xludf.DUMMYFUNCTION("GOOGLETRANSLATE(B75,""en"",""ig"")"),"so")</f>
        <v>so</v>
      </c>
      <c r="E75" s="2" t="str">
        <f ca="1">IFERROR(__xludf.DUMMYFUNCTION("GOOGLETRANSLATE(B75,""en"",""fr"")"),"seulement")</f>
        <v>seulement</v>
      </c>
      <c r="F75" s="2" t="str">
        <f ca="1">IFERROR(__xludf.DUMMYFUNCTION("GOOGLETRANSLATE(B75,""en"",""it"")"),"soltanto")</f>
        <v>soltanto</v>
      </c>
      <c r="G75" s="2" t="str">
        <f ca="1">IFERROR(__xludf.DUMMYFUNCTION("GOOGLETRANSLATE(B75,""en"",""de"")"),"nur")</f>
        <v>nur</v>
      </c>
      <c r="H75" s="2" t="str">
        <f ca="1">IFERROR(__xludf.DUMMYFUNCTION("GOOGLETRANSLATE(B75,""en"",""zh"")"),"仅有的")</f>
        <v>仅有的</v>
      </c>
      <c r="I75" s="2" t="str">
        <f ca="1">IFERROR(__xludf.DUMMYFUNCTION("GOOGLETRANSLATE(B75,""en"",""gd"")"),"a-mhàin")</f>
        <v>a-mhàin</v>
      </c>
    </row>
    <row r="76" spans="1:9" ht="14.25" customHeight="1" x14ac:dyDescent="0.3">
      <c r="A76" s="2">
        <v>75</v>
      </c>
      <c r="B76" s="3" t="s">
        <v>83</v>
      </c>
      <c r="C76" s="2" t="str">
        <f ca="1">IFERROR(__xludf.DUMMYFUNCTION("GOOGLETRANSLATE(B76, ""en"",""es"")"),"mirar")</f>
        <v>mirar</v>
      </c>
      <c r="D76" s="2" t="str">
        <f ca="1">IFERROR(__xludf.DUMMYFUNCTION("GOOGLETRANSLATE(B76,""en"",""ig"")"),"ile anya")</f>
        <v>ile anya</v>
      </c>
      <c r="E76" s="2" t="str">
        <f ca="1">IFERROR(__xludf.DUMMYFUNCTION("GOOGLETRANSLATE(B76,""en"",""fr"")"),"regarder")</f>
        <v>regarder</v>
      </c>
      <c r="F76" s="2" t="str">
        <f ca="1">IFERROR(__xludf.DUMMYFUNCTION("GOOGLETRANSLATE(B76,""en"",""it"")"),"Aspetto")</f>
        <v>Aspetto</v>
      </c>
      <c r="G76" s="2" t="str">
        <f ca="1">IFERROR(__xludf.DUMMYFUNCTION("GOOGLETRANSLATE(B76,""en"",""de"")"),"sehen")</f>
        <v>sehen</v>
      </c>
      <c r="H76" s="2" t="str">
        <f ca="1">IFERROR(__xludf.DUMMYFUNCTION("GOOGLETRANSLATE(B76,""en"",""zh"")"),"看")</f>
        <v>看</v>
      </c>
      <c r="I76" s="2" t="str">
        <f ca="1">IFERROR(__xludf.DUMMYFUNCTION("GOOGLETRANSLATE(B76,""en"",""gd"")"),"coimhead")</f>
        <v>coimhead</v>
      </c>
    </row>
    <row r="77" spans="1:9" ht="14.25" customHeight="1" x14ac:dyDescent="0.3">
      <c r="A77" s="2">
        <v>76</v>
      </c>
      <c r="B77" s="3" t="s">
        <v>84</v>
      </c>
      <c r="C77" s="2" t="str">
        <f ca="1">IFERROR(__xludf.DUMMYFUNCTION("GOOGLETRANSLATE(B77, ""en"",""es"")"),"desear")</f>
        <v>desear</v>
      </c>
      <c r="D77" s="2" t="str">
        <f ca="1">IFERROR(__xludf.DUMMYFUNCTION("GOOGLETRANSLATE(B77,""en"",""ig"")"),"icho")</f>
        <v>icho</v>
      </c>
      <c r="E77" s="2" t="str">
        <f ca="1">IFERROR(__xludf.DUMMYFUNCTION("GOOGLETRANSLATE(B77,""en"",""fr"")"),"vouloir")</f>
        <v>vouloir</v>
      </c>
      <c r="F77" s="2" t="str">
        <f ca="1">IFERROR(__xludf.DUMMYFUNCTION("GOOGLETRANSLATE(B77,""en"",""it"")"),"Volere")</f>
        <v>Volere</v>
      </c>
      <c r="G77" s="2" t="str">
        <f ca="1">IFERROR(__xludf.DUMMYFUNCTION("GOOGLETRANSLATE(B77,""en"",""de"")"),"wollen")</f>
        <v>wollen</v>
      </c>
      <c r="H77" s="2" t="str">
        <f ca="1">IFERROR(__xludf.DUMMYFUNCTION("GOOGLETRANSLATE(B77,""en"",""zh"")"),"想")</f>
        <v>想</v>
      </c>
      <c r="I77" s="2" t="str">
        <f ca="1">IFERROR(__xludf.DUMMYFUNCTION("GOOGLETRANSLATE(B77,""en"",""gd"")"),"ag iarraidh")</f>
        <v>ag iarraidh</v>
      </c>
    </row>
    <row r="78" spans="1:9" ht="14.25" customHeight="1" x14ac:dyDescent="0.3">
      <c r="A78" s="2">
        <v>77</v>
      </c>
      <c r="B78" s="3" t="s">
        <v>85</v>
      </c>
      <c r="C78" s="2" t="str">
        <f ca="1">IFERROR(__xludf.DUMMYFUNCTION("GOOGLETRANSLATE(B78, ""en"",""es"")"),"dar")</f>
        <v>dar</v>
      </c>
      <c r="D78" s="2" t="str">
        <f ca="1">IFERROR(__xludf.DUMMYFUNCTION("GOOGLETRANSLATE(B78,""en"",""ig"")"),"inye")</f>
        <v>inye</v>
      </c>
      <c r="E78" s="2" t="str">
        <f ca="1">IFERROR(__xludf.DUMMYFUNCTION("GOOGLETRANSLATE(B78,""en"",""fr"")"),"donner")</f>
        <v>donner</v>
      </c>
      <c r="F78" s="2" t="str">
        <f ca="1">IFERROR(__xludf.DUMMYFUNCTION("GOOGLETRANSLATE(B78,""en"",""it"")"),"Dare")</f>
        <v>Dare</v>
      </c>
      <c r="G78" s="2" t="str">
        <f ca="1">IFERROR(__xludf.DUMMYFUNCTION("GOOGLETRANSLATE(B78,""en"",""de"")"),"geben")</f>
        <v>geben</v>
      </c>
      <c r="H78" s="2" t="str">
        <f ca="1">IFERROR(__xludf.DUMMYFUNCTION("GOOGLETRANSLATE(B78,""en"",""zh"")"),"给")</f>
        <v>给</v>
      </c>
      <c r="I78" s="2" t="str">
        <f ca="1">IFERROR(__xludf.DUMMYFUNCTION("GOOGLETRANSLATE(B78,""en"",""gd"")"),"thoir seachad")</f>
        <v>thoir seachad</v>
      </c>
    </row>
    <row r="79" spans="1:9" ht="14.25" customHeight="1" x14ac:dyDescent="0.3">
      <c r="A79" s="2">
        <v>78</v>
      </c>
      <c r="B79" s="3" t="s">
        <v>86</v>
      </c>
      <c r="C79" s="2" t="str">
        <f ca="1">IFERROR(__xludf.DUMMYFUNCTION("GOOGLETRANSLATE(B79, ""en"",""es"")"),"primero")</f>
        <v>primero</v>
      </c>
      <c r="D79" s="2" t="str">
        <f ca="1">IFERROR(__xludf.DUMMYFUNCTION("GOOGLETRANSLATE(B79,""en"",""ig"")"),"kembu")</f>
        <v>kembu</v>
      </c>
      <c r="E79" s="2" t="str">
        <f ca="1">IFERROR(__xludf.DUMMYFUNCTION("GOOGLETRANSLATE(B79,""en"",""fr"")"),"d'abord")</f>
        <v>d'abord</v>
      </c>
      <c r="F79" s="2" t="str">
        <f ca="1">IFERROR(__xludf.DUMMYFUNCTION("GOOGLETRANSLATE(B79,""en"",""it"")"),"Primo")</f>
        <v>Primo</v>
      </c>
      <c r="G79" s="2" t="str">
        <f ca="1">IFERROR(__xludf.DUMMYFUNCTION("GOOGLETRANSLATE(B79,""en"",""de"")"),"Erste")</f>
        <v>Erste</v>
      </c>
      <c r="H79" s="2" t="str">
        <f ca="1">IFERROR(__xludf.DUMMYFUNCTION("GOOGLETRANSLATE(B79,""en"",""zh"")"),"第一的")</f>
        <v>第一的</v>
      </c>
      <c r="I79" s="2" t="str">
        <f ca="1">IFERROR(__xludf.DUMMYFUNCTION("GOOGLETRANSLATE(B79,""en"",""gd"")"),"a’ chiad")</f>
        <v>a’ chiad</v>
      </c>
    </row>
    <row r="80" spans="1:9" ht="14.25" customHeight="1" x14ac:dyDescent="0.3">
      <c r="A80" s="2">
        <v>79</v>
      </c>
      <c r="B80" s="3" t="s">
        <v>87</v>
      </c>
      <c r="C80" s="2" t="str">
        <f ca="1">IFERROR(__xludf.DUMMYFUNCTION("GOOGLETRANSLATE(B80, ""en"",""es"")"),"nuevo")</f>
        <v>nuevo</v>
      </c>
      <c r="D80" s="2" t="str">
        <f ca="1">IFERROR(__xludf.DUMMYFUNCTION("GOOGLETRANSLATE(B80,""en"",""ig"")"),"ohuru")</f>
        <v>ohuru</v>
      </c>
      <c r="E80" s="2" t="str">
        <f ca="1">IFERROR(__xludf.DUMMYFUNCTION("GOOGLETRANSLATE(B80,""en"",""fr"")"),"nouveau")</f>
        <v>nouveau</v>
      </c>
      <c r="F80" s="2" t="str">
        <f ca="1">IFERROR(__xludf.DUMMYFUNCTION("GOOGLETRANSLATE(B80,""en"",""it"")"),"nuovo")</f>
        <v>nuovo</v>
      </c>
      <c r="G80" s="2" t="str">
        <f ca="1">IFERROR(__xludf.DUMMYFUNCTION("GOOGLETRANSLATE(B80,""en"",""de"")"),"neu")</f>
        <v>neu</v>
      </c>
      <c r="H80" s="2" t="str">
        <f ca="1">IFERROR(__xludf.DUMMYFUNCTION("GOOGLETRANSLATE(B80,""en"",""zh"")"),"新的")</f>
        <v>新的</v>
      </c>
      <c r="I80" s="2" t="str">
        <f ca="1">IFERROR(__xludf.DUMMYFUNCTION("GOOGLETRANSLATE(B80,""en"",""gd"")"),"Ùr")</f>
        <v>Ùr</v>
      </c>
    </row>
    <row r="81" spans="1:9" ht="14.25" customHeight="1" x14ac:dyDescent="0.3">
      <c r="A81" s="2">
        <v>80</v>
      </c>
      <c r="B81" s="3" t="s">
        <v>88</v>
      </c>
      <c r="C81" s="2" t="str">
        <f ca="1">IFERROR(__xludf.DUMMYFUNCTION("GOOGLETRANSLATE(B81, ""en"",""es"")"),"forma")</f>
        <v>forma</v>
      </c>
      <c r="D81" s="2" t="str">
        <f ca="1">IFERROR(__xludf.DUMMYFUNCTION("GOOGLETRANSLATE(B81,""en"",""ig"")"),"uzo")</f>
        <v>uzo</v>
      </c>
      <c r="E81" s="2" t="str">
        <f ca="1">IFERROR(__xludf.DUMMYFUNCTION("GOOGLETRANSLATE(B81,""en"",""fr"")"),"chemin")</f>
        <v>chemin</v>
      </c>
      <c r="F81" s="2" t="str">
        <f ca="1">IFERROR(__xludf.DUMMYFUNCTION("GOOGLETRANSLATE(B81,""en"",""it"")"),"modo")</f>
        <v>modo</v>
      </c>
      <c r="G81" s="2" t="str">
        <f ca="1">IFERROR(__xludf.DUMMYFUNCTION("GOOGLETRANSLATE(B81,""en"",""de"")"),"Weg")</f>
        <v>Weg</v>
      </c>
      <c r="H81" s="2" t="str">
        <f ca="1">IFERROR(__xludf.DUMMYFUNCTION("GOOGLETRANSLATE(B81,""en"",""zh"")"),"方式")</f>
        <v>方式</v>
      </c>
      <c r="I81" s="2" t="str">
        <f ca="1">IFERROR(__xludf.DUMMYFUNCTION("GOOGLETRANSLATE(B81,""en"",""gd"")"),"slighe")</f>
        <v>slighe</v>
      </c>
    </row>
    <row r="82" spans="1:9" ht="14.25" customHeight="1" x14ac:dyDescent="0.3">
      <c r="A82" s="2">
        <v>81</v>
      </c>
      <c r="B82" s="3" t="s">
        <v>89</v>
      </c>
      <c r="C82" s="2" t="str">
        <f ca="1">IFERROR(__xludf.DUMMYFUNCTION("GOOGLETRANSLATE(B82, ""en"",""es"")"),"encontrar")</f>
        <v>encontrar</v>
      </c>
      <c r="D82" s="2" t="str">
        <f ca="1">IFERROR(__xludf.DUMMYFUNCTION("GOOGLETRANSLATE(B82,""en"",""ig"")"),"icho")</f>
        <v>icho</v>
      </c>
      <c r="E82" s="2" t="str">
        <f ca="1">IFERROR(__xludf.DUMMYFUNCTION("GOOGLETRANSLATE(B82,""en"",""fr"")"),"trouver")</f>
        <v>trouver</v>
      </c>
      <c r="F82" s="2" t="str">
        <f ca="1">IFERROR(__xludf.DUMMYFUNCTION("GOOGLETRANSLATE(B82,""en"",""it"")"),"Trovare")</f>
        <v>Trovare</v>
      </c>
      <c r="G82" s="2" t="str">
        <f ca="1">IFERROR(__xludf.DUMMYFUNCTION("GOOGLETRANSLATE(B82,""en"",""de"")"),"finden")</f>
        <v>finden</v>
      </c>
      <c r="H82" s="2" t="str">
        <f ca="1">IFERROR(__xludf.DUMMYFUNCTION("GOOGLETRANSLATE(B82,""en"",""zh"")"),"寻找")</f>
        <v>寻找</v>
      </c>
      <c r="I82" s="2" t="str">
        <f ca="1">IFERROR(__xludf.DUMMYFUNCTION("GOOGLETRANSLATE(B82,""en"",""gd"")"),"Lorg")</f>
        <v>Lorg</v>
      </c>
    </row>
    <row r="83" spans="1:9" ht="14.25" customHeight="1" x14ac:dyDescent="0.3">
      <c r="A83" s="2">
        <v>82</v>
      </c>
      <c r="B83" s="3" t="s">
        <v>90</v>
      </c>
      <c r="C83" s="2" t="str">
        <f ca="1">IFERROR(__xludf.DUMMYFUNCTION("GOOGLETRANSLATE(B83, ""en"",""es"")"),"encima")</f>
        <v>encima</v>
      </c>
      <c r="D83" s="2" t="str">
        <f ca="1">IFERROR(__xludf.DUMMYFUNCTION("GOOGLETRANSLATE(B83,""en"",""ig"")"),"foduru")</f>
        <v>foduru</v>
      </c>
      <c r="E83" s="2" t="str">
        <f ca="1">IFERROR(__xludf.DUMMYFUNCTION("GOOGLETRANSLATE(B83,""en"",""fr"")"),"sur")</f>
        <v>sur</v>
      </c>
      <c r="F83" s="2" t="str">
        <f ca="1">IFERROR(__xludf.DUMMYFUNCTION("GOOGLETRANSLATE(B83,""en"",""it"")"),"Sopra")</f>
        <v>Sopra</v>
      </c>
      <c r="G83" s="2" t="str">
        <f ca="1">IFERROR(__xludf.DUMMYFUNCTION("GOOGLETRANSLATE(B83,""en"",""de"")"),"über")</f>
        <v>über</v>
      </c>
      <c r="H83" s="2" t="str">
        <f ca="1">IFERROR(__xludf.DUMMYFUNCTION("GOOGLETRANSLATE(B83,""en"",""zh"")"),"超过")</f>
        <v>超过</v>
      </c>
      <c r="I83" s="2" t="str">
        <f ca="1">IFERROR(__xludf.DUMMYFUNCTION("GOOGLETRANSLATE(B83,""en"",""gd"")"),"thairis")</f>
        <v>thairis</v>
      </c>
    </row>
    <row r="84" spans="1:9" ht="14.25" customHeight="1" x14ac:dyDescent="0.3">
      <c r="A84" s="2">
        <v>83</v>
      </c>
      <c r="B84" s="3" t="s">
        <v>91</v>
      </c>
      <c r="C84" s="2" t="str">
        <f ca="1">IFERROR(__xludf.DUMMYFUNCTION("GOOGLETRANSLATE(B84, ""en"",""es"")"),"cualquier")</f>
        <v>cualquier</v>
      </c>
      <c r="D84" s="2" t="str">
        <f ca="1">IFERROR(__xludf.DUMMYFUNCTION("GOOGLETRANSLATE(B84,""en"",""ig"")"),"keobula")</f>
        <v>keobula</v>
      </c>
      <c r="E84" s="2" t="str">
        <f ca="1">IFERROR(__xludf.DUMMYFUNCTION("GOOGLETRANSLATE(B84,""en"",""fr"")"),"n'importe lequel")</f>
        <v>n'importe lequel</v>
      </c>
      <c r="F84" s="2" t="str">
        <f ca="1">IFERROR(__xludf.DUMMYFUNCTION("GOOGLETRANSLATE(B84,""en"",""it"")"),"Qualunque")</f>
        <v>Qualunque</v>
      </c>
      <c r="G84" s="2" t="str">
        <f ca="1">IFERROR(__xludf.DUMMYFUNCTION("GOOGLETRANSLATE(B84,""en"",""de"")"),"beliebig")</f>
        <v>beliebig</v>
      </c>
      <c r="H84" s="2" t="str">
        <f ca="1">IFERROR(__xludf.DUMMYFUNCTION("GOOGLETRANSLATE(B84,""en"",""zh"")"),"任何")</f>
        <v>任何</v>
      </c>
      <c r="I84" s="2" t="str">
        <f ca="1">IFERROR(__xludf.DUMMYFUNCTION("GOOGLETRANSLATE(B84,""en"",""gd"")"),"gin")</f>
        <v>gin</v>
      </c>
    </row>
    <row r="85" spans="1:9" ht="14.25" customHeight="1" x14ac:dyDescent="0.3">
      <c r="A85" s="2">
        <v>84</v>
      </c>
      <c r="B85" s="3" t="s">
        <v>92</v>
      </c>
      <c r="C85" s="2" t="str">
        <f ca="1">IFERROR(__xludf.DUMMYFUNCTION("GOOGLETRANSLATE(B85, ""en"",""es"")"),"después")</f>
        <v>después</v>
      </c>
      <c r="D85" s="2" t="str">
        <f ca="1">IFERROR(__xludf.DUMMYFUNCTION("GOOGLETRANSLATE(B85,""en"",""ig"")"),"nsote")</f>
        <v>nsote</v>
      </c>
      <c r="E85" s="2" t="str">
        <f ca="1">IFERROR(__xludf.DUMMYFUNCTION("GOOGLETRANSLATE(B85,""en"",""fr"")"),"après")</f>
        <v>après</v>
      </c>
      <c r="F85" s="2" t="str">
        <f ca="1">IFERROR(__xludf.DUMMYFUNCTION("GOOGLETRANSLATE(B85,""en"",""it"")"),"Dopo")</f>
        <v>Dopo</v>
      </c>
      <c r="G85" s="2" t="str">
        <f ca="1">IFERROR(__xludf.DUMMYFUNCTION("GOOGLETRANSLATE(B85,""en"",""de"")"),"nach")</f>
        <v>nach</v>
      </c>
      <c r="H85" s="2" t="str">
        <f ca="1">IFERROR(__xludf.DUMMYFUNCTION("GOOGLETRANSLATE(B85,""en"",""zh"")"),"后")</f>
        <v>后</v>
      </c>
      <c r="I85" s="2" t="str">
        <f ca="1">IFERROR(__xludf.DUMMYFUNCTION("GOOGLETRANSLATE(B85,""en"",""gd"")"),"Às deidh")</f>
        <v>Às deidh</v>
      </c>
    </row>
    <row r="86" spans="1:9" ht="14.25" customHeight="1" x14ac:dyDescent="0.3">
      <c r="A86" s="2">
        <v>85</v>
      </c>
      <c r="B86" s="3" t="s">
        <v>93</v>
      </c>
      <c r="C86" s="2" t="str">
        <f ca="1">IFERROR(__xludf.DUMMYFUNCTION("GOOGLETRANSLATE(B86, ""en"",""es"")"),"día")</f>
        <v>día</v>
      </c>
      <c r="D86" s="2" t="str">
        <f ca="1">IFERROR(__xludf.DUMMYFUNCTION("GOOGLETRANSLATE(B86,""en"",""ig"")"),"isi ututu")</f>
        <v>isi ututu</v>
      </c>
      <c r="E86" s="2" t="str">
        <f ca="1">IFERROR(__xludf.DUMMYFUNCTION("GOOGLETRANSLATE(B86,""en"",""fr"")"),"jour")</f>
        <v>jour</v>
      </c>
      <c r="F86" s="2" t="str">
        <f ca="1">IFERROR(__xludf.DUMMYFUNCTION("GOOGLETRANSLATE(B86,""en"",""it"")"),"giorno")</f>
        <v>giorno</v>
      </c>
      <c r="G86" s="2" t="str">
        <f ca="1">IFERROR(__xludf.DUMMYFUNCTION("GOOGLETRANSLATE(B86,""en"",""de"")"),"Tag")</f>
        <v>Tag</v>
      </c>
      <c r="H86" s="2" t="str">
        <f ca="1">IFERROR(__xludf.DUMMYFUNCTION("GOOGLETRANSLATE(B86,""en"",""zh"")"),"天")</f>
        <v>天</v>
      </c>
      <c r="I86" s="2" t="str">
        <f ca="1">IFERROR(__xludf.DUMMYFUNCTION("GOOGLETRANSLATE(B86,""en"",""gd"")"),"latha")</f>
        <v>latha</v>
      </c>
    </row>
    <row r="87" spans="1:9" ht="14.25" customHeight="1" x14ac:dyDescent="0.3">
      <c r="A87" s="2">
        <v>86</v>
      </c>
      <c r="B87" s="3" t="s">
        <v>94</v>
      </c>
      <c r="C87" s="2" t="str">
        <f ca="1">IFERROR(__xludf.DUMMYFUNCTION("GOOGLETRANSLATE(B87, ""en"",""es"")"),"dónde")</f>
        <v>dónde</v>
      </c>
      <c r="D87" s="2" t="str">
        <f ca="1">IFERROR(__xludf.DUMMYFUNCTION("GOOGLETRANSLATE(B87,""en"",""ig"")"),"ebe")</f>
        <v>ebe</v>
      </c>
      <c r="E87" s="2" t="str">
        <f ca="1">IFERROR(__xludf.DUMMYFUNCTION("GOOGLETRANSLATE(B87,""en"",""fr"")"),"où")</f>
        <v>où</v>
      </c>
      <c r="F87" s="2" t="str">
        <f ca="1">IFERROR(__xludf.DUMMYFUNCTION("GOOGLETRANSLATE(B87,""en"",""it"")"),"Dove")</f>
        <v>Dove</v>
      </c>
      <c r="G87" s="2" t="str">
        <f ca="1">IFERROR(__xludf.DUMMYFUNCTION("GOOGLETRANSLATE(B87,""en"",""de"")"),"Wo")</f>
        <v>Wo</v>
      </c>
      <c r="H87" s="2" t="str">
        <f ca="1">IFERROR(__xludf.DUMMYFUNCTION("GOOGLETRANSLATE(B87,""en"",""zh"")"),"在哪里")</f>
        <v>在哪里</v>
      </c>
      <c r="I87" s="2" t="str">
        <f ca="1">IFERROR(__xludf.DUMMYFUNCTION("GOOGLETRANSLATE(B87,""en"",""gd"")"),"càite")</f>
        <v>càite</v>
      </c>
    </row>
    <row r="88" spans="1:9" ht="14.25" customHeight="1" x14ac:dyDescent="0.3">
      <c r="A88" s="2">
        <v>87</v>
      </c>
      <c r="B88" s="3" t="s">
        <v>95</v>
      </c>
      <c r="C88" s="2" t="str">
        <f ca="1">IFERROR(__xludf.DUMMYFUNCTION("GOOGLETRANSLATE(B88, ""en"",""es"")"),"cosa")</f>
        <v>cosa</v>
      </c>
      <c r="D88" s="2" t="str">
        <f ca="1">IFERROR(__xludf.DUMMYFUNCTION("GOOGLETRANSLATE(B88,""en"",""ig"")"),"ihe")</f>
        <v>ihe</v>
      </c>
      <c r="E88" s="2" t="str">
        <f ca="1">IFERROR(__xludf.DUMMYFUNCTION("GOOGLETRANSLATE(B88,""en"",""fr"")"),"chose")</f>
        <v>chose</v>
      </c>
      <c r="F88" s="2" t="str">
        <f ca="1">IFERROR(__xludf.DUMMYFUNCTION("GOOGLETRANSLATE(B88,""en"",""it"")"),"cosa")</f>
        <v>cosa</v>
      </c>
      <c r="G88" s="2" t="str">
        <f ca="1">IFERROR(__xludf.DUMMYFUNCTION("GOOGLETRANSLATE(B88,""en"",""de"")"),"Ding")</f>
        <v>Ding</v>
      </c>
      <c r="H88" s="2" t="str">
        <f ca="1">IFERROR(__xludf.DUMMYFUNCTION("GOOGLETRANSLATE(B88,""en"",""zh"")"),"事物")</f>
        <v>事物</v>
      </c>
      <c r="I88" s="2" t="str">
        <f ca="1">IFERROR(__xludf.DUMMYFUNCTION("GOOGLETRANSLATE(B88,""en"",""gd"")"),"rud")</f>
        <v>rud</v>
      </c>
    </row>
    <row r="89" spans="1:9" ht="14.25" customHeight="1" x14ac:dyDescent="0.3">
      <c r="A89" s="2">
        <v>88</v>
      </c>
      <c r="B89" s="3" t="s">
        <v>96</v>
      </c>
      <c r="C89" s="2" t="str">
        <f ca="1">IFERROR(__xludf.DUMMYFUNCTION("GOOGLETRANSLATE(B89, ""en"",""es"")"),"mayoría")</f>
        <v>mayoría</v>
      </c>
      <c r="D89" s="2" t="str">
        <f ca="1">IFERROR(__xludf.DUMMYFUNCTION("GOOGLETRANSLATE(B89,""en"",""ig"")"),"ufodu")</f>
        <v>ufodu</v>
      </c>
      <c r="E89" s="2" t="str">
        <f ca="1">IFERROR(__xludf.DUMMYFUNCTION("GOOGLETRANSLATE(B89,""en"",""fr"")"),"la plupart")</f>
        <v>la plupart</v>
      </c>
      <c r="F89" s="2" t="str">
        <f ca="1">IFERROR(__xludf.DUMMYFUNCTION("GOOGLETRANSLATE(B89,""en"",""it"")"),"maggior parte")</f>
        <v>maggior parte</v>
      </c>
      <c r="G89" s="2" t="str">
        <f ca="1">IFERROR(__xludf.DUMMYFUNCTION("GOOGLETRANSLATE(B89,""en"",""de"")"),"am meisten")</f>
        <v>am meisten</v>
      </c>
      <c r="H89" s="2" t="str">
        <f ca="1">IFERROR(__xludf.DUMMYFUNCTION("GOOGLETRANSLATE(B89,""en"",""zh"")"),"最多")</f>
        <v>最多</v>
      </c>
      <c r="I89" s="2" t="str">
        <f ca="1">IFERROR(__xludf.DUMMYFUNCTION("GOOGLETRANSLATE(B89,""en"",""gd"")"),"A 'mhòr-chuid")</f>
        <v>A 'mhòr-chuid</v>
      </c>
    </row>
    <row r="90" spans="1:9" ht="14.25" customHeight="1" x14ac:dyDescent="0.3">
      <c r="A90" s="2">
        <v>89</v>
      </c>
      <c r="B90" s="3" t="s">
        <v>97</v>
      </c>
      <c r="C90" s="2" t="str">
        <f ca="1">IFERROR(__xludf.DUMMYFUNCTION("GOOGLETRANSLATE(B90, ""en"",""es"")"),"debería")</f>
        <v>debería</v>
      </c>
      <c r="D90" s="2" t="str">
        <f ca="1">IFERROR(__xludf.DUMMYFUNCTION("GOOGLETRANSLATE(B90,""en"",""ig"")"),"ga")</f>
        <v>ga</v>
      </c>
      <c r="E90" s="2" t="str">
        <f ca="1">IFERROR(__xludf.DUMMYFUNCTION("GOOGLETRANSLATE(B90,""en"",""fr"")"),"devrait")</f>
        <v>devrait</v>
      </c>
      <c r="F90" s="2" t="str">
        <f ca="1">IFERROR(__xludf.DUMMYFUNCTION("GOOGLETRANSLATE(B90,""en"",""it"")"),"Dovrebbe")</f>
        <v>Dovrebbe</v>
      </c>
      <c r="G90" s="2" t="str">
        <f ca="1">IFERROR(__xludf.DUMMYFUNCTION("GOOGLETRANSLATE(B90,""en"",""de"")"),"sollen")</f>
        <v>sollen</v>
      </c>
      <c r="H90" s="2" t="str">
        <f ca="1">IFERROR(__xludf.DUMMYFUNCTION("GOOGLETRANSLATE(B90,""en"",""zh"")"),"应该")</f>
        <v>应该</v>
      </c>
      <c r="I90" s="2" t="str">
        <f ca="1">IFERROR(__xludf.DUMMYFUNCTION("GOOGLETRANSLATE(B90,""en"",""gd"")"),"bu chòir")</f>
        <v>bu chòir</v>
      </c>
    </row>
    <row r="91" spans="1:9" ht="14.25" customHeight="1" x14ac:dyDescent="0.3">
      <c r="A91" s="2">
        <v>90</v>
      </c>
      <c r="B91" s="3" t="s">
        <v>98</v>
      </c>
      <c r="C91" s="2" t="str">
        <f ca="1">IFERROR(__xludf.DUMMYFUNCTION("GOOGLETRANSLATE(B91, ""en"",""es"")"),"necesidad")</f>
        <v>necesidad</v>
      </c>
      <c r="D91" s="2" t="str">
        <f ca="1">IFERROR(__xludf.DUMMYFUNCTION("GOOGLETRANSLATE(B91,""en"",""ig"")"),"mkpa")</f>
        <v>mkpa</v>
      </c>
      <c r="E91" s="2" t="str">
        <f ca="1">IFERROR(__xludf.DUMMYFUNCTION("GOOGLETRANSLATE(B91,""en"",""fr"")"),"besoin")</f>
        <v>besoin</v>
      </c>
      <c r="F91" s="2" t="str">
        <f ca="1">IFERROR(__xludf.DUMMYFUNCTION("GOOGLETRANSLATE(B91,""en"",""it"")"),"Bisogno")</f>
        <v>Bisogno</v>
      </c>
      <c r="G91" s="2" t="str">
        <f ca="1">IFERROR(__xludf.DUMMYFUNCTION("GOOGLETRANSLATE(B91,""en"",""de"")"),"brauchen")</f>
        <v>brauchen</v>
      </c>
      <c r="H91" s="2" t="str">
        <f ca="1">IFERROR(__xludf.DUMMYFUNCTION("GOOGLETRANSLATE(B91,""en"",""zh"")"),"需要")</f>
        <v>需要</v>
      </c>
      <c r="I91" s="2" t="str">
        <f ca="1">IFERROR(__xludf.DUMMYFUNCTION("GOOGLETRANSLATE(B91,""en"",""gd"")"),"feum")</f>
        <v>feum</v>
      </c>
    </row>
    <row r="92" spans="1:9" ht="14.25" customHeight="1" x14ac:dyDescent="0.3">
      <c r="A92" s="2">
        <v>91</v>
      </c>
      <c r="B92" s="3" t="s">
        <v>99</v>
      </c>
      <c r="C92" s="2" t="str">
        <f ca="1">IFERROR(__xludf.DUMMYFUNCTION("GOOGLETRANSLATE(B92, ""en"",""es"")"),"mucho")</f>
        <v>mucho</v>
      </c>
      <c r="D92" s="2" t="str">
        <f ca="1">IFERROR(__xludf.DUMMYFUNCTION("GOOGLETRANSLATE(B92,""en"",""ig"")"),"ukwuu")</f>
        <v>ukwuu</v>
      </c>
      <c r="E92" s="2" t="str">
        <f ca="1">IFERROR(__xludf.DUMMYFUNCTION("GOOGLETRANSLATE(B92,""en"",""fr"")"),"beaucoup")</f>
        <v>beaucoup</v>
      </c>
      <c r="F92" s="2" t="str">
        <f ca="1">IFERROR(__xludf.DUMMYFUNCTION("GOOGLETRANSLATE(B92,""en"",""it"")"),"tanto")</f>
        <v>tanto</v>
      </c>
      <c r="G92" s="2" t="str">
        <f ca="1">IFERROR(__xludf.DUMMYFUNCTION("GOOGLETRANSLATE(B92,""en"",""de"")"),"viel")</f>
        <v>viel</v>
      </c>
      <c r="H92" s="2" t="str">
        <f ca="1">IFERROR(__xludf.DUMMYFUNCTION("GOOGLETRANSLATE(B92,""en"",""zh"")"),"很多")</f>
        <v>很多</v>
      </c>
      <c r="I92" s="2" t="str">
        <f ca="1">IFERROR(__xludf.DUMMYFUNCTION("GOOGLETRANSLATE(B92,""en"",""gd"")"),"mòran")</f>
        <v>mòran</v>
      </c>
    </row>
    <row r="93" spans="1:9" ht="14.25" customHeight="1" x14ac:dyDescent="0.3">
      <c r="A93" s="2">
        <v>92</v>
      </c>
      <c r="B93" s="3" t="s">
        <v>100</v>
      </c>
      <c r="C93" s="2" t="str">
        <f ca="1">IFERROR(__xludf.DUMMYFUNCTION("GOOGLETRANSLATE(B93, ""en"",""es"")"),"bien")</f>
        <v>bien</v>
      </c>
      <c r="D93" s="2" t="str">
        <f ca="1">IFERROR(__xludf.DUMMYFUNCTION("GOOGLETRANSLATE(B93,""en"",""ig"")"),"nke imete")</f>
        <v>nke imete</v>
      </c>
      <c r="E93" s="2" t="str">
        <f ca="1">IFERROR(__xludf.DUMMYFUNCTION("GOOGLETRANSLATE(B93,""en"",""fr"")"),"droite")</f>
        <v>droite</v>
      </c>
      <c r="F93" s="2" t="str">
        <f ca="1">IFERROR(__xludf.DUMMYFUNCTION("GOOGLETRANSLATE(B93,""en"",""it"")"),"Giusto")</f>
        <v>Giusto</v>
      </c>
      <c r="G93" s="2" t="str">
        <f ca="1">IFERROR(__xludf.DUMMYFUNCTION("GOOGLETRANSLATE(B93,""en"",""de"")"),"Rechts")</f>
        <v>Rechts</v>
      </c>
      <c r="H93" s="2" t="str">
        <f ca="1">IFERROR(__xludf.DUMMYFUNCTION("GOOGLETRANSLATE(B93,""en"",""zh"")"),"正确的")</f>
        <v>正确的</v>
      </c>
      <c r="I93" s="2" t="str">
        <f ca="1">IFERROR(__xludf.DUMMYFUNCTION("GOOGLETRANSLATE(B93,""en"",""gd"")"),"deas")</f>
        <v>deas</v>
      </c>
    </row>
    <row r="94" spans="1:9" ht="14.25" customHeight="1" x14ac:dyDescent="0.3">
      <c r="A94" s="2">
        <v>93</v>
      </c>
      <c r="B94" s="3" t="s">
        <v>101</v>
      </c>
      <c r="C94" s="2" t="str">
        <f ca="1">IFERROR(__xludf.DUMMYFUNCTION("GOOGLETRANSLATE(B94, ""en"",""es"")"),"cómo")</f>
        <v>cómo</v>
      </c>
      <c r="D94" s="2" t="str">
        <f ca="1">IFERROR(__xludf.DUMMYFUNCTION("GOOGLETRANSLATE(B94,""en"",""ig"")"),"Kedu")</f>
        <v>Kedu</v>
      </c>
      <c r="E94" s="2" t="str">
        <f ca="1">IFERROR(__xludf.DUMMYFUNCTION("GOOGLETRANSLATE(B94,""en"",""fr"")"),"comment")</f>
        <v>comment</v>
      </c>
      <c r="F94" s="2" t="str">
        <f ca="1">IFERROR(__xludf.DUMMYFUNCTION("GOOGLETRANSLATE(B94,""en"",""it"")"),"Come")</f>
        <v>Come</v>
      </c>
      <c r="G94" s="2" t="str">
        <f ca="1">IFERROR(__xludf.DUMMYFUNCTION("GOOGLETRANSLATE(B94,""en"",""de"")"),"Wie")</f>
        <v>Wie</v>
      </c>
      <c r="H94" s="2" t="str">
        <f ca="1">IFERROR(__xludf.DUMMYFUNCTION("GOOGLETRANSLATE(B94,""en"",""zh"")"),"如何")</f>
        <v>如何</v>
      </c>
      <c r="I94" s="2" t="str">
        <f ca="1">IFERROR(__xludf.DUMMYFUNCTION("GOOGLETRANSLATE(B94,""en"",""gd"")"),"ciamar")</f>
        <v>ciamar</v>
      </c>
    </row>
    <row r="95" spans="1:9" ht="14.25" customHeight="1" x14ac:dyDescent="0.3">
      <c r="A95" s="2">
        <v>94</v>
      </c>
      <c r="B95" s="3" t="s">
        <v>102</v>
      </c>
      <c r="C95" s="2" t="str">
        <f ca="1">IFERROR(__xludf.DUMMYFUNCTION("GOOGLETRANSLATE(B95, ""en"",""es"")"),"atrás")</f>
        <v>atrás</v>
      </c>
      <c r="D95" s="2" t="str">
        <f ca="1">IFERROR(__xludf.DUMMYFUNCTION("GOOGLETRANSLATE(B95,""en"",""ig"")"),"azu")</f>
        <v>azu</v>
      </c>
      <c r="E95" s="2" t="str">
        <f ca="1">IFERROR(__xludf.DUMMYFUNCTION("GOOGLETRANSLATE(B95,""en"",""fr"")"),"dos")</f>
        <v>dos</v>
      </c>
      <c r="F95" s="2" t="str">
        <f ca="1">IFERROR(__xludf.DUMMYFUNCTION("GOOGLETRANSLATE(B95,""en"",""it"")"),"Indietro")</f>
        <v>Indietro</v>
      </c>
      <c r="G95" s="2" t="str">
        <f ca="1">IFERROR(__xludf.DUMMYFUNCTION("GOOGLETRANSLATE(B95,""en"",""de"")"),"zurück")</f>
        <v>zurück</v>
      </c>
      <c r="H95" s="2" t="str">
        <f ca="1">IFERROR(__xludf.DUMMYFUNCTION("GOOGLETRANSLATE(B95,""en"",""zh"")"),"后退")</f>
        <v>后退</v>
      </c>
      <c r="I95" s="2" t="str">
        <f ca="1">IFERROR(__xludf.DUMMYFUNCTION("GOOGLETRANSLATE(B95,""en"",""gd"")"),"air ais")</f>
        <v>air ais</v>
      </c>
    </row>
    <row r="96" spans="1:9" ht="14.25" customHeight="1" x14ac:dyDescent="0.3">
      <c r="A96" s="2">
        <v>95</v>
      </c>
      <c r="B96" s="3" t="s">
        <v>103</v>
      </c>
      <c r="C96" s="2" t="str">
        <f ca="1">IFERROR(__xludf.DUMMYFUNCTION("GOOGLETRANSLATE(B96, ""en"",""es"")"),"significar")</f>
        <v>significar</v>
      </c>
      <c r="D96" s="2" t="str">
        <f ca="1">IFERROR(__xludf.DUMMYFUNCTION("GOOGLETRANSLATE(B96,""en"",""ig"")"),"putara")</f>
        <v>putara</v>
      </c>
      <c r="E96" s="2" t="str">
        <f ca="1">IFERROR(__xludf.DUMMYFUNCTION("GOOGLETRANSLATE(B96,""en"",""fr"")"),"signifier")</f>
        <v>signifier</v>
      </c>
      <c r="F96" s="2" t="str">
        <f ca="1">IFERROR(__xludf.DUMMYFUNCTION("GOOGLETRANSLATE(B96,""en"",""it"")"),"Significare")</f>
        <v>Significare</v>
      </c>
      <c r="G96" s="2" t="str">
        <f ca="1">IFERROR(__xludf.DUMMYFUNCTION("GOOGLETRANSLATE(B96,""en"",""de"")"),"bedeuten")</f>
        <v>bedeuten</v>
      </c>
      <c r="H96" s="2" t="str">
        <f ca="1">IFERROR(__xludf.DUMMYFUNCTION("GOOGLETRANSLATE(B96,""en"",""zh"")"),"意思是")</f>
        <v>意思是</v>
      </c>
      <c r="I96" s="2" t="str">
        <f ca="1">IFERROR(__xludf.DUMMYFUNCTION("GOOGLETRANSLATE(B96,""en"",""gd"")"),"a 'ciallachadh")</f>
        <v>a 'ciallachadh</v>
      </c>
    </row>
    <row r="97" spans="1:9" ht="14.25" customHeight="1" x14ac:dyDescent="0.3">
      <c r="A97" s="2">
        <v>96</v>
      </c>
      <c r="B97" s="3" t="s">
        <v>104</v>
      </c>
      <c r="C97" s="2" t="str">
        <f ca="1">IFERROR(__xludf.DUMMYFUNCTION("GOOGLETRANSLATE(B97, ""en"",""es"")"),"incluso")</f>
        <v>incluso</v>
      </c>
      <c r="D97" s="2" t="str">
        <f ca="1">IFERROR(__xludf.DUMMYFUNCTION("GOOGLETRANSLATE(B97,""en"",""ig"")"),"kwa")</f>
        <v>kwa</v>
      </c>
      <c r="E97" s="2" t="str">
        <f ca="1">IFERROR(__xludf.DUMMYFUNCTION("GOOGLETRANSLATE(B97,""en"",""fr"")"),"même")</f>
        <v>même</v>
      </c>
      <c r="F97" s="2" t="str">
        <f ca="1">IFERROR(__xludf.DUMMYFUNCTION("GOOGLETRANSLATE(B97,""en"",""it"")"),"Anche")</f>
        <v>Anche</v>
      </c>
      <c r="G97" s="2" t="str">
        <f ca="1">IFERROR(__xludf.DUMMYFUNCTION("GOOGLETRANSLATE(B97,""en"",""de"")"),"sogar")</f>
        <v>sogar</v>
      </c>
      <c r="H97" s="2" t="str">
        <f ca="1">IFERROR(__xludf.DUMMYFUNCTION("GOOGLETRANSLATE(B97,""en"",""zh"")"),"甚至")</f>
        <v>甚至</v>
      </c>
      <c r="I97" s="2" t="str">
        <f ca="1">IFERROR(__xludf.DUMMYFUNCTION("GOOGLETRANSLATE(B97,""en"",""gd"")"),"eadhon")</f>
        <v>eadhon</v>
      </c>
    </row>
    <row r="98" spans="1:9" ht="14.25" customHeight="1" x14ac:dyDescent="0.3">
      <c r="A98" s="2">
        <v>97</v>
      </c>
      <c r="B98" s="3" t="s">
        <v>105</v>
      </c>
      <c r="C98" s="2" t="str">
        <f ca="1">IFERROR(__xludf.DUMMYFUNCTION("GOOGLETRANSLATE(B98, ""en"",""es"")"),"puede")</f>
        <v>puede</v>
      </c>
      <c r="D98" s="2" t="str">
        <f ca="1">IFERROR(__xludf.DUMMYFUNCTION("GOOGLETRANSLATE(B98,""en"",""ig"")"),"mee")</f>
        <v>mee</v>
      </c>
      <c r="E98" s="2" t="str">
        <f ca="1">IFERROR(__xludf.DUMMYFUNCTION("GOOGLETRANSLATE(B98,""en"",""fr"")"),"peut")</f>
        <v>peut</v>
      </c>
      <c r="F98" s="2" t="str">
        <f ca="1">IFERROR(__xludf.DUMMYFUNCTION("GOOGLETRANSLATE(B98,""en"",""it"")"),"Maggio")</f>
        <v>Maggio</v>
      </c>
      <c r="G98" s="2" t="str">
        <f ca="1">IFERROR(__xludf.DUMMYFUNCTION("GOOGLETRANSLATE(B98,""en"",""de"")"),"Mai")</f>
        <v>Mai</v>
      </c>
      <c r="H98" s="2" t="str">
        <f ca="1">IFERROR(__xludf.DUMMYFUNCTION("GOOGLETRANSLATE(B98,""en"",""zh"")"),"可能")</f>
        <v>可能</v>
      </c>
      <c r="I98" s="2" t="str">
        <f ca="1">IFERROR(__xludf.DUMMYFUNCTION("GOOGLETRANSLATE(B98,""en"",""gd"")"),"A’ Chèitean")</f>
        <v>A’ Chèitean</v>
      </c>
    </row>
    <row r="99" spans="1:9" ht="14.25" customHeight="1" x14ac:dyDescent="0.3">
      <c r="A99" s="2">
        <v>98</v>
      </c>
      <c r="B99" s="3" t="s">
        <v>106</v>
      </c>
      <c r="C99" s="2" t="str">
        <f ca="1">IFERROR(__xludf.DUMMYFUNCTION("GOOGLETRANSLATE(B99, ""en"",""es"")"),"aquí")</f>
        <v>aquí</v>
      </c>
      <c r="D99" s="2" t="str">
        <f ca="1">IFERROR(__xludf.DUMMYFUNCTION("GOOGLETRANSLATE(B99,""en"",""ig"")"),"Ebe a")</f>
        <v>Ebe a</v>
      </c>
      <c r="E99" s="2" t="str">
        <f ca="1">IFERROR(__xludf.DUMMYFUNCTION("GOOGLETRANSLATE(B99,""en"",""fr"")"),"ici")</f>
        <v>ici</v>
      </c>
      <c r="F99" s="2" t="str">
        <f ca="1">IFERROR(__xludf.DUMMYFUNCTION("GOOGLETRANSLATE(B99,""en"",""it"")"),"Qui")</f>
        <v>Qui</v>
      </c>
      <c r="G99" s="2" t="str">
        <f ca="1">IFERROR(__xludf.DUMMYFUNCTION("GOOGLETRANSLATE(B99,""en"",""de"")"),"Hier")</f>
        <v>Hier</v>
      </c>
      <c r="H99" s="2" t="str">
        <f ca="1">IFERROR(__xludf.DUMMYFUNCTION("GOOGLETRANSLATE(B99,""en"",""zh"")"),"这里")</f>
        <v>这里</v>
      </c>
      <c r="I99" s="2" t="str">
        <f ca="1">IFERROR(__xludf.DUMMYFUNCTION("GOOGLETRANSLATE(B99,""en"",""gd"")"),"an seo")</f>
        <v>an seo</v>
      </c>
    </row>
    <row r="100" spans="1:9" ht="14.25" customHeight="1" x14ac:dyDescent="0.3">
      <c r="A100" s="2">
        <v>99</v>
      </c>
      <c r="B100" s="3" t="s">
        <v>107</v>
      </c>
      <c r="C100" s="2" t="str">
        <f ca="1">IFERROR(__xludf.DUMMYFUNCTION("GOOGLETRANSLATE(B100, ""en"",""es"")"),"muchos")</f>
        <v>muchos</v>
      </c>
      <c r="D100" s="2" t="str">
        <f ca="1">IFERROR(__xludf.DUMMYFUNCTION("GOOGLETRANSLATE(B100,""en"",""ig"")"),"keotutu")</f>
        <v>keotutu</v>
      </c>
      <c r="E100" s="2" t="str">
        <f ca="1">IFERROR(__xludf.DUMMYFUNCTION("GOOGLETRANSLATE(B100,""en"",""fr"")"),"beaucoup")</f>
        <v>beaucoup</v>
      </c>
      <c r="F100" s="2" t="str">
        <f ca="1">IFERROR(__xludf.DUMMYFUNCTION("GOOGLETRANSLATE(B100,""en"",""it"")"),"molti")</f>
        <v>molti</v>
      </c>
      <c r="G100" s="2" t="str">
        <f ca="1">IFERROR(__xludf.DUMMYFUNCTION("GOOGLETRANSLATE(B100,""en"",""de"")"),"viele")</f>
        <v>viele</v>
      </c>
      <c r="H100" s="2" t="str">
        <f ca="1">IFERROR(__xludf.DUMMYFUNCTION("GOOGLETRANSLATE(B100,""en"",""zh"")"),"许多")</f>
        <v>许多</v>
      </c>
      <c r="I100" s="2" t="str">
        <f ca="1">IFERROR(__xludf.DUMMYFUNCTION("GOOGLETRANSLATE(B100,""en"",""gd"")"),"mòran")</f>
        <v>mòran</v>
      </c>
    </row>
    <row r="101" spans="1:9" ht="14.25" customHeight="1" x14ac:dyDescent="0.3">
      <c r="A101" s="2">
        <v>100</v>
      </c>
      <c r="B101" s="3" t="s">
        <v>108</v>
      </c>
      <c r="C101" s="2" t="str">
        <f ca="1">IFERROR(__xludf.DUMMYFUNCTION("GOOGLETRANSLATE(B101, ""en"",""es"")"),"semejante")</f>
        <v>semejante</v>
      </c>
      <c r="D101" s="2" t="str">
        <f ca="1">IFERROR(__xludf.DUMMYFUNCTION("GOOGLETRANSLATE(B101,""en"",""ig"")"),"dika")</f>
        <v>dika</v>
      </c>
      <c r="E101" s="2" t="str">
        <f ca="1">IFERROR(__xludf.DUMMYFUNCTION("GOOGLETRANSLATE(B101,""en"",""fr"")"),"tel")</f>
        <v>tel</v>
      </c>
      <c r="F101" s="2" t="str">
        <f ca="1">IFERROR(__xludf.DUMMYFUNCTION("GOOGLETRANSLATE(B101,""en"",""it"")"),"come")</f>
        <v>come</v>
      </c>
      <c r="G101" s="2" t="str">
        <f ca="1">IFERROR(__xludf.DUMMYFUNCTION("GOOGLETRANSLATE(B101,""en"",""de"")"),"solch")</f>
        <v>solch</v>
      </c>
      <c r="H101" s="2" t="str">
        <f ca="1">IFERROR(__xludf.DUMMYFUNCTION("GOOGLETRANSLATE(B101,""en"",""zh"")"),"这样的")</f>
        <v>这样的</v>
      </c>
      <c r="I101" s="2" t="str">
        <f ca="1">IFERROR(__xludf.DUMMYFUNCTION("GOOGLETRANSLATE(B101,""en"",""gd"")"),"mar sin")</f>
        <v>mar sin</v>
      </c>
    </row>
    <row r="102" spans="1:9" ht="14.25" customHeight="1" x14ac:dyDescent="0.3">
      <c r="A102" s="2">
        <v>101</v>
      </c>
      <c r="B102" s="3" t="s">
        <v>109</v>
      </c>
      <c r="C102" s="2" t="str">
        <f ca="1">IFERROR(__xludf.DUMMYFUNCTION("GOOGLETRANSLATE(B102, ""en"",""es"")"),"último")</f>
        <v>último</v>
      </c>
      <c r="D102" s="2" t="str">
        <f ca="1">IFERROR(__xludf.DUMMYFUNCTION("GOOGLETRANSLATE(B102,""en"",""ig"")"),"keikpeazu")</f>
        <v>keikpeazu</v>
      </c>
      <c r="E102" s="2" t="str">
        <f ca="1">IFERROR(__xludf.DUMMYFUNCTION("GOOGLETRANSLATE(B102,""en"",""fr"")"),"dernier")</f>
        <v>dernier</v>
      </c>
      <c r="F102" s="2" t="str">
        <f ca="1">IFERROR(__xludf.DUMMYFUNCTION("GOOGLETRANSLATE(B102,""en"",""it"")"),"scorso")</f>
        <v>scorso</v>
      </c>
      <c r="G102" s="2" t="str">
        <f ca="1">IFERROR(__xludf.DUMMYFUNCTION("GOOGLETRANSLATE(B102,""en"",""de"")"),"zuletzt")</f>
        <v>zuletzt</v>
      </c>
      <c r="H102" s="2" t="str">
        <f ca="1">IFERROR(__xludf.DUMMYFUNCTION("GOOGLETRANSLATE(B102,""en"",""zh"")"),"最后的")</f>
        <v>最后的</v>
      </c>
      <c r="I102" s="2" t="str">
        <f ca="1">IFERROR(__xludf.DUMMYFUNCTION("GOOGLETRANSLATE(B102,""en"",""gd"")"),"mu dheireadh")</f>
        <v>mu dheireadh</v>
      </c>
    </row>
    <row r="103" spans="1:9" ht="14.25" customHeight="1" x14ac:dyDescent="0.3">
      <c r="A103" s="2">
        <v>102</v>
      </c>
      <c r="B103" s="3" t="s">
        <v>110</v>
      </c>
      <c r="C103" s="2" t="str">
        <f ca="1">IFERROR(__xludf.DUMMYFUNCTION("GOOGLETRANSLATE(B103, ""en"",""es"")"),"niño")</f>
        <v>niño</v>
      </c>
      <c r="D103" s="2" t="str">
        <f ca="1">IFERROR(__xludf.DUMMYFUNCTION("GOOGLETRANSLATE(B103,""en"",""ig"")"),"nwata")</f>
        <v>nwata</v>
      </c>
      <c r="E103" s="2" t="str">
        <f ca="1">IFERROR(__xludf.DUMMYFUNCTION("GOOGLETRANSLATE(B103,""en"",""fr"")"),"enfant")</f>
        <v>enfant</v>
      </c>
      <c r="F103" s="2" t="str">
        <f ca="1">IFERROR(__xludf.DUMMYFUNCTION("GOOGLETRANSLATE(B103,""en"",""it"")"),"bambino")</f>
        <v>bambino</v>
      </c>
      <c r="G103" s="2" t="str">
        <f ca="1">IFERROR(__xludf.DUMMYFUNCTION("GOOGLETRANSLATE(B103,""en"",""de"")"),"Kind")</f>
        <v>Kind</v>
      </c>
      <c r="H103" s="2" t="str">
        <f ca="1">IFERROR(__xludf.DUMMYFUNCTION("GOOGLETRANSLATE(B103,""en"",""zh"")"),"孩子")</f>
        <v>孩子</v>
      </c>
      <c r="I103" s="2" t="str">
        <f ca="1">IFERROR(__xludf.DUMMYFUNCTION("GOOGLETRANSLATE(B103,""en"",""gd"")"),"leanabh")</f>
        <v>leanabh</v>
      </c>
    </row>
    <row r="104" spans="1:9" ht="14.25" customHeight="1" x14ac:dyDescent="0.3">
      <c r="A104" s="2">
        <v>103</v>
      </c>
      <c r="B104" s="3" t="s">
        <v>111</v>
      </c>
      <c r="C104" s="2" t="str">
        <f ca="1">IFERROR(__xludf.DUMMYFUNCTION("GOOGLETRANSLATE(B104, ""en"",""es"")"),"decir")</f>
        <v>decir</v>
      </c>
      <c r="D104" s="2" t="str">
        <f ca="1">IFERROR(__xludf.DUMMYFUNCTION("GOOGLETRANSLATE(B104,""en"",""ig"")"),"ikuzi")</f>
        <v>ikuzi</v>
      </c>
      <c r="E104" s="2" t="str">
        <f ca="1">IFERROR(__xludf.DUMMYFUNCTION("GOOGLETRANSLATE(B104,""en"",""fr"")"),"dire")</f>
        <v>dire</v>
      </c>
      <c r="F104" s="2" t="str">
        <f ca="1">IFERROR(__xludf.DUMMYFUNCTION("GOOGLETRANSLATE(B104,""en"",""it"")"),"raccontare")</f>
        <v>raccontare</v>
      </c>
      <c r="G104" s="2" t="str">
        <f ca="1">IFERROR(__xludf.DUMMYFUNCTION("GOOGLETRANSLATE(B104,""en"",""de"")"),"erzählen")</f>
        <v>erzählen</v>
      </c>
      <c r="H104" s="2" t="str">
        <f ca="1">IFERROR(__xludf.DUMMYFUNCTION("GOOGLETRANSLATE(B104,""en"",""zh"")"),"告诉")</f>
        <v>告诉</v>
      </c>
      <c r="I104" s="2" t="str">
        <f ca="1">IFERROR(__xludf.DUMMYFUNCTION("GOOGLETRANSLATE(B104,""en"",""gd"")"),"innis")</f>
        <v>innis</v>
      </c>
    </row>
    <row r="105" spans="1:9" ht="14.25" customHeight="1" x14ac:dyDescent="0.3">
      <c r="A105" s="2">
        <v>104</v>
      </c>
      <c r="B105" s="3" t="s">
        <v>112</v>
      </c>
      <c r="C105" s="2" t="str">
        <f ca="1">IFERROR(__xludf.DUMMYFUNCTION("GOOGLETRANSLATE(B105, ""en"",""es"")"),"en realidad")</f>
        <v>en realidad</v>
      </c>
      <c r="D105" s="2" t="str">
        <f ca="1">IFERROR(__xludf.DUMMYFUNCTION("GOOGLETRANSLATE(B105,""en"",""ig"")"),"nke nsiridi")</f>
        <v>nke nsiridi</v>
      </c>
      <c r="E105" s="2" t="str">
        <f ca="1">IFERROR(__xludf.DUMMYFUNCTION("GOOGLETRANSLATE(B105,""en"",""fr"")"),"vraiment")</f>
        <v>vraiment</v>
      </c>
      <c r="F105" s="2" t="str">
        <f ca="1">IFERROR(__xludf.DUMMYFUNCTION("GOOGLETRANSLATE(B105,""en"",""it"")"),"Veramente")</f>
        <v>Veramente</v>
      </c>
      <c r="G105" s="2" t="str">
        <f ca="1">IFERROR(__xludf.DUMMYFUNCTION("GOOGLETRANSLATE(B105,""en"",""de"")"),"Wirklich")</f>
        <v>Wirklich</v>
      </c>
      <c r="H105" s="2" t="str">
        <f ca="1">IFERROR(__xludf.DUMMYFUNCTION("GOOGLETRANSLATE(B105,""en"",""zh"")"),"真的")</f>
        <v>真的</v>
      </c>
      <c r="I105" s="2" t="str">
        <f ca="1">IFERROR(__xludf.DUMMYFUNCTION("GOOGLETRANSLATE(B105,""en"",""gd"")"),"dha-rìribh")</f>
        <v>dha-rìribh</v>
      </c>
    </row>
    <row r="106" spans="1:9" ht="14.25" customHeight="1" x14ac:dyDescent="0.3">
      <c r="A106" s="2">
        <v>105</v>
      </c>
      <c r="B106" s="3" t="s">
        <v>113</v>
      </c>
      <c r="C106" s="2" t="str">
        <f ca="1">IFERROR(__xludf.DUMMYFUNCTION("GOOGLETRANSLATE(B106, ""en"",""es"")"),"llamar")</f>
        <v>llamar</v>
      </c>
      <c r="D106" s="2" t="str">
        <f ca="1">IFERROR(__xludf.DUMMYFUNCTION("GOOGLETRANSLATE(B106,""en"",""ig"")"),"okpukpo")</f>
        <v>okpukpo</v>
      </c>
      <c r="E106" s="2" t="str">
        <f ca="1">IFERROR(__xludf.DUMMYFUNCTION("GOOGLETRANSLATE(B106,""en"",""fr"")"),"appel")</f>
        <v>appel</v>
      </c>
      <c r="F106" s="2" t="str">
        <f ca="1">IFERROR(__xludf.DUMMYFUNCTION("GOOGLETRANSLATE(B106,""en"",""it"")"),"chiamata")</f>
        <v>chiamata</v>
      </c>
      <c r="G106" s="2" t="str">
        <f ca="1">IFERROR(__xludf.DUMMYFUNCTION("GOOGLETRANSLATE(B106,""en"",""de"")"),"Anruf")</f>
        <v>Anruf</v>
      </c>
      <c r="H106" s="2" t="str">
        <f ca="1">IFERROR(__xludf.DUMMYFUNCTION("GOOGLETRANSLATE(B106,""en"",""zh"")"),"称呼")</f>
        <v>称呼</v>
      </c>
      <c r="I106" s="2" t="str">
        <f ca="1">IFERROR(__xludf.DUMMYFUNCTION("GOOGLETRANSLATE(B106,""en"",""gd"")"),"gairm")</f>
        <v>gairm</v>
      </c>
    </row>
    <row r="107" spans="1:9" ht="14.25" customHeight="1" x14ac:dyDescent="0.3">
      <c r="A107" s="2">
        <v>106</v>
      </c>
      <c r="B107" s="3" t="s">
        <v>114</v>
      </c>
      <c r="C107" s="2" t="str">
        <f ca="1">IFERROR(__xludf.DUMMYFUNCTION("GOOGLETRANSLATE(B107, ""en"",""es"")"),"antes")</f>
        <v>antes</v>
      </c>
      <c r="D107" s="2" t="str">
        <f ca="1">IFERROR(__xludf.DUMMYFUNCTION("GOOGLETRANSLATE(B107,""en"",""ig"")"),"tupu")</f>
        <v>tupu</v>
      </c>
      <c r="E107" s="2" t="str">
        <f ca="1">IFERROR(__xludf.DUMMYFUNCTION("GOOGLETRANSLATE(B107,""en"",""fr"")"),"avant")</f>
        <v>avant</v>
      </c>
      <c r="F107" s="2" t="str">
        <f ca="1">IFERROR(__xludf.DUMMYFUNCTION("GOOGLETRANSLATE(B107,""en"",""it"")"),"Prima")</f>
        <v>Prima</v>
      </c>
      <c r="G107" s="2" t="str">
        <f ca="1">IFERROR(__xludf.DUMMYFUNCTION("GOOGLETRANSLATE(B107,""en"",""de"")"),"Vor")</f>
        <v>Vor</v>
      </c>
      <c r="H107" s="2" t="str">
        <f ca="1">IFERROR(__xludf.DUMMYFUNCTION("GOOGLETRANSLATE(B107,""en"",""zh"")"),"前")</f>
        <v>前</v>
      </c>
      <c r="I107" s="2" t="str">
        <f ca="1">IFERROR(__xludf.DUMMYFUNCTION("GOOGLETRANSLATE(B107,""en"",""gd"")"),"roimhe seo")</f>
        <v>roimhe seo</v>
      </c>
    </row>
    <row r="108" spans="1:9" ht="14.25" customHeight="1" x14ac:dyDescent="0.3">
      <c r="A108" s="2">
        <v>107</v>
      </c>
      <c r="B108" s="3" t="s">
        <v>115</v>
      </c>
      <c r="C108" s="2" t="str">
        <f ca="1">IFERROR(__xludf.DUMMYFUNCTION("GOOGLETRANSLATE(B108, ""en"",""es"")"),"compañía")</f>
        <v>compañía</v>
      </c>
      <c r="D108" s="2" t="str">
        <f ca="1">IFERROR(__xludf.DUMMYFUNCTION("GOOGLETRANSLATE(B108,""en"",""ig"")"),"nsoro")</f>
        <v>nsoro</v>
      </c>
      <c r="E108" s="2" t="str">
        <f ca="1">IFERROR(__xludf.DUMMYFUNCTION("GOOGLETRANSLATE(B108,""en"",""fr"")"),"entreprise")</f>
        <v>entreprise</v>
      </c>
      <c r="F108" s="2" t="str">
        <f ca="1">IFERROR(__xludf.DUMMYFUNCTION("GOOGLETRANSLATE(B108,""en"",""it"")"),"azienda")</f>
        <v>azienda</v>
      </c>
      <c r="G108" s="2" t="str">
        <f ca="1">IFERROR(__xludf.DUMMYFUNCTION("GOOGLETRANSLATE(B108,""en"",""de"")"),"Unternehmen")</f>
        <v>Unternehmen</v>
      </c>
      <c r="H108" s="2" t="str">
        <f ca="1">IFERROR(__xludf.DUMMYFUNCTION("GOOGLETRANSLATE(B108,""en"",""zh"")"),"公司")</f>
        <v>公司</v>
      </c>
      <c r="I108" s="2" t="str">
        <f ca="1">IFERROR(__xludf.DUMMYFUNCTION("GOOGLETRANSLATE(B108,""en"",""gd"")"),"companaidh")</f>
        <v>companaidh</v>
      </c>
    </row>
    <row r="109" spans="1:9" ht="14.25" customHeight="1" x14ac:dyDescent="0.3">
      <c r="A109" s="2">
        <v>108</v>
      </c>
      <c r="B109" s="3" t="s">
        <v>116</v>
      </c>
      <c r="C109" s="2" t="str">
        <f ca="1">IFERROR(__xludf.DUMMYFUNCTION("GOOGLETRANSLATE(B109, ""en"",""es"")"),"a través de")</f>
        <v>a través de</v>
      </c>
      <c r="D109" s="2" t="str">
        <f ca="1">IFERROR(__xludf.DUMMYFUNCTION("GOOGLETRANSLATE(B109,""en"",""ig"")"),"truu")</f>
        <v>truu</v>
      </c>
      <c r="E109" s="2" t="str">
        <f ca="1">IFERROR(__xludf.DUMMYFUNCTION("GOOGLETRANSLATE(B109,""en"",""fr"")"),"à travers")</f>
        <v>à travers</v>
      </c>
      <c r="F109" s="2" t="str">
        <f ca="1">IFERROR(__xludf.DUMMYFUNCTION("GOOGLETRANSLATE(B109,""en"",""it"")"),"Attraverso")</f>
        <v>Attraverso</v>
      </c>
      <c r="G109" s="2" t="str">
        <f ca="1">IFERROR(__xludf.DUMMYFUNCTION("GOOGLETRANSLATE(B109,""en"",""de"")"),"durch")</f>
        <v>durch</v>
      </c>
      <c r="H109" s="2" t="str">
        <f ca="1">IFERROR(__xludf.DUMMYFUNCTION("GOOGLETRANSLATE(B109,""en"",""zh"")"),"通过")</f>
        <v>通过</v>
      </c>
      <c r="I109" s="2" t="str">
        <f ca="1">IFERROR(__xludf.DUMMYFUNCTION("GOOGLETRANSLATE(B109,""en"",""gd"")"),"troimhe")</f>
        <v>troimhe</v>
      </c>
    </row>
    <row r="110" spans="1:9" ht="14.25" customHeight="1" x14ac:dyDescent="0.3">
      <c r="A110" s="2">
        <v>109</v>
      </c>
      <c r="B110" s="3" t="s">
        <v>117</v>
      </c>
      <c r="C110" s="2" t="str">
        <f ca="1">IFERROR(__xludf.DUMMYFUNCTION("GOOGLETRANSLATE(B110, ""en"",""es"")"),"abajo")</f>
        <v>abajo</v>
      </c>
      <c r="D110" s="2" t="str">
        <f ca="1">IFERROR(__xludf.DUMMYFUNCTION("GOOGLETRANSLATE(B110,""en"",""ig"")"),"ala")</f>
        <v>ala</v>
      </c>
      <c r="E110" s="2" t="str">
        <f ca="1">IFERROR(__xludf.DUMMYFUNCTION("GOOGLETRANSLATE(B110,""en"",""fr"")"),"vers le bas")</f>
        <v>vers le bas</v>
      </c>
      <c r="F110" s="2" t="str">
        <f ca="1">IFERROR(__xludf.DUMMYFUNCTION("GOOGLETRANSLATE(B110,""en"",""it"")"),"giù")</f>
        <v>giù</v>
      </c>
      <c r="G110" s="2" t="str">
        <f ca="1">IFERROR(__xludf.DUMMYFUNCTION("GOOGLETRANSLATE(B110,""en"",""de"")"),"runter")</f>
        <v>runter</v>
      </c>
      <c r="H110" s="2" t="str">
        <f ca="1">IFERROR(__xludf.DUMMYFUNCTION("GOOGLETRANSLATE(B110,""en"",""zh"")"),"向下")</f>
        <v>向下</v>
      </c>
      <c r="I110" s="2" t="str">
        <f ca="1">IFERROR(__xludf.DUMMYFUNCTION("GOOGLETRANSLATE(B110,""en"",""gd"")"),"sìos")</f>
        <v>sìos</v>
      </c>
    </row>
    <row r="111" spans="1:9" ht="14.25" customHeight="1" x14ac:dyDescent="0.3">
      <c r="A111" s="2">
        <v>110</v>
      </c>
      <c r="B111" s="3" t="s">
        <v>118</v>
      </c>
      <c r="C111" s="2" t="str">
        <f ca="1">IFERROR(__xludf.DUMMYFUNCTION("GOOGLETRANSLATE(B111, ""en"",""es"")"),"espectáculo")</f>
        <v>espectáculo</v>
      </c>
      <c r="D111" s="2" t="str">
        <f ca="1">IFERROR(__xludf.DUMMYFUNCTION("GOOGLETRANSLATE(B111,""en"",""ig"")"),"izi")</f>
        <v>izi</v>
      </c>
      <c r="E111" s="2" t="str">
        <f ca="1">IFERROR(__xludf.DUMMYFUNCTION("GOOGLETRANSLATE(B111,""en"",""fr"")"),"montrer")</f>
        <v>montrer</v>
      </c>
      <c r="F111" s="2" t="str">
        <f ca="1">IFERROR(__xludf.DUMMYFUNCTION("GOOGLETRANSLATE(B111,""en"",""it"")"),"spettacolo")</f>
        <v>spettacolo</v>
      </c>
      <c r="G111" s="2" t="str">
        <f ca="1">IFERROR(__xludf.DUMMYFUNCTION("GOOGLETRANSLATE(B111,""en"",""de"")"),"zeigen")</f>
        <v>zeigen</v>
      </c>
      <c r="H111" s="2" t="str">
        <f ca="1">IFERROR(__xludf.DUMMYFUNCTION("GOOGLETRANSLATE(B111,""en"",""zh"")"),"展示")</f>
        <v>展示</v>
      </c>
      <c r="I111" s="2" t="str">
        <f ca="1">IFERROR(__xludf.DUMMYFUNCTION("GOOGLETRANSLATE(B111,""en"",""gd"")"),"Taisbeanadh")</f>
        <v>Taisbeanadh</v>
      </c>
    </row>
    <row r="112" spans="1:9" ht="14.25" customHeight="1" x14ac:dyDescent="0.3">
      <c r="A112" s="2">
        <v>111</v>
      </c>
      <c r="B112" s="3" t="s">
        <v>119</v>
      </c>
      <c r="C112" s="2" t="str">
        <f ca="1">IFERROR(__xludf.DUMMYFUNCTION("GOOGLETRANSLATE(B112, ""en"",""es"")"),"vida")</f>
        <v>vida</v>
      </c>
      <c r="D112" s="2" t="str">
        <f ca="1">IFERROR(__xludf.DUMMYFUNCTION("GOOGLETRANSLATE(B112,""en"",""ig"")"),"ndu")</f>
        <v>ndu</v>
      </c>
      <c r="E112" s="2" t="str">
        <f ca="1">IFERROR(__xludf.DUMMYFUNCTION("GOOGLETRANSLATE(B112,""en"",""fr"")"),"vie")</f>
        <v>vie</v>
      </c>
      <c r="F112" s="2" t="str">
        <f ca="1">IFERROR(__xludf.DUMMYFUNCTION("GOOGLETRANSLATE(B112,""en"",""it"")"),"vita")</f>
        <v>vita</v>
      </c>
      <c r="G112" s="2" t="str">
        <f ca="1">IFERROR(__xludf.DUMMYFUNCTION("GOOGLETRANSLATE(B112,""en"",""de"")"),"Leben")</f>
        <v>Leben</v>
      </c>
      <c r="H112" s="2" t="str">
        <f ca="1">IFERROR(__xludf.DUMMYFUNCTION("GOOGLETRANSLATE(B112,""en"",""zh"")"),"生活")</f>
        <v>生活</v>
      </c>
      <c r="I112" s="2" t="str">
        <f ca="1">IFERROR(__xludf.DUMMYFUNCTION("GOOGLETRANSLATE(B112,""en"",""gd"")"),"Beatha")</f>
        <v>Beatha</v>
      </c>
    </row>
    <row r="113" spans="1:9" ht="14.25" customHeight="1" x14ac:dyDescent="0.3">
      <c r="A113" s="2">
        <v>112</v>
      </c>
      <c r="B113" s="3" t="s">
        <v>120</v>
      </c>
      <c r="C113" s="2" t="str">
        <f ca="1">IFERROR(__xludf.DUMMYFUNCTION("GOOGLETRANSLATE(B113, ""en"",""es"")"),"hombre")</f>
        <v>hombre</v>
      </c>
      <c r="D113" s="2" t="str">
        <f ca="1">IFERROR(__xludf.DUMMYFUNCTION("GOOGLETRANSLATE(B113,""en"",""ig"")"),"nwoke")</f>
        <v>nwoke</v>
      </c>
      <c r="E113" s="2" t="str">
        <f ca="1">IFERROR(__xludf.DUMMYFUNCTION("GOOGLETRANSLATE(B113,""en"",""fr"")"),"homme")</f>
        <v>homme</v>
      </c>
      <c r="F113" s="2" t="str">
        <f ca="1">IFERROR(__xludf.DUMMYFUNCTION("GOOGLETRANSLATE(B113,""en"",""it"")"),"Uomo")</f>
        <v>Uomo</v>
      </c>
      <c r="G113" s="2" t="str">
        <f ca="1">IFERROR(__xludf.DUMMYFUNCTION("GOOGLETRANSLATE(B113,""en"",""de"")"),"Mann")</f>
        <v>Mann</v>
      </c>
      <c r="H113" s="2" t="str">
        <f ca="1">IFERROR(__xludf.DUMMYFUNCTION("GOOGLETRANSLATE(B113,""en"",""zh"")"),"男人")</f>
        <v>男人</v>
      </c>
      <c r="I113" s="2" t="str">
        <f ca="1">IFERROR(__xludf.DUMMYFUNCTION("GOOGLETRANSLATE(B113,""en"",""gd"")"),"Fear")</f>
        <v>Fear</v>
      </c>
    </row>
    <row r="114" spans="1:9" ht="14.25" customHeight="1" x14ac:dyDescent="0.3">
      <c r="A114" s="2">
        <v>113</v>
      </c>
      <c r="B114" s="3" t="s">
        <v>121</v>
      </c>
      <c r="C114" s="2" t="str">
        <f ca="1">IFERROR(__xludf.DUMMYFUNCTION("GOOGLETRANSLATE(B114, ""en"",""es"")"),"cambiar")</f>
        <v>cambiar</v>
      </c>
      <c r="D114" s="2" t="str">
        <f ca="1">IFERROR(__xludf.DUMMYFUNCTION("GOOGLETRANSLATE(B114,""en"",""ig"")"),"igbanwe")</f>
        <v>igbanwe</v>
      </c>
      <c r="E114" s="2" t="str">
        <f ca="1">IFERROR(__xludf.DUMMYFUNCTION("GOOGLETRANSLATE(B114,""en"",""fr"")"),"changement")</f>
        <v>changement</v>
      </c>
      <c r="F114" s="2" t="str">
        <f ca="1">IFERROR(__xludf.DUMMYFUNCTION("GOOGLETRANSLATE(B114,""en"",""it"")"),"modifica")</f>
        <v>modifica</v>
      </c>
      <c r="G114" s="2" t="str">
        <f ca="1">IFERROR(__xludf.DUMMYFUNCTION("GOOGLETRANSLATE(B114,""en"",""de"")"),"ändern")</f>
        <v>ändern</v>
      </c>
      <c r="H114" s="2" t="str">
        <f ca="1">IFERROR(__xludf.DUMMYFUNCTION("GOOGLETRANSLATE(B114,""en"",""zh"")"),"改变")</f>
        <v>改变</v>
      </c>
      <c r="I114" s="2" t="str">
        <f ca="1">IFERROR(__xludf.DUMMYFUNCTION("GOOGLETRANSLATE(B114,""en"",""gd"")"),"Atharrachadh")</f>
        <v>Atharrachadh</v>
      </c>
    </row>
    <row r="115" spans="1:9" ht="14.25" customHeight="1" x14ac:dyDescent="0.3">
      <c r="A115" s="2">
        <v>114</v>
      </c>
      <c r="B115" s="3" t="s">
        <v>122</v>
      </c>
      <c r="C115" s="2" t="str">
        <f ca="1">IFERROR(__xludf.DUMMYFUNCTION("GOOGLETRANSLATE(B115, ""en"",""es"")"),"lugar")</f>
        <v>lugar</v>
      </c>
      <c r="D115" s="2" t="str">
        <f ca="1">IFERROR(__xludf.DUMMYFUNCTION("GOOGLETRANSLATE(B115,""en"",""ig"")"),"dowe")</f>
        <v>dowe</v>
      </c>
      <c r="E115" s="2" t="str">
        <f ca="1">IFERROR(__xludf.DUMMYFUNCTION("GOOGLETRANSLATE(B115,""en"",""fr"")"),"lieu")</f>
        <v>lieu</v>
      </c>
      <c r="F115" s="2" t="str">
        <f ca="1">IFERROR(__xludf.DUMMYFUNCTION("GOOGLETRANSLATE(B115,""en"",""it"")"),"posto")</f>
        <v>posto</v>
      </c>
      <c r="G115" s="2" t="str">
        <f ca="1">IFERROR(__xludf.DUMMYFUNCTION("GOOGLETRANSLATE(B115,""en"",""de"")"),"Ort")</f>
        <v>Ort</v>
      </c>
      <c r="H115" s="2" t="str">
        <f ca="1">IFERROR(__xludf.DUMMYFUNCTION("GOOGLETRANSLATE(B115,""en"",""zh"")"),"地方")</f>
        <v>地方</v>
      </c>
      <c r="I115" s="2" t="str">
        <f ca="1">IFERROR(__xludf.DUMMYFUNCTION("GOOGLETRANSLATE(B115,""en"",""gd"")"),"Àite")</f>
        <v>Àite</v>
      </c>
    </row>
    <row r="116" spans="1:9" ht="14.25" customHeight="1" x14ac:dyDescent="0.3">
      <c r="A116" s="2">
        <v>115</v>
      </c>
      <c r="B116" s="3" t="s">
        <v>123</v>
      </c>
      <c r="C116" s="2" t="str">
        <f ca="1">IFERROR(__xludf.DUMMYFUNCTION("GOOGLETRANSLATE(B116, ""en"",""es"")"),"largo")</f>
        <v>largo</v>
      </c>
      <c r="D116" s="2" t="str">
        <f ca="1">IFERROR(__xludf.DUMMYFUNCTION("GOOGLETRANSLATE(B116,""en"",""ig"")"),"keogologo")</f>
        <v>keogologo</v>
      </c>
      <c r="E116" s="2" t="str">
        <f ca="1">IFERROR(__xludf.DUMMYFUNCTION("GOOGLETRANSLATE(B116,""en"",""fr"")"),"long")</f>
        <v>long</v>
      </c>
      <c r="F116" s="2" t="str">
        <f ca="1">IFERROR(__xludf.DUMMYFUNCTION("GOOGLETRANSLATE(B116,""en"",""it"")"),"lungo")</f>
        <v>lungo</v>
      </c>
      <c r="G116" s="2" t="str">
        <f ca="1">IFERROR(__xludf.DUMMYFUNCTION("GOOGLETRANSLATE(B116,""en"",""de"")"),"lang")</f>
        <v>lang</v>
      </c>
      <c r="H116" s="2" t="str">
        <f ca="1">IFERROR(__xludf.DUMMYFUNCTION("GOOGLETRANSLATE(B116,""en"",""zh"")"),"长的")</f>
        <v>长的</v>
      </c>
      <c r="I116" s="2" t="str">
        <f ca="1">IFERROR(__xludf.DUMMYFUNCTION("GOOGLETRANSLATE(B116,""en"",""gd"")"),"fada")</f>
        <v>fada</v>
      </c>
    </row>
    <row r="117" spans="1:9" ht="14.25" customHeight="1" x14ac:dyDescent="0.3">
      <c r="A117" s="2">
        <v>116</v>
      </c>
      <c r="B117" s="3" t="s">
        <v>124</v>
      </c>
      <c r="C117" s="2" t="str">
        <f ca="1">IFERROR(__xludf.DUMMYFUNCTION("GOOGLETRANSLATE(B117, ""en"",""es"")"),"entre")</f>
        <v>entre</v>
      </c>
      <c r="D117" s="2" t="str">
        <f ca="1">IFERROR(__xludf.DUMMYFUNCTION("GOOGLETRANSLATE(B117,""en"",""ig"")"),"n'etiti")</f>
        <v>n'etiti</v>
      </c>
      <c r="E117" s="2" t="str">
        <f ca="1">IFERROR(__xludf.DUMMYFUNCTION("GOOGLETRANSLATE(B117,""en"",""fr"")"),"entre")</f>
        <v>entre</v>
      </c>
      <c r="F117" s="2" t="str">
        <f ca="1">IFERROR(__xludf.DUMMYFUNCTION("GOOGLETRANSLATE(B117,""en"",""it"")"),"fra")</f>
        <v>fra</v>
      </c>
      <c r="G117" s="2" t="str">
        <f ca="1">IFERROR(__xludf.DUMMYFUNCTION("GOOGLETRANSLATE(B117,""en"",""de"")"),"zwischen")</f>
        <v>zwischen</v>
      </c>
      <c r="H117" s="2" t="str">
        <f ca="1">IFERROR(__xludf.DUMMYFUNCTION("GOOGLETRANSLATE(B117,""en"",""zh"")"),"之间")</f>
        <v>之间</v>
      </c>
      <c r="I117" s="2" t="str">
        <f ca="1">IFERROR(__xludf.DUMMYFUNCTION("GOOGLETRANSLATE(B117,""en"",""gd"")"),"eadar")</f>
        <v>eadar</v>
      </c>
    </row>
    <row r="118" spans="1:9" ht="14.25" customHeight="1" x14ac:dyDescent="0.3">
      <c r="A118" s="2">
        <v>117</v>
      </c>
      <c r="B118" s="3" t="s">
        <v>125</v>
      </c>
      <c r="C118" s="2" t="str">
        <f ca="1">IFERROR(__xludf.DUMMYFUNCTION("GOOGLETRANSLATE(B118, ""en"",""es"")"),"sentir")</f>
        <v>sentir</v>
      </c>
      <c r="D118" s="2" t="str">
        <f ca="1">IFERROR(__xludf.DUMMYFUNCTION("GOOGLETRANSLATE(B118,""en"",""ig"")"),"imetuta")</f>
        <v>imetuta</v>
      </c>
      <c r="E118" s="2" t="str">
        <f ca="1">IFERROR(__xludf.DUMMYFUNCTION("GOOGLETRANSLATE(B118,""en"",""fr"")"),"sentir")</f>
        <v>sentir</v>
      </c>
      <c r="F118" s="2" t="str">
        <f ca="1">IFERROR(__xludf.DUMMYFUNCTION("GOOGLETRANSLATE(B118,""en"",""it"")"),"Tatto")</f>
        <v>Tatto</v>
      </c>
      <c r="G118" s="2" t="str">
        <f ca="1">IFERROR(__xludf.DUMMYFUNCTION("GOOGLETRANSLATE(B118,""en"",""de"")"),"fühlen")</f>
        <v>fühlen</v>
      </c>
      <c r="H118" s="2" t="str">
        <f ca="1">IFERROR(__xludf.DUMMYFUNCTION("GOOGLETRANSLATE(B118,""en"",""zh"")"),"感觉")</f>
        <v>感觉</v>
      </c>
      <c r="I118" s="2" t="str">
        <f ca="1">IFERROR(__xludf.DUMMYFUNCTION("GOOGLETRANSLATE(B118,""en"",""gd"")"),"faireachdainn")</f>
        <v>faireachdainn</v>
      </c>
    </row>
    <row r="119" spans="1:9" ht="14.25" customHeight="1" x14ac:dyDescent="0.3">
      <c r="A119" s="2">
        <v>118</v>
      </c>
      <c r="B119" s="3" t="s">
        <v>126</v>
      </c>
      <c r="C119" s="2" t="str">
        <f ca="1">IFERROR(__xludf.DUMMYFUNCTION("GOOGLETRANSLATE(B119, ""en"",""es"")"),"también")</f>
        <v>también</v>
      </c>
      <c r="D119" s="2" t="str">
        <f ca="1">IFERROR(__xludf.DUMMYFUNCTION("GOOGLETRANSLATE(B119,""en"",""ig"")"),"kwa")</f>
        <v>kwa</v>
      </c>
      <c r="E119" s="2" t="str">
        <f ca="1">IFERROR(__xludf.DUMMYFUNCTION("GOOGLETRANSLATE(B119,""en"",""fr"")"),"aussi")</f>
        <v>aussi</v>
      </c>
      <c r="F119" s="2" t="str">
        <f ca="1">IFERROR(__xludf.DUMMYFUNCTION("GOOGLETRANSLATE(B119,""en"",""it"")"),"pure")</f>
        <v>pure</v>
      </c>
      <c r="G119" s="2" t="str">
        <f ca="1">IFERROR(__xludf.DUMMYFUNCTION("GOOGLETRANSLATE(B119,""en"",""de"")"),"zu")</f>
        <v>zu</v>
      </c>
      <c r="H119" s="2" t="str">
        <f ca="1">IFERROR(__xludf.DUMMYFUNCTION("GOOGLETRANSLATE(B119,""en"",""zh"")"),"也")</f>
        <v>也</v>
      </c>
      <c r="I119" s="2" t="str">
        <f ca="1">IFERROR(__xludf.DUMMYFUNCTION("GOOGLETRANSLATE(B119,""en"",""gd"")"),"cuideachd")</f>
        <v>cuideachd</v>
      </c>
    </row>
    <row r="120" spans="1:9" ht="14.25" customHeight="1" x14ac:dyDescent="0.3">
      <c r="A120" s="2">
        <v>119</v>
      </c>
      <c r="B120" s="3" t="s">
        <v>127</v>
      </c>
      <c r="C120" s="2" t="str">
        <f ca="1">IFERROR(__xludf.DUMMYFUNCTION("GOOGLETRANSLATE(B120, ""en"",""es"")"),"aún")</f>
        <v>aún</v>
      </c>
      <c r="D120" s="2" t="str">
        <f ca="1">IFERROR(__xludf.DUMMYFUNCTION("GOOGLETRANSLATE(B120,""en"",""ig"")"),"stiif")</f>
        <v>stiif</v>
      </c>
      <c r="E120" s="2" t="str">
        <f ca="1">IFERROR(__xludf.DUMMYFUNCTION("GOOGLETRANSLATE(B120,""en"",""fr"")"),"toujours")</f>
        <v>toujours</v>
      </c>
      <c r="F120" s="2" t="str">
        <f ca="1">IFERROR(__xludf.DUMMYFUNCTION("GOOGLETRANSLATE(B120,""en"",""it"")"),"Ancora")</f>
        <v>Ancora</v>
      </c>
      <c r="G120" s="2" t="str">
        <f ca="1">IFERROR(__xludf.DUMMYFUNCTION("GOOGLETRANSLATE(B120,""en"",""de"")"),"Trotzdem")</f>
        <v>Trotzdem</v>
      </c>
      <c r="H120" s="2" t="str">
        <f ca="1">IFERROR(__xludf.DUMMYFUNCTION("GOOGLETRANSLATE(B120,""en"",""zh"")"),"仍然")</f>
        <v>仍然</v>
      </c>
      <c r="I120" s="2" t="str">
        <f ca="1">IFERROR(__xludf.DUMMYFUNCTION("GOOGLETRANSLATE(B120,""en"",""gd"")"),"fhathast")</f>
        <v>fhathast</v>
      </c>
    </row>
    <row r="121" spans="1:9" ht="14.25" customHeight="1" x14ac:dyDescent="0.3">
      <c r="A121" s="2">
        <v>120</v>
      </c>
      <c r="B121" s="3" t="s">
        <v>128</v>
      </c>
      <c r="C121" s="2" t="str">
        <f ca="1">IFERROR(__xludf.DUMMYFUNCTION("GOOGLETRANSLATE(B121, ""en"",""es"")"),"problema")</f>
        <v>problema</v>
      </c>
      <c r="D121" s="2" t="str">
        <f ca="1">IFERROR(__xludf.DUMMYFUNCTION("GOOGLETRANSLATE(B121,""en"",""ig"")"),"nsogbu")</f>
        <v>nsogbu</v>
      </c>
      <c r="E121" s="2" t="str">
        <f ca="1">IFERROR(__xludf.DUMMYFUNCTION("GOOGLETRANSLATE(B121,""en"",""fr"")"),"problème")</f>
        <v>problème</v>
      </c>
      <c r="F121" s="2" t="str">
        <f ca="1">IFERROR(__xludf.DUMMYFUNCTION("GOOGLETRANSLATE(B121,""en"",""it"")"),"problema")</f>
        <v>problema</v>
      </c>
      <c r="G121" s="2" t="str">
        <f ca="1">IFERROR(__xludf.DUMMYFUNCTION("GOOGLETRANSLATE(B121,""en"",""de"")"),"Problem")</f>
        <v>Problem</v>
      </c>
      <c r="H121" s="2" t="str">
        <f ca="1">IFERROR(__xludf.DUMMYFUNCTION("GOOGLETRANSLATE(B121,""en"",""zh"")"),"问题")</f>
        <v>问题</v>
      </c>
      <c r="I121" s="2" t="str">
        <f ca="1">IFERROR(__xludf.DUMMYFUNCTION("GOOGLETRANSLATE(B121,""en"",""gd"")"),"duilgheadas")</f>
        <v>duilgheadas</v>
      </c>
    </row>
    <row r="122" spans="1:9" ht="14.25" customHeight="1" x14ac:dyDescent="0.3">
      <c r="A122" s="2">
        <v>121</v>
      </c>
      <c r="B122" s="3" t="s">
        <v>129</v>
      </c>
      <c r="C122" s="2" t="str">
        <f ca="1">IFERROR(__xludf.DUMMYFUNCTION("GOOGLETRANSLATE(B122, ""en"",""es"")"),"escribir")</f>
        <v>escribir</v>
      </c>
      <c r="D122" s="2" t="str">
        <f ca="1">IFERROR(__xludf.DUMMYFUNCTION("GOOGLETRANSLATE(B122,""en"",""ig"")"),"ide dee")</f>
        <v>ide dee</v>
      </c>
      <c r="E122" s="2" t="str">
        <f ca="1">IFERROR(__xludf.DUMMYFUNCTION("GOOGLETRANSLATE(B122,""en"",""fr"")"),"écrire")</f>
        <v>écrire</v>
      </c>
      <c r="F122" s="2" t="str">
        <f ca="1">IFERROR(__xludf.DUMMYFUNCTION("GOOGLETRANSLATE(B122,""en"",""it"")"),"scrivere")</f>
        <v>scrivere</v>
      </c>
      <c r="G122" s="2" t="str">
        <f ca="1">IFERROR(__xludf.DUMMYFUNCTION("GOOGLETRANSLATE(B122,""en"",""de"")"),"schreiben")</f>
        <v>schreiben</v>
      </c>
      <c r="H122" s="2" t="str">
        <f ca="1">IFERROR(__xludf.DUMMYFUNCTION("GOOGLETRANSLATE(B122,""en"",""zh"")"),"写")</f>
        <v>写</v>
      </c>
      <c r="I122" s="2" t="str">
        <f ca="1">IFERROR(__xludf.DUMMYFUNCTION("GOOGLETRANSLATE(B122,""en"",""gd"")"),"Sgrìobh")</f>
        <v>Sgrìobh</v>
      </c>
    </row>
    <row r="123" spans="1:9" ht="14.25" customHeight="1" x14ac:dyDescent="0.3">
      <c r="A123" s="2">
        <v>122</v>
      </c>
      <c r="B123" s="3" t="s">
        <v>130</v>
      </c>
      <c r="C123" s="2" t="str">
        <f ca="1">IFERROR(__xludf.DUMMYFUNCTION("GOOGLETRANSLATE(B123, ""en"",""es"")"),"mismo")</f>
        <v>mismo</v>
      </c>
      <c r="D123" s="2" t="str">
        <f ca="1">IFERROR(__xludf.DUMMYFUNCTION("GOOGLETRANSLATE(B123,""en"",""ig"")"),"nke ibuotu")</f>
        <v>nke ibuotu</v>
      </c>
      <c r="E123" s="2" t="str">
        <f ca="1">IFERROR(__xludf.DUMMYFUNCTION("GOOGLETRANSLATE(B123,""en"",""fr"")"),"même")</f>
        <v>même</v>
      </c>
      <c r="F123" s="2" t="str">
        <f ca="1">IFERROR(__xludf.DUMMYFUNCTION("GOOGLETRANSLATE(B123,""en"",""it"")"),"Stesso")</f>
        <v>Stesso</v>
      </c>
      <c r="G123" s="2" t="str">
        <f ca="1">IFERROR(__xludf.DUMMYFUNCTION("GOOGLETRANSLATE(B123,""en"",""de"")"),"Dasselbe")</f>
        <v>Dasselbe</v>
      </c>
      <c r="H123" s="2" t="str">
        <f ca="1">IFERROR(__xludf.DUMMYFUNCTION("GOOGLETRANSLATE(B123,""en"",""zh"")"),"相同的")</f>
        <v>相同的</v>
      </c>
      <c r="I123" s="2" t="str">
        <f ca="1">IFERROR(__xludf.DUMMYFUNCTION("GOOGLETRANSLATE(B123,""en"",""gd"")"),"an aon rud")</f>
        <v>an aon rud</v>
      </c>
    </row>
    <row r="124" spans="1:9" ht="14.25" customHeight="1" x14ac:dyDescent="0.3">
      <c r="A124" s="2">
        <v>123</v>
      </c>
      <c r="B124" s="3" t="s">
        <v>131</v>
      </c>
      <c r="C124" s="2" t="str">
        <f ca="1">IFERROR(__xludf.DUMMYFUNCTION("GOOGLETRANSLATE(B124, ""en"",""es"")"),"lote")</f>
        <v>lote</v>
      </c>
      <c r="D124" s="2" t="str">
        <f ca="1">IFERROR(__xludf.DUMMYFUNCTION("GOOGLETRANSLATE(B124,""en"",""ig"")"),"otutu")</f>
        <v>otutu</v>
      </c>
      <c r="E124" s="2" t="str">
        <f ca="1">IFERROR(__xludf.DUMMYFUNCTION("GOOGLETRANSLATE(B124,""en"",""fr"")"),"parcelle")</f>
        <v>parcelle</v>
      </c>
      <c r="F124" s="2" t="str">
        <f ca="1">IFERROR(__xludf.DUMMYFUNCTION("GOOGLETRANSLATE(B124,""en"",""it"")"),"quantità")</f>
        <v>quantità</v>
      </c>
      <c r="G124" s="2" t="str">
        <f ca="1">IFERROR(__xludf.DUMMYFUNCTION("GOOGLETRANSLATE(B124,""en"",""de"")"),"viel")</f>
        <v>viel</v>
      </c>
      <c r="H124" s="2" t="str">
        <f ca="1">IFERROR(__xludf.DUMMYFUNCTION("GOOGLETRANSLATE(B124,""en"",""zh"")"),"很多")</f>
        <v>很多</v>
      </c>
      <c r="I124" s="2" t="str">
        <f ca="1">IFERROR(__xludf.DUMMYFUNCTION("GOOGLETRANSLATE(B124,""en"",""gd"")"),"Lot")</f>
        <v>Lot</v>
      </c>
    </row>
    <row r="125" spans="1:9" ht="14.25" customHeight="1" x14ac:dyDescent="0.3">
      <c r="A125" s="2">
        <v>124</v>
      </c>
      <c r="B125" s="3" t="s">
        <v>132</v>
      </c>
      <c r="C125" s="2" t="str">
        <f ca="1">IFERROR(__xludf.DUMMYFUNCTION("GOOGLETRANSLATE(B125, ""en"",""es"")"),"excelente")</f>
        <v>excelente</v>
      </c>
      <c r="D125" s="2" t="str">
        <f ca="1">IFERROR(__xludf.DUMMYFUNCTION("GOOGLETRANSLATE(B125,""en"",""ig"")"),"keuwu")</f>
        <v>keuwu</v>
      </c>
      <c r="E125" s="2" t="str">
        <f ca="1">IFERROR(__xludf.DUMMYFUNCTION("GOOGLETRANSLATE(B125,""en"",""fr"")"),"super")</f>
        <v>super</v>
      </c>
      <c r="F125" s="2" t="str">
        <f ca="1">IFERROR(__xludf.DUMMYFUNCTION("GOOGLETRANSLATE(B125,""en"",""it"")"),"Grande")</f>
        <v>Grande</v>
      </c>
      <c r="G125" s="2" t="str">
        <f ca="1">IFERROR(__xludf.DUMMYFUNCTION("GOOGLETRANSLATE(B125,""en"",""de"")"),"Großartig")</f>
        <v>Großartig</v>
      </c>
      <c r="H125" s="2" t="str">
        <f ca="1">IFERROR(__xludf.DUMMYFUNCTION("GOOGLETRANSLATE(B125,""en"",""zh"")"),"伟大的")</f>
        <v>伟大的</v>
      </c>
      <c r="I125" s="2" t="str">
        <f ca="1">IFERROR(__xludf.DUMMYFUNCTION("GOOGLETRANSLATE(B125,""en"",""gd"")"),"sgoinneil")</f>
        <v>sgoinneil</v>
      </c>
    </row>
    <row r="126" spans="1:9" ht="14.25" customHeight="1" x14ac:dyDescent="0.3">
      <c r="A126" s="2">
        <v>125</v>
      </c>
      <c r="B126" s="3" t="s">
        <v>133</v>
      </c>
      <c r="C126" s="2" t="str">
        <f ca="1">IFERROR(__xludf.DUMMYFUNCTION("GOOGLETRANSLATE(B126, ""en"",""es"")"),"intentar")</f>
        <v>intentar</v>
      </c>
      <c r="D126" s="2" t="str">
        <f ca="1">IFERROR(__xludf.DUMMYFUNCTION("GOOGLETRANSLATE(B126,""en"",""ig"")"),"trai")</f>
        <v>trai</v>
      </c>
      <c r="E126" s="2" t="str">
        <f ca="1">IFERROR(__xludf.DUMMYFUNCTION("GOOGLETRANSLATE(B126,""en"",""fr"")"),"essayer")</f>
        <v>essayer</v>
      </c>
      <c r="F126" s="2" t="str">
        <f ca="1">IFERROR(__xludf.DUMMYFUNCTION("GOOGLETRANSLATE(B126,""en"",""it"")"),"Tentativo")</f>
        <v>Tentativo</v>
      </c>
      <c r="G126" s="2" t="str">
        <f ca="1">IFERROR(__xludf.DUMMYFUNCTION("GOOGLETRANSLATE(B126,""en"",""de"")"),"versuchen")</f>
        <v>versuchen</v>
      </c>
      <c r="H126" s="2" t="str">
        <f ca="1">IFERROR(__xludf.DUMMYFUNCTION("GOOGLETRANSLATE(B126,""en"",""zh"")"),"尝试")</f>
        <v>尝试</v>
      </c>
      <c r="I126" s="2" t="str">
        <f ca="1">IFERROR(__xludf.DUMMYFUNCTION("GOOGLETRANSLATE(B126,""en"",""gd"")"),"feuch")</f>
        <v>feuch</v>
      </c>
    </row>
    <row r="127" spans="1:9" ht="14.25" customHeight="1" x14ac:dyDescent="0.3">
      <c r="A127" s="2">
        <v>126</v>
      </c>
      <c r="B127" s="3" t="s">
        <v>134</v>
      </c>
      <c r="C127" s="2" t="str">
        <f ca="1">IFERROR(__xludf.DUMMYFUNCTION("GOOGLETRANSLATE(B127, ""en"",""es"")"),"dejar")</f>
        <v>dejar</v>
      </c>
      <c r="D127" s="2" t="str">
        <f ca="1">IFERROR(__xludf.DUMMYFUNCTION("GOOGLETRANSLATE(B127,""en"",""ig"")"),"ipa ihapu")</f>
        <v>ipa ihapu</v>
      </c>
      <c r="E127" s="2" t="str">
        <f ca="1">IFERROR(__xludf.DUMMYFUNCTION("GOOGLETRANSLATE(B127,""en"",""fr"")"),"partir")</f>
        <v>partir</v>
      </c>
      <c r="F127" s="2" t="str">
        <f ca="1">IFERROR(__xludf.DUMMYFUNCTION("GOOGLETRANSLATE(B127,""en"",""it"")"),"Partire")</f>
        <v>Partire</v>
      </c>
      <c r="G127" s="2" t="str">
        <f ca="1">IFERROR(__xludf.DUMMYFUNCTION("GOOGLETRANSLATE(B127,""en"",""de"")"),"verlassen")</f>
        <v>verlassen</v>
      </c>
      <c r="H127" s="2" t="str">
        <f ca="1">IFERROR(__xludf.DUMMYFUNCTION("GOOGLETRANSLATE(B127,""en"",""zh"")"),"离开")</f>
        <v>离开</v>
      </c>
      <c r="I127" s="2" t="str">
        <f ca="1">IFERROR(__xludf.DUMMYFUNCTION("GOOGLETRANSLATE(B127,""en"",""gd"")"),"fàg")</f>
        <v>fàg</v>
      </c>
    </row>
    <row r="128" spans="1:9" ht="14.25" customHeight="1" x14ac:dyDescent="0.3">
      <c r="A128" s="2">
        <v>127</v>
      </c>
      <c r="B128" s="3" t="s">
        <v>135</v>
      </c>
      <c r="C128" s="2" t="str">
        <f ca="1">IFERROR(__xludf.DUMMYFUNCTION("GOOGLETRANSLATE(B128, ""en"",""es"")"),"número")</f>
        <v>número</v>
      </c>
      <c r="D128" s="2" t="str">
        <f ca="1">IFERROR(__xludf.DUMMYFUNCTION("GOOGLETRANSLATE(B128,""en"",""ig"")"),"onuogugu")</f>
        <v>onuogugu</v>
      </c>
      <c r="E128" s="2" t="str">
        <f ca="1">IFERROR(__xludf.DUMMYFUNCTION("GOOGLETRANSLATE(B128,""en"",""fr"")"),"nombre")</f>
        <v>nombre</v>
      </c>
      <c r="F128" s="2" t="str">
        <f ca="1">IFERROR(__xludf.DUMMYFUNCTION("GOOGLETRANSLATE(B128,""en"",""it"")"),"numero")</f>
        <v>numero</v>
      </c>
      <c r="G128" s="2" t="str">
        <f ca="1">IFERROR(__xludf.DUMMYFUNCTION("GOOGLETRANSLATE(B128,""en"",""de"")"),"Nummer")</f>
        <v>Nummer</v>
      </c>
      <c r="H128" s="2" t="str">
        <f ca="1">IFERROR(__xludf.DUMMYFUNCTION("GOOGLETRANSLATE(B128,""en"",""zh"")"),"数字")</f>
        <v>数字</v>
      </c>
      <c r="I128" s="2" t="str">
        <f ca="1">IFERROR(__xludf.DUMMYFUNCTION("GOOGLETRANSLATE(B128,""en"",""gd"")"),"Àireamh")</f>
        <v>Àireamh</v>
      </c>
    </row>
    <row r="129" spans="1:9" ht="14.25" customHeight="1" x14ac:dyDescent="0.3">
      <c r="A129" s="2">
        <v>128</v>
      </c>
      <c r="B129" s="3" t="s">
        <v>136</v>
      </c>
      <c r="C129" s="2" t="str">
        <f ca="1">IFERROR(__xludf.DUMMYFUNCTION("GOOGLETRANSLATE(B129, ""en"",""es"")"),"ambos")</f>
        <v>ambos</v>
      </c>
      <c r="D129" s="2" t="str">
        <f ca="1">IFERROR(__xludf.DUMMYFUNCTION("GOOGLETRANSLATE(B129,""en"",""ig"")"),"ha abuo")</f>
        <v>ha abuo</v>
      </c>
      <c r="E129" s="2" t="str">
        <f ca="1">IFERROR(__xludf.DUMMYFUNCTION("GOOGLETRANSLATE(B129,""en"",""fr"")"),"les deux")</f>
        <v>les deux</v>
      </c>
      <c r="F129" s="2" t="str">
        <f ca="1">IFERROR(__xludf.DUMMYFUNCTION("GOOGLETRANSLATE(B129,""en"",""it"")"),"Entrambi")</f>
        <v>Entrambi</v>
      </c>
      <c r="G129" s="2" t="str">
        <f ca="1">IFERROR(__xludf.DUMMYFUNCTION("GOOGLETRANSLATE(B129,""en"",""de"")"),"beide")</f>
        <v>beide</v>
      </c>
      <c r="H129" s="2" t="str">
        <f ca="1">IFERROR(__xludf.DUMMYFUNCTION("GOOGLETRANSLATE(B129,""en"",""zh"")"),"两个都")</f>
        <v>两个都</v>
      </c>
      <c r="I129" s="2" t="str">
        <f ca="1">IFERROR(__xludf.DUMMYFUNCTION("GOOGLETRANSLATE(B129,""en"",""gd"")"),"an dà chuid")</f>
        <v>an dà chuid</v>
      </c>
    </row>
    <row r="130" spans="1:9" ht="14.25" customHeight="1" x14ac:dyDescent="0.3">
      <c r="A130" s="2">
        <v>129</v>
      </c>
      <c r="B130" s="3" t="s">
        <v>137</v>
      </c>
      <c r="C130" s="2" t="str">
        <f ca="1">IFERROR(__xludf.DUMMYFUNCTION("GOOGLETRANSLATE(B130, ""en"",""es"")"),"propio")</f>
        <v>propio</v>
      </c>
      <c r="D130" s="2" t="str">
        <f ca="1">IFERROR(__xludf.DUMMYFUNCTION("GOOGLETRANSLATE(B130,""en"",""ig"")"),"nke")</f>
        <v>nke</v>
      </c>
      <c r="E130" s="2" t="str">
        <f ca="1">IFERROR(__xludf.DUMMYFUNCTION("GOOGLETRANSLATE(B130,""en"",""fr"")"),"propre")</f>
        <v>propre</v>
      </c>
      <c r="F130" s="2" t="str">
        <f ca="1">IFERROR(__xludf.DUMMYFUNCTION("GOOGLETRANSLATE(B130,""en"",""it"")"),"Proprio")</f>
        <v>Proprio</v>
      </c>
      <c r="G130" s="2" t="str">
        <f ca="1">IFERROR(__xludf.DUMMYFUNCTION("GOOGLETRANSLATE(B130,""en"",""de"")"),"eigen")</f>
        <v>eigen</v>
      </c>
      <c r="H130" s="2" t="str">
        <f ca="1">IFERROR(__xludf.DUMMYFUNCTION("GOOGLETRANSLATE(B130,""en"",""zh"")"),"自己的")</f>
        <v>自己的</v>
      </c>
      <c r="I130" s="2" t="str">
        <f ca="1">IFERROR(__xludf.DUMMYFUNCTION("GOOGLETRANSLATE(B130,""en"",""gd"")"),"tha seilbh agad")</f>
        <v>tha seilbh agad</v>
      </c>
    </row>
    <row r="131" spans="1:9" ht="14.25" customHeight="1" x14ac:dyDescent="0.3">
      <c r="A131" s="2">
        <v>130</v>
      </c>
      <c r="B131" s="3" t="s">
        <v>138</v>
      </c>
      <c r="C131" s="2" t="str">
        <f ca="1">IFERROR(__xludf.DUMMYFUNCTION("GOOGLETRANSLATE(B131, ""en"",""es"")"),"parte")</f>
        <v>parte</v>
      </c>
      <c r="D131" s="2" t="str">
        <f ca="1">IFERROR(__xludf.DUMMYFUNCTION("GOOGLETRANSLATE(B131,""en"",""ig"")"),"nkewa")</f>
        <v>nkewa</v>
      </c>
      <c r="E131" s="2" t="str">
        <f ca="1">IFERROR(__xludf.DUMMYFUNCTION("GOOGLETRANSLATE(B131,""en"",""fr"")"),"partie")</f>
        <v>partie</v>
      </c>
      <c r="F131" s="2" t="str">
        <f ca="1">IFERROR(__xludf.DUMMYFUNCTION("GOOGLETRANSLATE(B131,""en"",""it"")"),"parte")</f>
        <v>parte</v>
      </c>
      <c r="G131" s="2" t="str">
        <f ca="1">IFERROR(__xludf.DUMMYFUNCTION("GOOGLETRANSLATE(B131,""en"",""de"")"),"Teil")</f>
        <v>Teil</v>
      </c>
      <c r="H131" s="2" t="str">
        <f ca="1">IFERROR(__xludf.DUMMYFUNCTION("GOOGLETRANSLATE(B131,""en"",""zh"")"),"部分")</f>
        <v>部分</v>
      </c>
      <c r="I131" s="2" t="str">
        <f ca="1">IFERROR(__xludf.DUMMYFUNCTION("GOOGLETRANSLATE(B131,""en"",""gd"")"),"Pàirt")</f>
        <v>Pàirt</v>
      </c>
    </row>
    <row r="132" spans="1:9" ht="14.25" customHeight="1" x14ac:dyDescent="0.3">
      <c r="A132" s="2">
        <v>131</v>
      </c>
      <c r="B132" s="3" t="s">
        <v>139</v>
      </c>
      <c r="C132" s="2" t="str">
        <f ca="1">IFERROR(__xludf.DUMMYFUNCTION("GOOGLETRANSLATE(B132, ""en"",""es"")"),"punto")</f>
        <v>punto</v>
      </c>
      <c r="D132" s="2" t="str">
        <f ca="1">IFERROR(__xludf.DUMMYFUNCTION("GOOGLETRANSLATE(B132,""en"",""ig"")"),"onu")</f>
        <v>onu</v>
      </c>
      <c r="E132" s="2" t="str">
        <f ca="1">IFERROR(__xludf.DUMMYFUNCTION("GOOGLETRANSLATE(B132,""en"",""fr"")"),"indiquer")</f>
        <v>indiquer</v>
      </c>
      <c r="F132" s="2" t="str">
        <f ca="1">IFERROR(__xludf.DUMMYFUNCTION("GOOGLETRANSLATE(B132,""en"",""it"")"),"punto")</f>
        <v>punto</v>
      </c>
      <c r="G132" s="2" t="str">
        <f ca="1">IFERROR(__xludf.DUMMYFUNCTION("GOOGLETRANSLATE(B132,""en"",""de"")"),"Punkt")</f>
        <v>Punkt</v>
      </c>
      <c r="H132" s="2" t="str">
        <f ca="1">IFERROR(__xludf.DUMMYFUNCTION("GOOGLETRANSLATE(B132,""en"",""zh"")"),"观点")</f>
        <v>观点</v>
      </c>
      <c r="I132" s="2" t="str">
        <f ca="1">IFERROR(__xludf.DUMMYFUNCTION("GOOGLETRANSLATE(B132,""en"",""gd"")"),"Puing")</f>
        <v>Puing</v>
      </c>
    </row>
    <row r="133" spans="1:9" ht="14.25" customHeight="1" x14ac:dyDescent="0.3">
      <c r="A133" s="2">
        <v>132</v>
      </c>
      <c r="B133" s="3" t="s">
        <v>140</v>
      </c>
      <c r="C133" s="2" t="str">
        <f ca="1">IFERROR(__xludf.DUMMYFUNCTION("GOOGLETRANSLATE(B133, ""en"",""es"")"),"pequeño")</f>
        <v>pequeño</v>
      </c>
      <c r="D133" s="2" t="str">
        <f ca="1">IFERROR(__xludf.DUMMYFUNCTION("GOOGLETRANSLATE(B133,""en"",""ig"")"),"keobere")</f>
        <v>keobere</v>
      </c>
      <c r="E133" s="2" t="str">
        <f ca="1">IFERROR(__xludf.DUMMYFUNCTION("GOOGLETRANSLATE(B133,""en"",""fr"")"),"petit")</f>
        <v>petit</v>
      </c>
      <c r="F133" s="2" t="str">
        <f ca="1">IFERROR(__xludf.DUMMYFUNCTION("GOOGLETRANSLATE(B133,""en"",""it"")"),"poco")</f>
        <v>poco</v>
      </c>
      <c r="G133" s="2" t="str">
        <f ca="1">IFERROR(__xludf.DUMMYFUNCTION("GOOGLETRANSLATE(B133,""en"",""de"")"),"wenig")</f>
        <v>wenig</v>
      </c>
      <c r="H133" s="2" t="str">
        <f ca="1">IFERROR(__xludf.DUMMYFUNCTION("GOOGLETRANSLATE(B133,""en"",""zh"")"),"小的")</f>
        <v>小的</v>
      </c>
      <c r="I133" s="2" t="str">
        <f ca="1">IFERROR(__xludf.DUMMYFUNCTION("GOOGLETRANSLATE(B133,""en"",""gd"")"),"beag")</f>
        <v>beag</v>
      </c>
    </row>
    <row r="134" spans="1:9" ht="14.25" customHeight="1" x14ac:dyDescent="0.3">
      <c r="A134" s="2">
        <v>133</v>
      </c>
      <c r="B134" s="3" t="s">
        <v>141</v>
      </c>
      <c r="C134" s="2" t="str">
        <f ca="1">IFERROR(__xludf.DUMMYFUNCTION("GOOGLETRANSLATE(B134, ""en"",""es"")"),"ayuda")</f>
        <v>ayuda</v>
      </c>
      <c r="D134" s="2" t="str">
        <f ca="1">IFERROR(__xludf.DUMMYFUNCTION("GOOGLETRANSLATE(B134,""en"",""ig"")"),"Enyemaka")</f>
        <v>Enyemaka</v>
      </c>
      <c r="E134" s="2" t="str">
        <f ca="1">IFERROR(__xludf.DUMMYFUNCTION("GOOGLETRANSLATE(B134,""en"",""fr"")"),"aide")</f>
        <v>aide</v>
      </c>
      <c r="F134" s="2" t="str">
        <f ca="1">IFERROR(__xludf.DUMMYFUNCTION("GOOGLETRANSLATE(B134,""en"",""it"")"),"aiuto")</f>
        <v>aiuto</v>
      </c>
      <c r="G134" s="2" t="str">
        <f ca="1">IFERROR(__xludf.DUMMYFUNCTION("GOOGLETRANSLATE(B134,""en"",""de"")"),"helfen")</f>
        <v>helfen</v>
      </c>
      <c r="H134" s="2" t="str">
        <f ca="1">IFERROR(__xludf.DUMMYFUNCTION("GOOGLETRANSLATE(B134,""en"",""zh"")"),"帮助")</f>
        <v>帮助</v>
      </c>
      <c r="I134" s="2" t="str">
        <f ca="1">IFERROR(__xludf.DUMMYFUNCTION("GOOGLETRANSLATE(B134,""en"",""gd"")"),"cuideachadh")</f>
        <v>cuideachadh</v>
      </c>
    </row>
    <row r="135" spans="1:9" ht="14.25" customHeight="1" x14ac:dyDescent="0.3">
      <c r="A135" s="2">
        <v>134</v>
      </c>
      <c r="B135" s="3" t="s">
        <v>142</v>
      </c>
      <c r="C135" s="2" t="str">
        <f ca="1">IFERROR(__xludf.DUMMYFUNCTION("GOOGLETRANSLATE(B135, ""en"",""es"")"),"preguntar")</f>
        <v>preguntar</v>
      </c>
      <c r="D135" s="2" t="str">
        <f ca="1">IFERROR(__xludf.DUMMYFUNCTION("GOOGLETRANSLATE(B135,""en"",""ig"")"),"iju")</f>
        <v>iju</v>
      </c>
      <c r="E135" s="2" t="str">
        <f ca="1">IFERROR(__xludf.DUMMYFUNCTION("GOOGLETRANSLATE(B135,""en"",""fr"")"),"demander")</f>
        <v>demander</v>
      </c>
      <c r="F135" s="2" t="str">
        <f ca="1">IFERROR(__xludf.DUMMYFUNCTION("GOOGLETRANSLATE(B135,""en"",""it"")"),"chiedere")</f>
        <v>chiedere</v>
      </c>
      <c r="G135" s="2" t="str">
        <f ca="1">IFERROR(__xludf.DUMMYFUNCTION("GOOGLETRANSLATE(B135,""en"",""de"")"),"fragen")</f>
        <v>fragen</v>
      </c>
      <c r="H135" s="2" t="str">
        <f ca="1">IFERROR(__xludf.DUMMYFUNCTION("GOOGLETRANSLATE(B135,""en"",""zh"")"),"问")</f>
        <v>问</v>
      </c>
      <c r="I135" s="2" t="str">
        <f ca="1">IFERROR(__xludf.DUMMYFUNCTION("GOOGLETRANSLATE(B135,""en"",""gd"")"),"faighnich")</f>
        <v>faighnich</v>
      </c>
    </row>
    <row r="136" spans="1:9" ht="14.25" customHeight="1" x14ac:dyDescent="0.3">
      <c r="A136" s="2">
        <v>135</v>
      </c>
      <c r="B136" s="3" t="s">
        <v>143</v>
      </c>
      <c r="C136" s="2" t="str">
        <f ca="1">IFERROR(__xludf.DUMMYFUNCTION("GOOGLETRANSLATE(B136, ""en"",""es"")"),"encontrarse")</f>
        <v>encontrarse</v>
      </c>
      <c r="D136" s="2" t="str">
        <f ca="1">IFERROR(__xludf.DUMMYFUNCTION("GOOGLETRANSLATE(B136,""en"",""ig"")"),"zuko")</f>
        <v>zuko</v>
      </c>
      <c r="E136" s="2" t="str">
        <f ca="1">IFERROR(__xludf.DUMMYFUNCTION("GOOGLETRANSLATE(B136,""en"",""fr"")"),"rencontrer")</f>
        <v>rencontrer</v>
      </c>
      <c r="F136" s="2" t="str">
        <f ca="1">IFERROR(__xludf.DUMMYFUNCTION("GOOGLETRANSLATE(B136,""en"",""it"")"),"Incontrare")</f>
        <v>Incontrare</v>
      </c>
      <c r="G136" s="2" t="str">
        <f ca="1">IFERROR(__xludf.DUMMYFUNCTION("GOOGLETRANSLATE(B136,""en"",""de"")"),"treffen")</f>
        <v>treffen</v>
      </c>
      <c r="H136" s="2" t="str">
        <f ca="1">IFERROR(__xludf.DUMMYFUNCTION("GOOGLETRANSLATE(B136,""en"",""zh"")"),"见面")</f>
        <v>见面</v>
      </c>
      <c r="I136" s="2" t="str">
        <f ca="1">IFERROR(__xludf.DUMMYFUNCTION("GOOGLETRANSLATE(B136,""en"",""gd"")"),"Coinnich")</f>
        <v>Coinnich</v>
      </c>
    </row>
    <row r="137" spans="1:9" ht="14.25" customHeight="1" x14ac:dyDescent="0.3">
      <c r="A137" s="2">
        <v>136</v>
      </c>
      <c r="B137" s="3" t="s">
        <v>144</v>
      </c>
      <c r="C137" s="2" t="str">
        <f ca="1">IFERROR(__xludf.DUMMYFUNCTION("GOOGLETRANSLATE(B137, ""en"",""es"")"),"comenzar")</f>
        <v>comenzar</v>
      </c>
      <c r="D137" s="2" t="str">
        <f ca="1">IFERROR(__xludf.DUMMYFUNCTION("GOOGLETRANSLATE(B137,""en"",""ig"")"),"ibido inya moto")</f>
        <v>ibido inya moto</v>
      </c>
      <c r="E137" s="2" t="str">
        <f ca="1">IFERROR(__xludf.DUMMYFUNCTION("GOOGLETRANSLATE(B137,""en"",""fr"")"),"commencer")</f>
        <v>commencer</v>
      </c>
      <c r="F137" s="2" t="str">
        <f ca="1">IFERROR(__xludf.DUMMYFUNCTION("GOOGLETRANSLATE(B137,""en"",""it"")"),"inizio")</f>
        <v>inizio</v>
      </c>
      <c r="G137" s="2" t="str">
        <f ca="1">IFERROR(__xludf.DUMMYFUNCTION("GOOGLETRANSLATE(B137,""en"",""de"")"),"Start")</f>
        <v>Start</v>
      </c>
      <c r="H137" s="2" t="str">
        <f ca="1">IFERROR(__xludf.DUMMYFUNCTION("GOOGLETRANSLATE(B137,""en"",""zh"")"),"开始")</f>
        <v>开始</v>
      </c>
      <c r="I137" s="2" t="str">
        <f ca="1">IFERROR(__xludf.DUMMYFUNCTION("GOOGLETRANSLATE(B137,""en"",""gd"")"),"Tòisich")</f>
        <v>Tòisich</v>
      </c>
    </row>
    <row r="138" spans="1:9" ht="14.25" customHeight="1" x14ac:dyDescent="0.3">
      <c r="A138" s="2">
        <v>137</v>
      </c>
      <c r="B138" s="3" t="s">
        <v>145</v>
      </c>
      <c r="C138" s="2" t="str">
        <f ca="1">IFERROR(__xludf.DUMMYFUNCTION("GOOGLETRANSLATE(B138, ""en"",""es"")"),"hablar")</f>
        <v>hablar</v>
      </c>
      <c r="D138" s="2" t="str">
        <f ca="1">IFERROR(__xludf.DUMMYFUNCTION("GOOGLETRANSLATE(B138,""en"",""ig"")"),"ikwu")</f>
        <v>ikwu</v>
      </c>
      <c r="E138" s="2" t="str">
        <f ca="1">IFERROR(__xludf.DUMMYFUNCTION("GOOGLETRANSLATE(B138,""en"",""fr"")"),"parler")</f>
        <v>parler</v>
      </c>
      <c r="F138" s="2" t="str">
        <f ca="1">IFERROR(__xludf.DUMMYFUNCTION("GOOGLETRANSLATE(B138,""en"",""it"")"),"parlare")</f>
        <v>parlare</v>
      </c>
      <c r="G138" s="2" t="str">
        <f ca="1">IFERROR(__xludf.DUMMYFUNCTION("GOOGLETRANSLATE(B138,""en"",""de"")"),"sprechen")</f>
        <v>sprechen</v>
      </c>
      <c r="H138" s="2" t="str">
        <f ca="1">IFERROR(__xludf.DUMMYFUNCTION("GOOGLETRANSLATE(B138,""en"",""zh"")"),"讲话")</f>
        <v>讲话</v>
      </c>
      <c r="I138" s="2" t="str">
        <f ca="1">IFERROR(__xludf.DUMMYFUNCTION("GOOGLETRANSLATE(B138,""en"",""gd"")"),"Bruidhinn")</f>
        <v>Bruidhinn</v>
      </c>
    </row>
    <row r="139" spans="1:9" ht="14.25" customHeight="1" x14ac:dyDescent="0.3">
      <c r="A139" s="2">
        <v>138</v>
      </c>
      <c r="B139" s="3" t="s">
        <v>146</v>
      </c>
      <c r="C139" s="2" t="str">
        <f ca="1">IFERROR(__xludf.DUMMYFUNCTION("GOOGLETRANSLATE(B139, ""en"",""es"")"),"algo")</f>
        <v>algo</v>
      </c>
      <c r="D139" s="2" t="str">
        <f ca="1">IFERROR(__xludf.DUMMYFUNCTION("GOOGLETRANSLATE(B139,""en"",""ig"")"),"a")</f>
        <v>a</v>
      </c>
      <c r="E139" s="2" t="str">
        <f ca="1">IFERROR(__xludf.DUMMYFUNCTION("GOOGLETRANSLATE(B139,""en"",""fr"")"),"quelque chose")</f>
        <v>quelque chose</v>
      </c>
      <c r="F139" s="2" t="str">
        <f ca="1">IFERROR(__xludf.DUMMYFUNCTION("GOOGLETRANSLATE(B139,""en"",""it"")"),"qualcosa")</f>
        <v>qualcosa</v>
      </c>
      <c r="G139" s="2" t="str">
        <f ca="1">IFERROR(__xludf.DUMMYFUNCTION("GOOGLETRANSLATE(B139,""en"",""de"")"),"etwas")</f>
        <v>etwas</v>
      </c>
      <c r="H139" s="2" t="str">
        <f ca="1">IFERROR(__xludf.DUMMYFUNCTION("GOOGLETRANSLATE(B139,""en"",""zh"")"),"某物")</f>
        <v>某物</v>
      </c>
      <c r="I139" s="2" t="str">
        <f ca="1">IFERROR(__xludf.DUMMYFUNCTION("GOOGLETRANSLATE(B139,""en"",""gd"")"),"rudeigin")</f>
        <v>rudeigin</v>
      </c>
    </row>
    <row r="140" spans="1:9" ht="14.25" customHeight="1" x14ac:dyDescent="0.3">
      <c r="A140" s="2">
        <v>139</v>
      </c>
      <c r="B140" s="3" t="s">
        <v>147</v>
      </c>
      <c r="C140" s="2" t="str">
        <f ca="1">IFERROR(__xludf.DUMMYFUNCTION("GOOGLETRANSLATE(B140, ""en"",""es"")"),"poner")</f>
        <v>poner</v>
      </c>
      <c r="D140" s="2" t="str">
        <f ca="1">IFERROR(__xludf.DUMMYFUNCTION("GOOGLETRANSLATE(B140,""en"",""ig"")"),"dote")</f>
        <v>dote</v>
      </c>
      <c r="E140" s="2" t="str">
        <f ca="1">IFERROR(__xludf.DUMMYFUNCTION("GOOGLETRANSLATE(B140,""en"",""fr"")"),"mettre")</f>
        <v>mettre</v>
      </c>
      <c r="F140" s="2" t="str">
        <f ca="1">IFERROR(__xludf.DUMMYFUNCTION("GOOGLETRANSLATE(B140,""en"",""it"")"),"Mettere")</f>
        <v>Mettere</v>
      </c>
      <c r="G140" s="2" t="str">
        <f ca="1">IFERROR(__xludf.DUMMYFUNCTION("GOOGLETRANSLATE(B140,""en"",""de"")"),"setzen")</f>
        <v>setzen</v>
      </c>
      <c r="H140" s="2" t="str">
        <f ca="1">IFERROR(__xludf.DUMMYFUNCTION("GOOGLETRANSLATE(B140,""en"",""zh"")"),"放")</f>
        <v>放</v>
      </c>
      <c r="I140" s="2" t="str">
        <f ca="1">IFERROR(__xludf.DUMMYFUNCTION("GOOGLETRANSLATE(B140,""en"",""gd"")"),"cuir")</f>
        <v>cuir</v>
      </c>
    </row>
    <row r="141" spans="1:9" ht="14.25" customHeight="1" x14ac:dyDescent="0.3">
      <c r="A141" s="2">
        <v>140</v>
      </c>
      <c r="B141" s="3" t="s">
        <v>148</v>
      </c>
      <c r="C141" s="2" t="str">
        <f ca="1">IFERROR(__xludf.DUMMYFUNCTION("GOOGLETRANSLATE(B141, ""en"",""es"")"),"otro")</f>
        <v>otro</v>
      </c>
      <c r="D141" s="2" t="str">
        <f ca="1">IFERROR(__xludf.DUMMYFUNCTION("GOOGLETRANSLATE(B141,""en"",""ig"")"),"keozo")</f>
        <v>keozo</v>
      </c>
      <c r="E141" s="2" t="str">
        <f ca="1">IFERROR(__xludf.DUMMYFUNCTION("GOOGLETRANSLATE(B141,""en"",""fr"")"),"un autre")</f>
        <v>un autre</v>
      </c>
      <c r="F141" s="2" t="str">
        <f ca="1">IFERROR(__xludf.DUMMYFUNCTION("GOOGLETRANSLATE(B141,""en"",""it"")"),"un altro")</f>
        <v>un altro</v>
      </c>
      <c r="G141" s="2" t="str">
        <f ca="1">IFERROR(__xludf.DUMMYFUNCTION("GOOGLETRANSLATE(B141,""en"",""de"")"),"ein anderer")</f>
        <v>ein anderer</v>
      </c>
      <c r="H141" s="2" t="str">
        <f ca="1">IFERROR(__xludf.DUMMYFUNCTION("GOOGLETRANSLATE(B141,""en"",""zh"")"),"其他")</f>
        <v>其他</v>
      </c>
      <c r="I141" s="2" t="str">
        <f ca="1">IFERROR(__xludf.DUMMYFUNCTION("GOOGLETRANSLATE(B141,""en"",""gd"")"),"fear eile")</f>
        <v>fear eile</v>
      </c>
    </row>
    <row r="142" spans="1:9" ht="14.25" customHeight="1" x14ac:dyDescent="0.3">
      <c r="A142" s="2">
        <v>141</v>
      </c>
      <c r="B142" s="3" t="s">
        <v>149</v>
      </c>
      <c r="C142" s="2" t="str">
        <f ca="1">IFERROR(__xludf.DUMMYFUNCTION("GOOGLETRANSLATE(B142, ""en"",""es"")"),"convertirse")</f>
        <v>convertirse</v>
      </c>
      <c r="D142" s="2" t="str">
        <f ca="1">IFERROR(__xludf.DUMMYFUNCTION("GOOGLETRANSLATE(B142,""en"",""ig"")"),"ibu")</f>
        <v>ibu</v>
      </c>
      <c r="E142" s="2" t="str">
        <f ca="1">IFERROR(__xludf.DUMMYFUNCTION("GOOGLETRANSLATE(B142,""en"",""fr"")"),"devenir")</f>
        <v>devenir</v>
      </c>
      <c r="F142" s="2" t="str">
        <f ca="1">IFERROR(__xludf.DUMMYFUNCTION("GOOGLETRANSLATE(B142,""en"",""it"")"),"diventare")</f>
        <v>diventare</v>
      </c>
      <c r="G142" s="2" t="str">
        <f ca="1">IFERROR(__xludf.DUMMYFUNCTION("GOOGLETRANSLATE(B142,""en"",""de"")"),"werden")</f>
        <v>werden</v>
      </c>
      <c r="H142" s="2" t="str">
        <f ca="1">IFERROR(__xludf.DUMMYFUNCTION("GOOGLETRANSLATE(B142,""en"",""zh"")"),"变得")</f>
        <v>变得</v>
      </c>
      <c r="I142" s="2" t="str">
        <f ca="1">IFERROR(__xludf.DUMMYFUNCTION("GOOGLETRANSLATE(B142,""en"",""gd"")"),"fàs")</f>
        <v>fàs</v>
      </c>
    </row>
    <row r="143" spans="1:9" ht="14.25" customHeight="1" x14ac:dyDescent="0.3">
      <c r="A143" s="2">
        <v>142</v>
      </c>
      <c r="B143" s="3" t="s">
        <v>150</v>
      </c>
      <c r="C143" s="2" t="str">
        <f ca="1">IFERROR(__xludf.DUMMYFUNCTION("GOOGLETRANSLATE(B143, ""en"",""es"")"),"interés")</f>
        <v>interés</v>
      </c>
      <c r="D143" s="2" t="str">
        <f ca="1">IFERROR(__xludf.DUMMYFUNCTION("GOOGLETRANSLATE(B143,""en"",""ig"")"),"mmasi")</f>
        <v>mmasi</v>
      </c>
      <c r="E143" s="2" t="str">
        <f ca="1">IFERROR(__xludf.DUMMYFUNCTION("GOOGLETRANSLATE(B143,""en"",""fr"")"),"intérêt")</f>
        <v>intérêt</v>
      </c>
      <c r="F143" s="2" t="str">
        <f ca="1">IFERROR(__xludf.DUMMYFUNCTION("GOOGLETRANSLATE(B143,""en"",""it"")"),"interesse")</f>
        <v>interesse</v>
      </c>
      <c r="G143" s="2" t="str">
        <f ca="1">IFERROR(__xludf.DUMMYFUNCTION("GOOGLETRANSLATE(B143,""en"",""de"")"),"Interesse")</f>
        <v>Interesse</v>
      </c>
      <c r="H143" s="2" t="str">
        <f ca="1">IFERROR(__xludf.DUMMYFUNCTION("GOOGLETRANSLATE(B143,""en"",""zh"")"),"兴趣")</f>
        <v>兴趣</v>
      </c>
      <c r="I143" s="2" t="str">
        <f ca="1">IFERROR(__xludf.DUMMYFUNCTION("GOOGLETRANSLATE(B143,""en"",""gd"")"),"riadh")</f>
        <v>riadh</v>
      </c>
    </row>
    <row r="144" spans="1:9" ht="14.25" customHeight="1" x14ac:dyDescent="0.3">
      <c r="A144" s="2">
        <v>143</v>
      </c>
      <c r="B144" s="3" t="s">
        <v>151</v>
      </c>
      <c r="C144" s="2" t="str">
        <f ca="1">IFERROR(__xludf.DUMMYFUNCTION("GOOGLETRANSLATE(B144, ""en"",""es"")"),"país")</f>
        <v>país</v>
      </c>
      <c r="D144" s="2" t="str">
        <f ca="1">IFERROR(__xludf.DUMMYFUNCTION("GOOGLETRANSLATE(B144,""en"",""ig"")"),"obodo")</f>
        <v>obodo</v>
      </c>
      <c r="E144" s="2" t="str">
        <f ca="1">IFERROR(__xludf.DUMMYFUNCTION("GOOGLETRANSLATE(B144,""en"",""fr"")"),"pays")</f>
        <v>pays</v>
      </c>
      <c r="F144" s="2" t="str">
        <f ca="1">IFERROR(__xludf.DUMMYFUNCTION("GOOGLETRANSLATE(B144,""en"",""it"")"),"Paese")</f>
        <v>Paese</v>
      </c>
      <c r="G144" s="2" t="str">
        <f ca="1">IFERROR(__xludf.DUMMYFUNCTION("GOOGLETRANSLATE(B144,""en"",""de"")"),"Land")</f>
        <v>Land</v>
      </c>
      <c r="H144" s="2" t="str">
        <f ca="1">IFERROR(__xludf.DUMMYFUNCTION("GOOGLETRANSLATE(B144,""en"",""zh"")"),"国家")</f>
        <v>国家</v>
      </c>
      <c r="I144" s="2" t="str">
        <f ca="1">IFERROR(__xludf.DUMMYFUNCTION("GOOGLETRANSLATE(B144,""en"",""gd"")"),"Dùthaich")</f>
        <v>Dùthaich</v>
      </c>
    </row>
    <row r="145" spans="1:9" ht="14.25" customHeight="1" x14ac:dyDescent="0.3">
      <c r="A145" s="2">
        <v>144</v>
      </c>
      <c r="B145" s="3" t="s">
        <v>152</v>
      </c>
      <c r="C145" s="2" t="str">
        <f ca="1">IFERROR(__xludf.DUMMYFUNCTION("GOOGLETRANSLATE(B145, ""en"",""es"")"),"viejo")</f>
        <v>viejo</v>
      </c>
      <c r="D145" s="2" t="str">
        <f ca="1">IFERROR(__xludf.DUMMYFUNCTION("GOOGLETRANSLATE(B145,""en"",""ig"")"),"ika nka")</f>
        <v>ika nka</v>
      </c>
      <c r="E145" s="2" t="str">
        <f ca="1">IFERROR(__xludf.DUMMYFUNCTION("GOOGLETRANSLATE(B145,""en"",""fr"")"),"vieux")</f>
        <v>vieux</v>
      </c>
      <c r="F145" s="2" t="str">
        <f ca="1">IFERROR(__xludf.DUMMYFUNCTION("GOOGLETRANSLATE(B145,""en"",""it"")"),"vecchio")</f>
        <v>vecchio</v>
      </c>
      <c r="G145" s="2" t="str">
        <f ca="1">IFERROR(__xludf.DUMMYFUNCTION("GOOGLETRANSLATE(B145,""en"",""de"")"),"alt")</f>
        <v>alt</v>
      </c>
      <c r="H145" s="2" t="str">
        <f ca="1">IFERROR(__xludf.DUMMYFUNCTION("GOOGLETRANSLATE(B145,""en"",""zh"")"),"老的")</f>
        <v>老的</v>
      </c>
      <c r="I145" s="2" t="str">
        <f ca="1">IFERROR(__xludf.DUMMYFUNCTION("GOOGLETRANSLATE(B145,""en"",""gd"")"),"seann")</f>
        <v>seann</v>
      </c>
    </row>
    <row r="146" spans="1:9" ht="14.25" customHeight="1" x14ac:dyDescent="0.3">
      <c r="A146" s="2">
        <v>145</v>
      </c>
      <c r="B146" s="3" t="s">
        <v>153</v>
      </c>
      <c r="C146" s="2" t="str">
        <f ca="1">IFERROR(__xludf.DUMMYFUNCTION("GOOGLETRANSLATE(B146, ""en"",""es"")"),"cada")</f>
        <v>cada</v>
      </c>
      <c r="D146" s="2" t="str">
        <f ca="1">IFERROR(__xludf.DUMMYFUNCTION("GOOGLETRANSLATE(B146,""en"",""ig"")"),"otu n'ime")</f>
        <v>otu n'ime</v>
      </c>
      <c r="E146" s="2" t="str">
        <f ca="1">IFERROR(__xludf.DUMMYFUNCTION("GOOGLETRANSLATE(B146,""en"",""fr"")"),"chaque")</f>
        <v>chaque</v>
      </c>
      <c r="F146" s="2" t="str">
        <f ca="1">IFERROR(__xludf.DUMMYFUNCTION("GOOGLETRANSLATE(B146,""en"",""it"")"),"ogni")</f>
        <v>ogni</v>
      </c>
      <c r="G146" s="2" t="str">
        <f ca="1">IFERROR(__xludf.DUMMYFUNCTION("GOOGLETRANSLATE(B146,""en"",""de"")"),"jede")</f>
        <v>jede</v>
      </c>
      <c r="H146" s="2" t="str">
        <f ca="1">IFERROR(__xludf.DUMMYFUNCTION("GOOGLETRANSLATE(B146,""en"",""zh"")"),"每个")</f>
        <v>每个</v>
      </c>
      <c r="I146" s="2" t="str">
        <f ca="1">IFERROR(__xludf.DUMMYFUNCTION("GOOGLETRANSLATE(B146,""en"",""gd"")"),"gach fear")</f>
        <v>gach fear</v>
      </c>
    </row>
    <row r="147" spans="1:9" ht="14.25" customHeight="1" x14ac:dyDescent="0.3">
      <c r="A147" s="2">
        <v>146</v>
      </c>
      <c r="B147" s="3" t="s">
        <v>154</v>
      </c>
      <c r="C147" s="2" t="str">
        <f ca="1">IFERROR(__xludf.DUMMYFUNCTION("GOOGLETRANSLATE(B147, ""en"",""es"")"),"escuela")</f>
        <v>escuela</v>
      </c>
      <c r="D147" s="2" t="str">
        <f ca="1">IFERROR(__xludf.DUMMYFUNCTION("GOOGLETRANSLATE(B147,""en"",""ig"")"),"uloakwukwo")</f>
        <v>uloakwukwo</v>
      </c>
      <c r="E147" s="2" t="str">
        <f ca="1">IFERROR(__xludf.DUMMYFUNCTION("GOOGLETRANSLATE(B147,""en"",""fr"")"),"école")</f>
        <v>école</v>
      </c>
      <c r="F147" s="2" t="str">
        <f ca="1">IFERROR(__xludf.DUMMYFUNCTION("GOOGLETRANSLATE(B147,""en"",""it"")"),"scuola")</f>
        <v>scuola</v>
      </c>
      <c r="G147" s="2" t="str">
        <f ca="1">IFERROR(__xludf.DUMMYFUNCTION("GOOGLETRANSLATE(B147,""en"",""de"")"),"Schule")</f>
        <v>Schule</v>
      </c>
      <c r="H147" s="2" t="str">
        <f ca="1">IFERROR(__xludf.DUMMYFUNCTION("GOOGLETRANSLATE(B147,""en"",""zh"")"),"学校")</f>
        <v>学校</v>
      </c>
      <c r="I147" s="2" t="str">
        <f ca="1">IFERROR(__xludf.DUMMYFUNCTION("GOOGLETRANSLATE(B147,""en"",""gd"")"),"sgoil")</f>
        <v>sgoil</v>
      </c>
    </row>
    <row r="148" spans="1:9" ht="14.25" customHeight="1" x14ac:dyDescent="0.3">
      <c r="A148" s="2">
        <v>147</v>
      </c>
      <c r="B148" s="3" t="s">
        <v>155</v>
      </c>
      <c r="C148" s="2" t="str">
        <f ca="1">IFERROR(__xludf.DUMMYFUNCTION("GOOGLETRANSLATE(B148, ""en"",""es"")"),"tarde")</f>
        <v>tarde</v>
      </c>
      <c r="D148" s="2" t="str">
        <f ca="1">IFERROR(__xludf.DUMMYFUNCTION("GOOGLETRANSLATE(B148,""en"",""ig"")"),"abiaghi n'oge")</f>
        <v>abiaghi n'oge</v>
      </c>
      <c r="E148" s="2" t="str">
        <f ca="1">IFERROR(__xludf.DUMMYFUNCTION("GOOGLETRANSLATE(B148,""en"",""fr"")"),"en retard")</f>
        <v>en retard</v>
      </c>
      <c r="F148" s="2" t="str">
        <f ca="1">IFERROR(__xludf.DUMMYFUNCTION("GOOGLETRANSLATE(B148,""en"",""it"")"),"tardi")</f>
        <v>tardi</v>
      </c>
      <c r="G148" s="2" t="str">
        <f ca="1">IFERROR(__xludf.DUMMYFUNCTION("GOOGLETRANSLATE(B148,""en"",""de"")"),"spät")</f>
        <v>spät</v>
      </c>
      <c r="H148" s="2" t="str">
        <f ca="1">IFERROR(__xludf.DUMMYFUNCTION("GOOGLETRANSLATE(B148,""en"",""zh"")"),"晚的")</f>
        <v>晚的</v>
      </c>
      <c r="I148" s="2" t="str">
        <f ca="1">IFERROR(__xludf.DUMMYFUNCTION("GOOGLETRANSLATE(B148,""en"",""gd"")"),"fadalach")</f>
        <v>fadalach</v>
      </c>
    </row>
    <row r="149" spans="1:9" ht="14.25" customHeight="1" x14ac:dyDescent="0.3">
      <c r="A149" s="2">
        <v>148</v>
      </c>
      <c r="B149" s="3" t="s">
        <v>156</v>
      </c>
      <c r="C149" s="2" t="str">
        <f ca="1">IFERROR(__xludf.DUMMYFUNCTION("GOOGLETRANSLATE(B149, ""en"",""es"")"),"alto")</f>
        <v>alto</v>
      </c>
      <c r="D149" s="2" t="str">
        <f ca="1">IFERROR(__xludf.DUMMYFUNCTION("GOOGLETRANSLATE(B149,""en"",""ig"")"),"keelu")</f>
        <v>keelu</v>
      </c>
      <c r="E149" s="2" t="str">
        <f ca="1">IFERROR(__xludf.DUMMYFUNCTION("GOOGLETRANSLATE(B149,""en"",""fr"")"),"haut")</f>
        <v>haut</v>
      </c>
      <c r="F149" s="2" t="str">
        <f ca="1">IFERROR(__xludf.DUMMYFUNCTION("GOOGLETRANSLATE(B149,""en"",""it"")"),"alto")</f>
        <v>alto</v>
      </c>
      <c r="G149" s="2" t="str">
        <f ca="1">IFERROR(__xludf.DUMMYFUNCTION("GOOGLETRANSLATE(B149,""en"",""de"")"),"hoch")</f>
        <v>hoch</v>
      </c>
      <c r="H149" s="2" t="str">
        <f ca="1">IFERROR(__xludf.DUMMYFUNCTION("GOOGLETRANSLATE(B149,""en"",""zh"")"),"高的")</f>
        <v>高的</v>
      </c>
      <c r="I149" s="2" t="str">
        <f ca="1">IFERROR(__xludf.DUMMYFUNCTION("GOOGLETRANSLATE(B149,""en"",""gd"")"),"Àrd")</f>
        <v>Àrd</v>
      </c>
    </row>
    <row r="150" spans="1:9" ht="14.25" customHeight="1" x14ac:dyDescent="0.3">
      <c r="A150" s="2">
        <v>149</v>
      </c>
      <c r="B150" s="3" t="s">
        <v>157</v>
      </c>
      <c r="C150" s="2" t="str">
        <f ca="1">IFERROR(__xludf.DUMMYFUNCTION("GOOGLETRANSLATE(B150, ""en"",""es"")"),"diferente")</f>
        <v>diferente</v>
      </c>
      <c r="D150" s="2" t="str">
        <f ca="1">IFERROR(__xludf.DUMMYFUNCTION("GOOGLETRANSLATE(B150,""en"",""ig"")"),"ndiiche")</f>
        <v>ndiiche</v>
      </c>
      <c r="E150" s="2" t="str">
        <f ca="1">IFERROR(__xludf.DUMMYFUNCTION("GOOGLETRANSLATE(B150,""en"",""fr"")"),"différent")</f>
        <v>différent</v>
      </c>
      <c r="F150" s="2" t="str">
        <f ca="1">IFERROR(__xludf.DUMMYFUNCTION("GOOGLETRANSLATE(B150,""en"",""it"")"),"diverso")</f>
        <v>diverso</v>
      </c>
      <c r="G150" s="2" t="str">
        <f ca="1">IFERROR(__xludf.DUMMYFUNCTION("GOOGLETRANSLATE(B150,""en"",""de"")"),"anders")</f>
        <v>anders</v>
      </c>
      <c r="H150" s="2" t="str">
        <f ca="1">IFERROR(__xludf.DUMMYFUNCTION("GOOGLETRANSLATE(B150,""en"",""zh"")"),"不同的")</f>
        <v>不同的</v>
      </c>
      <c r="I150" s="2" t="str">
        <f ca="1">IFERROR(__xludf.DUMMYFUNCTION("GOOGLETRANSLATE(B150,""en"",""gd"")"),"Diofar")</f>
        <v>Diofar</v>
      </c>
    </row>
    <row r="151" spans="1:9" ht="14.25" customHeight="1" x14ac:dyDescent="0.3">
      <c r="A151" s="2">
        <v>150</v>
      </c>
      <c r="B151" s="3" t="s">
        <v>158</v>
      </c>
      <c r="C151" s="2" t="str">
        <f ca="1">IFERROR(__xludf.DUMMYFUNCTION("GOOGLETRANSLATE(B151, ""en"",""es"")"),"apagado")</f>
        <v>apagado</v>
      </c>
      <c r="D151" s="2" t="str">
        <f ca="1">IFERROR(__xludf.DUMMYFUNCTION("GOOGLETRANSLATE(B151,""en"",""ig"")"),"igbanyu")</f>
        <v>igbanyu</v>
      </c>
      <c r="E151" s="2" t="str">
        <f ca="1">IFERROR(__xludf.DUMMYFUNCTION("GOOGLETRANSLATE(B151,""en"",""fr"")"),"désactivé")</f>
        <v>désactivé</v>
      </c>
      <c r="F151" s="2" t="str">
        <f ca="1">IFERROR(__xludf.DUMMYFUNCTION("GOOGLETRANSLATE(B151,""en"",""it"")"),"spento")</f>
        <v>spento</v>
      </c>
      <c r="G151" s="2" t="str">
        <f ca="1">IFERROR(__xludf.DUMMYFUNCTION("GOOGLETRANSLATE(B151,""en"",""de"")"),"aus")</f>
        <v>aus</v>
      </c>
      <c r="H151" s="2" t="str">
        <f ca="1">IFERROR(__xludf.DUMMYFUNCTION("GOOGLETRANSLATE(B151,""en"",""zh"")"),"离开")</f>
        <v>离开</v>
      </c>
      <c r="I151" s="2" t="str">
        <f ca="1">IFERROR(__xludf.DUMMYFUNCTION("GOOGLETRANSLATE(B151,""en"",""gd"")"),"dheth")</f>
        <v>dheth</v>
      </c>
    </row>
    <row r="152" spans="1:9" ht="14.25" customHeight="1" x14ac:dyDescent="0.3">
      <c r="A152" s="2">
        <v>151</v>
      </c>
      <c r="B152" s="3" t="s">
        <v>159</v>
      </c>
      <c r="C152" s="2" t="str">
        <f ca="1">IFERROR(__xludf.DUMMYFUNCTION("GOOGLETRANSLATE(B152, ""en"",""es"")"),"próximo")</f>
        <v>próximo</v>
      </c>
      <c r="D152" s="2" t="str">
        <f ca="1">IFERROR(__xludf.DUMMYFUNCTION("GOOGLETRANSLATE(B152,""en"",""ig"")"),"Osote")</f>
        <v>Osote</v>
      </c>
      <c r="E152" s="2" t="str">
        <f ca="1">IFERROR(__xludf.DUMMYFUNCTION("GOOGLETRANSLATE(B152,""en"",""fr"")"),"suivant")</f>
        <v>suivant</v>
      </c>
      <c r="F152" s="2" t="str">
        <f ca="1">IFERROR(__xludf.DUMMYFUNCTION("GOOGLETRANSLATE(B152,""en"",""it"")"),"Prossimo")</f>
        <v>Prossimo</v>
      </c>
      <c r="G152" s="2" t="str">
        <f ca="1">IFERROR(__xludf.DUMMYFUNCTION("GOOGLETRANSLATE(B152,""en"",""de"")"),"nächste")</f>
        <v>nächste</v>
      </c>
      <c r="H152" s="2" t="str">
        <f ca="1">IFERROR(__xludf.DUMMYFUNCTION("GOOGLETRANSLATE(B152,""en"",""zh"")"),"下一个")</f>
        <v>下一个</v>
      </c>
      <c r="I152" s="2" t="str">
        <f ca="1">IFERROR(__xludf.DUMMYFUNCTION("GOOGLETRANSLATE(B152,""en"",""gd"")"),"An ath rud")</f>
        <v>An ath rud</v>
      </c>
    </row>
    <row r="153" spans="1:9" ht="14.25" customHeight="1" x14ac:dyDescent="0.3">
      <c r="A153" s="2">
        <v>152</v>
      </c>
      <c r="B153" s="3" t="s">
        <v>160</v>
      </c>
      <c r="C153" s="2" t="str">
        <f ca="1">IFERROR(__xludf.DUMMYFUNCTION("GOOGLETRANSLATE(B153, ""en"",""es"")"),"fin")</f>
        <v>fin</v>
      </c>
      <c r="D153" s="2" t="str">
        <f ca="1">IFERROR(__xludf.DUMMYFUNCTION("GOOGLETRANSLATE(B153,""en"",""ig"")"),"nkwusi")</f>
        <v>nkwusi</v>
      </c>
      <c r="E153" s="2" t="str">
        <f ca="1">IFERROR(__xludf.DUMMYFUNCTION("GOOGLETRANSLATE(B153,""en"",""fr"")"),"fin")</f>
        <v>fin</v>
      </c>
      <c r="F153" s="2" t="str">
        <f ca="1">IFERROR(__xludf.DUMMYFUNCTION("GOOGLETRANSLATE(B153,""en"",""it"")"),"FINE")</f>
        <v>FINE</v>
      </c>
      <c r="G153" s="2" t="str">
        <f ca="1">IFERROR(__xludf.DUMMYFUNCTION("GOOGLETRANSLATE(B153,""en"",""de"")"),"Ende")</f>
        <v>Ende</v>
      </c>
      <c r="H153" s="2" t="str">
        <f ca="1">IFERROR(__xludf.DUMMYFUNCTION("GOOGLETRANSLATE(B153,""en"",""zh"")"),"结尾")</f>
        <v>结尾</v>
      </c>
      <c r="I153" s="2" t="str">
        <f ca="1">IFERROR(__xludf.DUMMYFUNCTION("GOOGLETRANSLATE(B153,""en"",""gd"")"),"deireadh")</f>
        <v>deireadh</v>
      </c>
    </row>
    <row r="154" spans="1:9" ht="14.25" customHeight="1" x14ac:dyDescent="0.3">
      <c r="A154" s="2">
        <v>153</v>
      </c>
      <c r="B154" s="3" t="s">
        <v>161</v>
      </c>
      <c r="C154" s="2" t="str">
        <f ca="1">IFERROR(__xludf.DUMMYFUNCTION("GOOGLETRANSLATE(B154, ""en"",""es"")"),"vivir")</f>
        <v>vivir</v>
      </c>
      <c r="D154" s="2" t="str">
        <f ca="1">IFERROR(__xludf.DUMMYFUNCTION("GOOGLETRANSLATE(B154,""en"",""ig"")"),"kendu")</f>
        <v>kendu</v>
      </c>
      <c r="E154" s="2" t="str">
        <f ca="1">IFERROR(__xludf.DUMMYFUNCTION("GOOGLETRANSLATE(B154,""en"",""fr"")"),"en direct")</f>
        <v>en direct</v>
      </c>
      <c r="F154" s="2" t="str">
        <f ca="1">IFERROR(__xludf.DUMMYFUNCTION("GOOGLETRANSLATE(B154,""en"",""it"")"),"vivere")</f>
        <v>vivere</v>
      </c>
      <c r="G154" s="2" t="str">
        <f ca="1">IFERROR(__xludf.DUMMYFUNCTION("GOOGLETRANSLATE(B154,""en"",""de"")"),"live")</f>
        <v>live</v>
      </c>
      <c r="H154" s="2" t="str">
        <f ca="1">IFERROR(__xludf.DUMMYFUNCTION("GOOGLETRANSLATE(B154,""en"",""zh"")"),"居住")</f>
        <v>居住</v>
      </c>
      <c r="I154" s="2" t="str">
        <f ca="1">IFERROR(__xludf.DUMMYFUNCTION("GOOGLETRANSLATE(B154,""en"",""gd"")"),"beò")</f>
        <v>beò</v>
      </c>
    </row>
    <row r="155" spans="1:9" ht="14.25" customHeight="1" x14ac:dyDescent="0.3">
      <c r="A155" s="2">
        <v>154</v>
      </c>
      <c r="B155" s="3" t="s">
        <v>162</v>
      </c>
      <c r="C155" s="2" t="str">
        <f ca="1">IFERROR(__xludf.DUMMYFUNCTION("GOOGLETRANSLATE(B155, ""en"",""es"")"),"por qué")</f>
        <v>por qué</v>
      </c>
      <c r="D155" s="2" t="str">
        <f ca="1">IFERROR(__xludf.DUMMYFUNCTION("GOOGLETRANSLATE(B155,""en"",""ig"")"),"gini")</f>
        <v>gini</v>
      </c>
      <c r="E155" s="2" t="str">
        <f ca="1">IFERROR(__xludf.DUMMYFUNCTION("GOOGLETRANSLATE(B155,""en"",""fr"")"),"pourquoi")</f>
        <v>pourquoi</v>
      </c>
      <c r="F155" s="2" t="str">
        <f ca="1">IFERROR(__xludf.DUMMYFUNCTION("GOOGLETRANSLATE(B155,""en"",""it"")"),"Perché")</f>
        <v>Perché</v>
      </c>
      <c r="G155" s="2" t="str">
        <f ca="1">IFERROR(__xludf.DUMMYFUNCTION("GOOGLETRANSLATE(B155,""en"",""de"")"),"Warum")</f>
        <v>Warum</v>
      </c>
      <c r="H155" s="2" t="str">
        <f ca="1">IFERROR(__xludf.DUMMYFUNCTION("GOOGLETRANSLATE(B155,""en"",""zh"")"),"为什么")</f>
        <v>为什么</v>
      </c>
      <c r="I155" s="2" t="str">
        <f ca="1">IFERROR(__xludf.DUMMYFUNCTION("GOOGLETRANSLATE(B155,""en"",""gd"")"),"carson")</f>
        <v>carson</v>
      </c>
    </row>
    <row r="156" spans="1:9" ht="14.25" customHeight="1" x14ac:dyDescent="0.3">
      <c r="A156" s="2">
        <v>155</v>
      </c>
      <c r="B156" s="3" t="s">
        <v>163</v>
      </c>
      <c r="C156" s="2" t="str">
        <f ca="1">IFERROR(__xludf.DUMMYFUNCTION("GOOGLETRANSLATE(B156, ""en"",""es"")"),"mientras")</f>
        <v>mientras</v>
      </c>
      <c r="D156" s="2" t="str">
        <f ca="1">IFERROR(__xludf.DUMMYFUNCTION("GOOGLETRANSLATE(B156,""en"",""ig"")"),"mgbe")</f>
        <v>mgbe</v>
      </c>
      <c r="E156" s="2" t="str">
        <f ca="1">IFERROR(__xludf.DUMMYFUNCTION("GOOGLETRANSLATE(B156,""en"",""fr"")"),"alors que")</f>
        <v>alors que</v>
      </c>
      <c r="F156" s="2" t="str">
        <f ca="1">IFERROR(__xludf.DUMMYFUNCTION("GOOGLETRANSLATE(B156,""en"",""it"")"),"Mentre")</f>
        <v>Mentre</v>
      </c>
      <c r="G156" s="2" t="str">
        <f ca="1">IFERROR(__xludf.DUMMYFUNCTION("GOOGLETRANSLATE(B156,""en"",""de"")"),"während")</f>
        <v>während</v>
      </c>
      <c r="H156" s="2" t="str">
        <f ca="1">IFERROR(__xludf.DUMMYFUNCTION("GOOGLETRANSLATE(B156,""en"",""zh"")"),"尽管")</f>
        <v>尽管</v>
      </c>
      <c r="I156" s="2" t="str">
        <f ca="1">IFERROR(__xludf.DUMMYFUNCTION("GOOGLETRANSLATE(B156,""en"",""gd"")"),"Fhad 's a")</f>
        <v>Fhad 's a</v>
      </c>
    </row>
    <row r="157" spans="1:9" ht="14.25" customHeight="1" x14ac:dyDescent="0.3">
      <c r="A157" s="2">
        <v>156</v>
      </c>
      <c r="B157" s="3" t="s">
        <v>164</v>
      </c>
      <c r="C157" s="2" t="str">
        <f ca="1">IFERROR(__xludf.DUMMYFUNCTION("GOOGLETRANSLATE(B157, ""en"",""es"")"),"mundo")</f>
        <v>mundo</v>
      </c>
      <c r="D157" s="2" t="str">
        <f ca="1">IFERROR(__xludf.DUMMYFUNCTION("GOOGLETRANSLATE(B157,""en"",""ig"")"),"eluuwa")</f>
        <v>eluuwa</v>
      </c>
      <c r="E157" s="2" t="str">
        <f ca="1">IFERROR(__xludf.DUMMYFUNCTION("GOOGLETRANSLATE(B157,""en"",""fr"")"),"monde")</f>
        <v>monde</v>
      </c>
      <c r="F157" s="2" t="str">
        <f ca="1">IFERROR(__xludf.DUMMYFUNCTION("GOOGLETRANSLATE(B157,""en"",""it"")"),"mondo")</f>
        <v>mondo</v>
      </c>
      <c r="G157" s="2" t="str">
        <f ca="1">IFERROR(__xludf.DUMMYFUNCTION("GOOGLETRANSLATE(B157,""en"",""de"")"),"Welt")</f>
        <v>Welt</v>
      </c>
      <c r="H157" s="2" t="str">
        <f ca="1">IFERROR(__xludf.DUMMYFUNCTION("GOOGLETRANSLATE(B157,""en"",""zh"")"),"世界")</f>
        <v>世界</v>
      </c>
      <c r="I157" s="2" t="str">
        <f ca="1">IFERROR(__xludf.DUMMYFUNCTION("GOOGLETRANSLATE(B157,""en"",""gd"")"),"Saoghal")</f>
        <v>Saoghal</v>
      </c>
    </row>
    <row r="158" spans="1:9" ht="14.25" customHeight="1" x14ac:dyDescent="0.3">
      <c r="A158" s="2">
        <v>157</v>
      </c>
      <c r="B158" s="3" t="s">
        <v>165</v>
      </c>
      <c r="C158" s="2" t="str">
        <f ca="1">IFERROR(__xludf.DUMMYFUNCTION("GOOGLETRANSLATE(B158, ""en"",""es"")"),"semana")</f>
        <v>semana</v>
      </c>
      <c r="D158" s="2" t="str">
        <f ca="1">IFERROR(__xludf.DUMMYFUNCTION("GOOGLETRANSLATE(B158,""en"",""ig"")"),"wiik")</f>
        <v>wiik</v>
      </c>
      <c r="E158" s="2" t="str">
        <f ca="1">IFERROR(__xludf.DUMMYFUNCTION("GOOGLETRANSLATE(B158,""en"",""fr"")"),"semaine")</f>
        <v>semaine</v>
      </c>
      <c r="F158" s="2" t="str">
        <f ca="1">IFERROR(__xludf.DUMMYFUNCTION("GOOGLETRANSLATE(B158,""en"",""it"")"),"settimana")</f>
        <v>settimana</v>
      </c>
      <c r="G158" s="2" t="str">
        <f ca="1">IFERROR(__xludf.DUMMYFUNCTION("GOOGLETRANSLATE(B158,""en"",""de"")"),"Woche")</f>
        <v>Woche</v>
      </c>
      <c r="H158" s="2" t="str">
        <f ca="1">IFERROR(__xludf.DUMMYFUNCTION("GOOGLETRANSLATE(B158,""en"",""zh"")"),"星期")</f>
        <v>星期</v>
      </c>
      <c r="I158" s="2" t="str">
        <f ca="1">IFERROR(__xludf.DUMMYFUNCTION("GOOGLETRANSLATE(B158,""en"",""gd"")"),"seachdain")</f>
        <v>seachdain</v>
      </c>
    </row>
    <row r="159" spans="1:9" ht="14.25" customHeight="1" x14ac:dyDescent="0.3">
      <c r="A159" s="2">
        <v>158</v>
      </c>
      <c r="B159" s="3" t="s">
        <v>166</v>
      </c>
      <c r="C159" s="2" t="str">
        <f ca="1">IFERROR(__xludf.DUMMYFUNCTION("GOOGLETRANSLATE(B159, ""en"",""es"")"),"jugar")</f>
        <v>jugar</v>
      </c>
      <c r="D159" s="2" t="str">
        <f ca="1">IFERROR(__xludf.DUMMYFUNCTION("GOOGLETRANSLATE(B159,""en"",""ig"")"),"gwuria")</f>
        <v>gwuria</v>
      </c>
      <c r="E159" s="2" t="str">
        <f ca="1">IFERROR(__xludf.DUMMYFUNCTION("GOOGLETRANSLATE(B159,""en"",""fr"")"),"jouer")</f>
        <v>jouer</v>
      </c>
      <c r="F159" s="2" t="str">
        <f ca="1">IFERROR(__xludf.DUMMYFUNCTION("GOOGLETRANSLATE(B159,""en"",""it"")"),"giocare")</f>
        <v>giocare</v>
      </c>
      <c r="G159" s="2" t="str">
        <f ca="1">IFERROR(__xludf.DUMMYFUNCTION("GOOGLETRANSLATE(B159,""en"",""de"")"),"spielen")</f>
        <v>spielen</v>
      </c>
      <c r="H159" s="2" t="str">
        <f ca="1">IFERROR(__xludf.DUMMYFUNCTION("GOOGLETRANSLATE(B159,""en"",""zh"")"),"玩")</f>
        <v>玩</v>
      </c>
      <c r="I159" s="2" t="str">
        <f ca="1">IFERROR(__xludf.DUMMYFUNCTION("GOOGLETRANSLATE(B159,""en"",""gd"")"),"Cluich")</f>
        <v>Cluich</v>
      </c>
    </row>
    <row r="160" spans="1:9" ht="14.25" customHeight="1" x14ac:dyDescent="0.3">
      <c r="A160" s="2">
        <v>159</v>
      </c>
      <c r="B160" s="3" t="s">
        <v>167</v>
      </c>
      <c r="C160" s="2" t="str">
        <f ca="1">IFERROR(__xludf.DUMMYFUNCTION("GOOGLETRANSLATE(B160, ""en"",""es"")"),"podría")</f>
        <v>podría</v>
      </c>
      <c r="D160" s="2" t="str">
        <f ca="1">IFERROR(__xludf.DUMMYFUNCTION("GOOGLETRANSLATE(B160,""en"",""ig"")"),"ike")</f>
        <v>ike</v>
      </c>
      <c r="E160" s="2" t="str">
        <f ca="1">IFERROR(__xludf.DUMMYFUNCTION("GOOGLETRANSLATE(B160,""en"",""fr"")"),"pourrait")</f>
        <v>pourrait</v>
      </c>
      <c r="F160" s="2" t="str">
        <f ca="1">IFERROR(__xludf.DUMMYFUNCTION("GOOGLETRANSLATE(B160,""en"",""it"")"),"Potrebbe")</f>
        <v>Potrebbe</v>
      </c>
      <c r="G160" s="2" t="str">
        <f ca="1">IFERROR(__xludf.DUMMYFUNCTION("GOOGLETRANSLATE(B160,""en"",""de"")"),"könnte")</f>
        <v>könnte</v>
      </c>
      <c r="H160" s="2" t="str">
        <f ca="1">IFERROR(__xludf.DUMMYFUNCTION("GOOGLETRANSLATE(B160,""en"",""zh"")"),"可能")</f>
        <v>可能</v>
      </c>
      <c r="I160" s="2" t="str">
        <f ca="1">IFERROR(__xludf.DUMMYFUNCTION("GOOGLETRANSLATE(B160,""en"",""gd"")"),"dh 'fhaodadh")</f>
        <v>dh 'fhaodadh</v>
      </c>
    </row>
    <row r="161" spans="1:9" ht="14.25" customHeight="1" x14ac:dyDescent="0.3">
      <c r="A161" s="2">
        <v>160</v>
      </c>
      <c r="B161" s="3" t="s">
        <v>168</v>
      </c>
      <c r="C161" s="2" t="str">
        <f ca="1">IFERROR(__xludf.DUMMYFUNCTION("GOOGLETRANSLATE(B161, ""en"",""es"")"),"debe")</f>
        <v>debe</v>
      </c>
      <c r="D161" s="2" t="str">
        <f ca="1">IFERROR(__xludf.DUMMYFUNCTION("GOOGLETRANSLATE(B161,""en"",""ig"")"),"ga")</f>
        <v>ga</v>
      </c>
      <c r="E161" s="2" t="str">
        <f ca="1">IFERROR(__xludf.DUMMYFUNCTION("GOOGLETRANSLATE(B161,""en"",""fr"")"),"doit")</f>
        <v>doit</v>
      </c>
      <c r="F161" s="2" t="str">
        <f ca="1">IFERROR(__xludf.DUMMYFUNCTION("GOOGLETRANSLATE(B161,""en"",""it"")"),"dovere")</f>
        <v>dovere</v>
      </c>
      <c r="G161" s="2" t="str">
        <f ca="1">IFERROR(__xludf.DUMMYFUNCTION("GOOGLETRANSLATE(B161,""en"",""de"")"),"muss")</f>
        <v>muss</v>
      </c>
      <c r="H161" s="2" t="str">
        <f ca="1">IFERROR(__xludf.DUMMYFUNCTION("GOOGLETRANSLATE(B161,""en"",""zh"")"),"必须")</f>
        <v>必须</v>
      </c>
      <c r="I161" s="2" t="str">
        <f ca="1">IFERROR(__xludf.DUMMYFUNCTION("GOOGLETRANSLATE(B161,""en"",""gd"")"),"feumaidh")</f>
        <v>feumaidh</v>
      </c>
    </row>
    <row r="162" spans="1:9" ht="14.25" customHeight="1" x14ac:dyDescent="0.3">
      <c r="A162" s="2">
        <v>161</v>
      </c>
      <c r="B162" s="3" t="s">
        <v>169</v>
      </c>
      <c r="C162" s="2" t="str">
        <f ca="1">IFERROR(__xludf.DUMMYFUNCTION("GOOGLETRANSLATE(B162, ""en"",""es"")"),"hogar")</f>
        <v>hogar</v>
      </c>
      <c r="D162" s="2" t="str">
        <f ca="1">IFERROR(__xludf.DUMMYFUNCTION("GOOGLETRANSLATE(B162,""en"",""ig"")"),"ulo")</f>
        <v>ulo</v>
      </c>
      <c r="E162" s="2" t="str">
        <f ca="1">IFERROR(__xludf.DUMMYFUNCTION("GOOGLETRANSLATE(B162,""en"",""fr"")"),"maison")</f>
        <v>maison</v>
      </c>
      <c r="F162" s="2" t="str">
        <f ca="1">IFERROR(__xludf.DUMMYFUNCTION("GOOGLETRANSLATE(B162,""en"",""it"")"),"casa")</f>
        <v>casa</v>
      </c>
      <c r="G162" s="2" t="str">
        <f ca="1">IFERROR(__xludf.DUMMYFUNCTION("GOOGLETRANSLATE(B162,""en"",""de"")"),"heim")</f>
        <v>heim</v>
      </c>
      <c r="H162" s="2" t="str">
        <f ca="1">IFERROR(__xludf.DUMMYFUNCTION("GOOGLETRANSLATE(B162,""en"",""zh"")"),"家")</f>
        <v>家</v>
      </c>
      <c r="I162" s="2" t="str">
        <f ca="1">IFERROR(__xludf.DUMMYFUNCTION("GOOGLETRANSLATE(B162,""en"",""gd"")"),"Dachaigh")</f>
        <v>Dachaigh</v>
      </c>
    </row>
    <row r="163" spans="1:9" ht="14.25" customHeight="1" x14ac:dyDescent="0.3">
      <c r="A163" s="2">
        <v>162</v>
      </c>
      <c r="B163" s="3" t="s">
        <v>170</v>
      </c>
      <c r="C163" s="2" t="str">
        <f ca="1">IFERROR(__xludf.DUMMYFUNCTION("GOOGLETRANSLATE(B163, ""en"",""es"")"),"nunca")</f>
        <v>nunca</v>
      </c>
      <c r="D163" s="2" t="str">
        <f ca="1">IFERROR(__xludf.DUMMYFUNCTION("GOOGLETRANSLATE(B163,""en"",""ig"")"),"emeghi")</f>
        <v>emeghi</v>
      </c>
      <c r="E163" s="2" t="str">
        <f ca="1">IFERROR(__xludf.DUMMYFUNCTION("GOOGLETRANSLATE(B163,""en"",""fr"")"),"jamais")</f>
        <v>jamais</v>
      </c>
      <c r="F163" s="2" t="str">
        <f ca="1">IFERROR(__xludf.DUMMYFUNCTION("GOOGLETRANSLATE(B163,""en"",""it"")"),"Mai")</f>
        <v>Mai</v>
      </c>
      <c r="G163" s="2" t="str">
        <f ca="1">IFERROR(__xludf.DUMMYFUNCTION("GOOGLETRANSLATE(B163,""en"",""de"")"),"niemals")</f>
        <v>niemals</v>
      </c>
      <c r="H163" s="2" t="str">
        <f ca="1">IFERROR(__xludf.DUMMYFUNCTION("GOOGLETRANSLATE(B163,""en"",""zh"")"),"绝不")</f>
        <v>绝不</v>
      </c>
      <c r="I163" s="2" t="str">
        <f ca="1">IFERROR(__xludf.DUMMYFUNCTION("GOOGLETRANSLATE(B163,""en"",""gd"")"),"a-riamh")</f>
        <v>a-riamh</v>
      </c>
    </row>
    <row r="164" spans="1:9" ht="14.25" customHeight="1" x14ac:dyDescent="0.3">
      <c r="A164" s="2">
        <v>163</v>
      </c>
      <c r="B164" s="3" t="s">
        <v>171</v>
      </c>
      <c r="C164" s="2" t="str">
        <f ca="1">IFERROR(__xludf.DUMMYFUNCTION("GOOGLETRANSLATE(B164, ""en"",""es"")"),"incluir")</f>
        <v>incluir</v>
      </c>
      <c r="D164" s="2" t="str">
        <f ca="1">IFERROR(__xludf.DUMMYFUNCTION("GOOGLETRANSLATE(B164,""en"",""ig"")"),"isonye")</f>
        <v>isonye</v>
      </c>
      <c r="E164" s="2" t="str">
        <f ca="1">IFERROR(__xludf.DUMMYFUNCTION("GOOGLETRANSLATE(B164,""en"",""fr"")"),"inclure")</f>
        <v>inclure</v>
      </c>
      <c r="F164" s="2" t="str">
        <f ca="1">IFERROR(__xludf.DUMMYFUNCTION("GOOGLETRANSLATE(B164,""en"",""it"")"),"includere")</f>
        <v>includere</v>
      </c>
      <c r="G164" s="2" t="str">
        <f ca="1">IFERROR(__xludf.DUMMYFUNCTION("GOOGLETRANSLATE(B164,""en"",""de"")"),"enthalten")</f>
        <v>enthalten</v>
      </c>
      <c r="H164" s="2" t="str">
        <f ca="1">IFERROR(__xludf.DUMMYFUNCTION("GOOGLETRANSLATE(B164,""en"",""zh"")"),"包括")</f>
        <v>包括</v>
      </c>
      <c r="I164" s="2" t="str">
        <f ca="1">IFERROR(__xludf.DUMMYFUNCTION("GOOGLETRANSLATE(B164,""en"",""gd"")"),"toirt a-steach")</f>
        <v>toirt a-steach</v>
      </c>
    </row>
    <row r="165" spans="1:9" ht="14.25" customHeight="1" x14ac:dyDescent="0.3">
      <c r="A165" s="2">
        <v>164</v>
      </c>
      <c r="B165" s="3" t="s">
        <v>172</v>
      </c>
      <c r="C165" s="2" t="str">
        <f ca="1">IFERROR(__xludf.DUMMYFUNCTION("GOOGLETRANSLATE(B165, ""en"",""es"")"),"curso")</f>
        <v>curso</v>
      </c>
      <c r="D165" s="2" t="str">
        <f ca="1">IFERROR(__xludf.DUMMYFUNCTION("GOOGLETRANSLATE(B165,""en"",""ig"")"),"koosu")</f>
        <v>koosu</v>
      </c>
      <c r="E165" s="2" t="str">
        <f ca="1">IFERROR(__xludf.DUMMYFUNCTION("GOOGLETRANSLATE(B165,""en"",""fr"")"),"cours")</f>
        <v>cours</v>
      </c>
      <c r="F165" s="2" t="str">
        <f ca="1">IFERROR(__xludf.DUMMYFUNCTION("GOOGLETRANSLATE(B165,""en"",""it"")"),"corso")</f>
        <v>corso</v>
      </c>
      <c r="G165" s="2" t="str">
        <f ca="1">IFERROR(__xludf.DUMMYFUNCTION("GOOGLETRANSLATE(B165,""en"",""de"")"),"Kurs")</f>
        <v>Kurs</v>
      </c>
      <c r="H165" s="2" t="str">
        <f ca="1">IFERROR(__xludf.DUMMYFUNCTION("GOOGLETRANSLATE(B165,""en"",""zh"")"),"课程")</f>
        <v>课程</v>
      </c>
      <c r="I165" s="2" t="str">
        <f ca="1">IFERROR(__xludf.DUMMYFUNCTION("GOOGLETRANSLATE(B165,""en"",""gd"")"),"Cùrsa")</f>
        <v>Cùrsa</v>
      </c>
    </row>
    <row r="166" spans="1:9" ht="14.25" customHeight="1" x14ac:dyDescent="0.3">
      <c r="A166" s="2">
        <v>165</v>
      </c>
      <c r="B166" s="3" t="s">
        <v>173</v>
      </c>
      <c r="C166" s="2" t="str">
        <f ca="1">IFERROR(__xludf.DUMMYFUNCTION("GOOGLETRANSLATE(B166, ""en"",""es"")"),"casa")</f>
        <v>casa</v>
      </c>
      <c r="D166" s="2" t="str">
        <f ca="1">IFERROR(__xludf.DUMMYFUNCTION("GOOGLETRANSLATE(B166,""en"",""ig"")"),"ulo")</f>
        <v>ulo</v>
      </c>
      <c r="E166" s="2" t="str">
        <f ca="1">IFERROR(__xludf.DUMMYFUNCTION("GOOGLETRANSLATE(B166,""en"",""fr"")"),"maison")</f>
        <v>maison</v>
      </c>
      <c r="F166" s="2" t="str">
        <f ca="1">IFERROR(__xludf.DUMMYFUNCTION("GOOGLETRANSLATE(B166,""en"",""it"")"),"casa")</f>
        <v>casa</v>
      </c>
      <c r="G166" s="2" t="str">
        <f ca="1">IFERROR(__xludf.DUMMYFUNCTION("GOOGLETRANSLATE(B166,""en"",""de"")"),"Haus")</f>
        <v>Haus</v>
      </c>
      <c r="H166" s="2" t="str">
        <f ca="1">IFERROR(__xludf.DUMMYFUNCTION("GOOGLETRANSLATE(B166,""en"",""zh"")"),"房子")</f>
        <v>房子</v>
      </c>
      <c r="I166" s="2" t="str">
        <f ca="1">IFERROR(__xludf.DUMMYFUNCTION("GOOGLETRANSLATE(B166,""en"",""gd"")"),"Taigh")</f>
        <v>Taigh</v>
      </c>
    </row>
    <row r="167" spans="1:9" ht="14.25" customHeight="1" x14ac:dyDescent="0.3">
      <c r="A167" s="2">
        <v>166</v>
      </c>
      <c r="B167" s="3" t="s">
        <v>174</v>
      </c>
      <c r="C167" s="2" t="str">
        <f ca="1">IFERROR(__xludf.DUMMYFUNCTION("GOOGLETRANSLATE(B167, ""en"",""es"")"),"informe")</f>
        <v>informe</v>
      </c>
      <c r="D167" s="2" t="str">
        <f ca="1">IFERROR(__xludf.DUMMYFUNCTION("GOOGLETRANSLATE(B167,""en"",""ig"")"),"repot")</f>
        <v>repot</v>
      </c>
      <c r="E167" s="2" t="str">
        <f ca="1">IFERROR(__xludf.DUMMYFUNCTION("GOOGLETRANSLATE(B167,""en"",""fr"")"),"rapport")</f>
        <v>rapport</v>
      </c>
      <c r="F167" s="2" t="str">
        <f ca="1">IFERROR(__xludf.DUMMYFUNCTION("GOOGLETRANSLATE(B167,""en"",""it"")"),"rapporto")</f>
        <v>rapporto</v>
      </c>
      <c r="G167" s="2" t="str">
        <f ca="1">IFERROR(__xludf.DUMMYFUNCTION("GOOGLETRANSLATE(B167,""en"",""de"")"),"Bericht")</f>
        <v>Bericht</v>
      </c>
      <c r="H167" s="2" t="str">
        <f ca="1">IFERROR(__xludf.DUMMYFUNCTION("GOOGLETRANSLATE(B167,""en"",""zh"")"),"报告")</f>
        <v>报告</v>
      </c>
      <c r="I167" s="2" t="str">
        <f ca="1">IFERROR(__xludf.DUMMYFUNCTION("GOOGLETRANSLATE(B167,""en"",""gd"")"),"Aithisg")</f>
        <v>Aithisg</v>
      </c>
    </row>
    <row r="168" spans="1:9" ht="14.25" customHeight="1" x14ac:dyDescent="0.3">
      <c r="A168" s="2">
        <v>167</v>
      </c>
      <c r="B168" s="3" t="s">
        <v>175</v>
      </c>
      <c r="C168" s="2" t="str">
        <f ca="1">IFERROR(__xludf.DUMMYFUNCTION("GOOGLETRANSLATE(B168, ""en"",""es"")"),"grupo")</f>
        <v>grupo</v>
      </c>
      <c r="D168" s="2" t="str">
        <f ca="1">IFERROR(__xludf.DUMMYFUNCTION("GOOGLETRANSLATE(B168,""en"",""ig"")"),"otu")</f>
        <v>otu</v>
      </c>
      <c r="E168" s="2" t="str">
        <f ca="1">IFERROR(__xludf.DUMMYFUNCTION("GOOGLETRANSLATE(B168,""en"",""fr"")"),"groupe")</f>
        <v>groupe</v>
      </c>
      <c r="F168" s="2" t="str">
        <f ca="1">IFERROR(__xludf.DUMMYFUNCTION("GOOGLETRANSLATE(B168,""en"",""it"")"),"gruppo")</f>
        <v>gruppo</v>
      </c>
      <c r="G168" s="2" t="str">
        <f ca="1">IFERROR(__xludf.DUMMYFUNCTION("GOOGLETRANSLATE(B168,""en"",""de"")"),"Gruppe")</f>
        <v>Gruppe</v>
      </c>
      <c r="H168" s="2" t="str">
        <f ca="1">IFERROR(__xludf.DUMMYFUNCTION("GOOGLETRANSLATE(B168,""en"",""zh"")"),"团体")</f>
        <v>团体</v>
      </c>
      <c r="I168" s="2" t="str">
        <f ca="1">IFERROR(__xludf.DUMMYFUNCTION("GOOGLETRANSLATE(B168,""en"",""gd"")"),"Buidheann")</f>
        <v>Buidheann</v>
      </c>
    </row>
    <row r="169" spans="1:9" ht="14.25" customHeight="1" x14ac:dyDescent="0.3">
      <c r="A169" s="2">
        <v>168</v>
      </c>
      <c r="B169" s="3" t="s">
        <v>176</v>
      </c>
      <c r="C169" s="2" t="str">
        <f ca="1">IFERROR(__xludf.DUMMYFUNCTION("GOOGLETRANSLATE(B169, ""en"",""es"")"),"caso")</f>
        <v>caso</v>
      </c>
      <c r="D169" s="2" t="str">
        <f ca="1">IFERROR(__xludf.DUMMYFUNCTION("GOOGLETRANSLATE(B169,""en"",""ig"")"),"akpati")</f>
        <v>akpati</v>
      </c>
      <c r="E169" s="2" t="str">
        <f ca="1">IFERROR(__xludf.DUMMYFUNCTION("GOOGLETRANSLATE(B169,""en"",""fr"")"),"cas")</f>
        <v>cas</v>
      </c>
      <c r="F169" s="2" t="str">
        <f ca="1">IFERROR(__xludf.DUMMYFUNCTION("GOOGLETRANSLATE(B169,""en"",""it"")"),"caso")</f>
        <v>caso</v>
      </c>
      <c r="G169" s="2" t="str">
        <f ca="1">IFERROR(__xludf.DUMMYFUNCTION("GOOGLETRANSLATE(B169,""en"",""de"")"),"Fall")</f>
        <v>Fall</v>
      </c>
      <c r="H169" s="2" t="str">
        <f ca="1">IFERROR(__xludf.DUMMYFUNCTION("GOOGLETRANSLATE(B169,""en"",""zh"")"),"案件")</f>
        <v>案件</v>
      </c>
      <c r="I169" s="2" t="str">
        <f ca="1">IFERROR(__xludf.DUMMYFUNCTION("GOOGLETRANSLATE(B169,""en"",""gd"")"),"cùis")</f>
        <v>cùis</v>
      </c>
    </row>
    <row r="170" spans="1:9" ht="14.25" customHeight="1" x14ac:dyDescent="0.3">
      <c r="A170" s="2">
        <v>169</v>
      </c>
      <c r="B170" s="3" t="s">
        <v>177</v>
      </c>
      <c r="C170" s="2" t="str">
        <f ca="1">IFERROR(__xludf.DUMMYFUNCTION("GOOGLETRANSLATE(B170, ""en"",""es"")"),"mujer")</f>
        <v>mujer</v>
      </c>
      <c r="D170" s="2" t="str">
        <f ca="1">IFERROR(__xludf.DUMMYFUNCTION("GOOGLETRANSLATE(B170,""en"",""ig"")"),"nwaanyi")</f>
        <v>nwaanyi</v>
      </c>
      <c r="E170" s="2" t="str">
        <f ca="1">IFERROR(__xludf.DUMMYFUNCTION("GOOGLETRANSLATE(B170,""en"",""fr"")"),"femme")</f>
        <v>femme</v>
      </c>
      <c r="F170" s="2" t="str">
        <f ca="1">IFERROR(__xludf.DUMMYFUNCTION("GOOGLETRANSLATE(B170,""en"",""it"")"),"donna")</f>
        <v>donna</v>
      </c>
      <c r="G170" s="2" t="str">
        <f ca="1">IFERROR(__xludf.DUMMYFUNCTION("GOOGLETRANSLATE(B170,""en"",""de"")"),"Frau")</f>
        <v>Frau</v>
      </c>
      <c r="H170" s="2" t="str">
        <f ca="1">IFERROR(__xludf.DUMMYFUNCTION("GOOGLETRANSLATE(B170,""en"",""zh"")"),"女士")</f>
        <v>女士</v>
      </c>
      <c r="I170" s="2" t="str">
        <f ca="1">IFERROR(__xludf.DUMMYFUNCTION("GOOGLETRANSLATE(B170,""en"",""gd"")"),"Boireannach")</f>
        <v>Boireannach</v>
      </c>
    </row>
    <row r="171" spans="1:9" ht="14.25" customHeight="1" x14ac:dyDescent="0.3">
      <c r="A171" s="2">
        <v>170</v>
      </c>
      <c r="B171" s="3" t="s">
        <v>178</v>
      </c>
      <c r="C171" s="2" t="str">
        <f ca="1">IFERROR(__xludf.DUMMYFUNCTION("GOOGLETRANSLATE(B171, ""en"",""es"")"),"alrededor")</f>
        <v>alrededor</v>
      </c>
      <c r="D171" s="2" t="str">
        <f ca="1">IFERROR(__xludf.DUMMYFUNCTION("GOOGLETRANSLATE(B171,""en"",""ig"")"),"n'uzo")</f>
        <v>n'uzo</v>
      </c>
      <c r="E171" s="2" t="str">
        <f ca="1">IFERROR(__xludf.DUMMYFUNCTION("GOOGLETRANSLATE(B171,""en"",""fr"")"),"autour")</f>
        <v>autour</v>
      </c>
      <c r="F171" s="2" t="str">
        <f ca="1">IFERROR(__xludf.DUMMYFUNCTION("GOOGLETRANSLATE(B171,""en"",""it"")"),"in giro")</f>
        <v>in giro</v>
      </c>
      <c r="G171" s="2" t="str">
        <f ca="1">IFERROR(__xludf.DUMMYFUNCTION("GOOGLETRANSLATE(B171,""en"",""de"")"),"um")</f>
        <v>um</v>
      </c>
      <c r="H171" s="2" t="str">
        <f ca="1">IFERROR(__xludf.DUMMYFUNCTION("GOOGLETRANSLATE(B171,""en"",""zh"")"),"大约")</f>
        <v>大约</v>
      </c>
      <c r="I171" s="2" t="str">
        <f ca="1">IFERROR(__xludf.DUMMYFUNCTION("GOOGLETRANSLATE(B171,""en"",""gd"")"),"timcheall")</f>
        <v>timcheall</v>
      </c>
    </row>
    <row r="172" spans="1:9" ht="14.25" customHeight="1" x14ac:dyDescent="0.3">
      <c r="A172" s="2">
        <v>171</v>
      </c>
      <c r="B172" s="3" t="s">
        <v>179</v>
      </c>
      <c r="C172" s="2" t="str">
        <f ca="1">IFERROR(__xludf.DUMMYFUNCTION("GOOGLETRANSLATE(B172, ""en"",""es"")"),"libro")</f>
        <v>libro</v>
      </c>
      <c r="D172" s="2" t="str">
        <f ca="1">IFERROR(__xludf.DUMMYFUNCTION("GOOGLETRANSLATE(B172,""en"",""ig"")"),"akwukwo")</f>
        <v>akwukwo</v>
      </c>
      <c r="E172" s="2" t="str">
        <f ca="1">IFERROR(__xludf.DUMMYFUNCTION("GOOGLETRANSLATE(B172,""en"",""fr"")"),"livre")</f>
        <v>livre</v>
      </c>
      <c r="F172" s="2" t="str">
        <f ca="1">IFERROR(__xludf.DUMMYFUNCTION("GOOGLETRANSLATE(B172,""en"",""it"")"),"libro")</f>
        <v>libro</v>
      </c>
      <c r="G172" s="2" t="str">
        <f ca="1">IFERROR(__xludf.DUMMYFUNCTION("GOOGLETRANSLATE(B172,""en"",""de"")"),"Buch")</f>
        <v>Buch</v>
      </c>
      <c r="H172" s="2" t="str">
        <f ca="1">IFERROR(__xludf.DUMMYFUNCTION("GOOGLETRANSLATE(B172,""en"",""zh"")"),"书")</f>
        <v>书</v>
      </c>
      <c r="I172" s="2" t="str">
        <f ca="1">IFERROR(__xludf.DUMMYFUNCTION("GOOGLETRANSLATE(B172,""en"",""gd"")"),"Leabhar")</f>
        <v>Leabhar</v>
      </c>
    </row>
    <row r="173" spans="1:9" ht="14.25" customHeight="1" x14ac:dyDescent="0.3">
      <c r="A173" s="2">
        <v>172</v>
      </c>
      <c r="B173" s="3" t="s">
        <v>180</v>
      </c>
      <c r="C173" s="2" t="str">
        <f ca="1">IFERROR(__xludf.DUMMYFUNCTION("GOOGLETRANSLATE(B173, ""en"",""es"")"),"familia")</f>
        <v>familia</v>
      </c>
      <c r="D173" s="2" t="str">
        <f ca="1">IFERROR(__xludf.DUMMYFUNCTION("GOOGLETRANSLATE(B173,""en"",""ig"")"),"ezi na ulo")</f>
        <v>ezi na ulo</v>
      </c>
      <c r="E173" s="2" t="str">
        <f ca="1">IFERROR(__xludf.DUMMYFUNCTION("GOOGLETRANSLATE(B173,""en"",""fr"")"),"famille")</f>
        <v>famille</v>
      </c>
      <c r="F173" s="2" t="str">
        <f ca="1">IFERROR(__xludf.DUMMYFUNCTION("GOOGLETRANSLATE(B173,""en"",""it"")"),"famiglia")</f>
        <v>famiglia</v>
      </c>
      <c r="G173" s="2" t="str">
        <f ca="1">IFERROR(__xludf.DUMMYFUNCTION("GOOGLETRANSLATE(B173,""en"",""de"")"),"Familie")</f>
        <v>Familie</v>
      </c>
      <c r="H173" s="2" t="str">
        <f ca="1">IFERROR(__xludf.DUMMYFUNCTION("GOOGLETRANSLATE(B173,""en"",""zh"")"),"家庭")</f>
        <v>家庭</v>
      </c>
      <c r="I173" s="2" t="str">
        <f ca="1">IFERROR(__xludf.DUMMYFUNCTION("GOOGLETRANSLATE(B173,""en"",""gd"")"),"Teaghlach")</f>
        <v>Teaghlach</v>
      </c>
    </row>
    <row r="174" spans="1:9" ht="14.25" customHeight="1" x14ac:dyDescent="0.3">
      <c r="A174" s="2">
        <v>173</v>
      </c>
      <c r="B174" s="3" t="s">
        <v>181</v>
      </c>
      <c r="C174" s="2" t="str">
        <f ca="1">IFERROR(__xludf.DUMMYFUNCTION("GOOGLETRANSLATE(B174, ""en"",""es"")"),"parecer")</f>
        <v>parecer</v>
      </c>
      <c r="D174" s="2" t="str">
        <f ca="1">IFERROR(__xludf.DUMMYFUNCTION("GOOGLETRANSLATE(B174,""en"",""ig"")"),"idika")</f>
        <v>idika</v>
      </c>
      <c r="E174" s="2" t="str">
        <f ca="1">IFERROR(__xludf.DUMMYFUNCTION("GOOGLETRANSLATE(B174,""en"",""fr"")"),"sembler")</f>
        <v>sembler</v>
      </c>
      <c r="F174" s="2" t="str">
        <f ca="1">IFERROR(__xludf.DUMMYFUNCTION("GOOGLETRANSLATE(B174,""en"",""it"")"),"sembrare")</f>
        <v>sembrare</v>
      </c>
      <c r="G174" s="2" t="str">
        <f ca="1">IFERROR(__xludf.DUMMYFUNCTION("GOOGLETRANSLATE(B174,""en"",""de"")"),"erscheinen")</f>
        <v>erscheinen</v>
      </c>
      <c r="H174" s="2" t="str">
        <f ca="1">IFERROR(__xludf.DUMMYFUNCTION("GOOGLETRANSLATE(B174,""en"",""zh"")"),"似乎")</f>
        <v>似乎</v>
      </c>
      <c r="I174" s="2" t="str">
        <f ca="1">IFERROR(__xludf.DUMMYFUNCTION("GOOGLETRANSLATE(B174,""en"",""gd"")"),"a 'coimhead")</f>
        <v>a 'coimhead</v>
      </c>
    </row>
    <row r="175" spans="1:9" ht="14.25" customHeight="1" x14ac:dyDescent="0.3">
      <c r="A175" s="2">
        <v>174</v>
      </c>
      <c r="B175" s="3" t="s">
        <v>182</v>
      </c>
      <c r="C175" s="2" t="str">
        <f ca="1">IFERROR(__xludf.DUMMYFUNCTION("GOOGLETRANSLATE(B175, ""en"",""es"")"),"dejar")</f>
        <v>dejar</v>
      </c>
      <c r="D175" s="2" t="str">
        <f ca="1">IFERROR(__xludf.DUMMYFUNCTION("GOOGLETRANSLATE(B175,""en"",""ig"")"),"ikwere")</f>
        <v>ikwere</v>
      </c>
      <c r="E175" s="2" t="str">
        <f ca="1">IFERROR(__xludf.DUMMYFUNCTION("GOOGLETRANSLATE(B175,""en"",""fr"")"),"laisser")</f>
        <v>laisser</v>
      </c>
      <c r="F175" s="2" t="str">
        <f ca="1">IFERROR(__xludf.DUMMYFUNCTION("GOOGLETRANSLATE(B175,""en"",""it"")"),"permettere")</f>
        <v>permettere</v>
      </c>
      <c r="G175" s="2" t="str">
        <f ca="1">IFERROR(__xludf.DUMMYFUNCTION("GOOGLETRANSLATE(B175,""en"",""de"")"),"lassen")</f>
        <v>lassen</v>
      </c>
      <c r="H175" s="2" t="str">
        <f ca="1">IFERROR(__xludf.DUMMYFUNCTION("GOOGLETRANSLATE(B175,""en"",""zh"")"),"让")</f>
        <v>让</v>
      </c>
      <c r="I175" s="2" t="str">
        <f ca="1">IFERROR(__xludf.DUMMYFUNCTION("GOOGLETRANSLATE(B175,""en"",""gd"")"),"leig")</f>
        <v>leig</v>
      </c>
    </row>
    <row r="176" spans="1:9" ht="14.25" customHeight="1" x14ac:dyDescent="0.3">
      <c r="A176" s="2">
        <v>175</v>
      </c>
      <c r="B176" s="3" t="s">
        <v>183</v>
      </c>
      <c r="C176" s="2" t="str">
        <f ca="1">IFERROR(__xludf.DUMMYFUNCTION("GOOGLETRANSLATE(B176, ""en"",""es"")"),"de nuevo")</f>
        <v>de nuevo</v>
      </c>
      <c r="D176" s="2" t="str">
        <f ca="1">IFERROR(__xludf.DUMMYFUNCTION("GOOGLETRANSLATE(B176,""en"",""ig"")"),"ozo")</f>
        <v>ozo</v>
      </c>
      <c r="E176" s="2" t="str">
        <f ca="1">IFERROR(__xludf.DUMMYFUNCTION("GOOGLETRANSLATE(B176,""en"",""fr"")"),"encore")</f>
        <v>encore</v>
      </c>
      <c r="F176" s="2" t="str">
        <f ca="1">IFERROR(__xludf.DUMMYFUNCTION("GOOGLETRANSLATE(B176,""en"",""it"")"),"Ancora")</f>
        <v>Ancora</v>
      </c>
      <c r="G176" s="2" t="str">
        <f ca="1">IFERROR(__xludf.DUMMYFUNCTION("GOOGLETRANSLATE(B176,""en"",""de"")"),"wieder")</f>
        <v>wieder</v>
      </c>
      <c r="H176" s="2" t="str">
        <f ca="1">IFERROR(__xludf.DUMMYFUNCTION("GOOGLETRANSLATE(B176,""en"",""zh"")"),"再次")</f>
        <v>再次</v>
      </c>
      <c r="I176" s="2" t="str">
        <f ca="1">IFERROR(__xludf.DUMMYFUNCTION("GOOGLETRANSLATE(B176,""en"",""gd"")"),"a-rithist")</f>
        <v>a-rithist</v>
      </c>
    </row>
    <row r="177" spans="1:9" ht="14.25" customHeight="1" x14ac:dyDescent="0.3">
      <c r="A177" s="2">
        <v>176</v>
      </c>
      <c r="B177" s="3" t="s">
        <v>184</v>
      </c>
      <c r="C177" s="2" t="str">
        <f ca="1">IFERROR(__xludf.DUMMYFUNCTION("GOOGLETRANSLATE(B177, ""en"",""es"")"),"amable")</f>
        <v>amable</v>
      </c>
      <c r="D177" s="2" t="str">
        <f ca="1">IFERROR(__xludf.DUMMYFUNCTION("GOOGLETRANSLATE(B177,""en"",""ig"")"),"keobioma")</f>
        <v>keobioma</v>
      </c>
      <c r="E177" s="2" t="str">
        <f ca="1">IFERROR(__xludf.DUMMYFUNCTION("GOOGLETRANSLATE(B177,""en"",""fr"")"),"gentil")</f>
        <v>gentil</v>
      </c>
      <c r="F177" s="2" t="str">
        <f ca="1">IFERROR(__xludf.DUMMYFUNCTION("GOOGLETRANSLATE(B177,""en"",""it"")"),"Tipo")</f>
        <v>Tipo</v>
      </c>
      <c r="G177" s="2" t="str">
        <f ca="1">IFERROR(__xludf.DUMMYFUNCTION("GOOGLETRANSLATE(B177,""en"",""de"")"),"Art")</f>
        <v>Art</v>
      </c>
      <c r="H177" s="2" t="str">
        <f ca="1">IFERROR(__xludf.DUMMYFUNCTION("GOOGLETRANSLATE(B177,""en"",""zh"")"),"种类")</f>
        <v>种类</v>
      </c>
      <c r="I177" s="2" t="str">
        <f ca="1">IFERROR(__xludf.DUMMYFUNCTION("GOOGLETRANSLATE(B177,""en"",""gd"")"),"seòrsa")</f>
        <v>seòrsa</v>
      </c>
    </row>
    <row r="178" spans="1:9" ht="14.25" customHeight="1" x14ac:dyDescent="0.3">
      <c r="A178" s="2">
        <v>177</v>
      </c>
      <c r="B178" s="3" t="s">
        <v>185</v>
      </c>
      <c r="C178" s="2" t="str">
        <f ca="1">IFERROR(__xludf.DUMMYFUNCTION("GOOGLETRANSLATE(B178, ""en"",""es"")"),"mantener")</f>
        <v>mantener</v>
      </c>
      <c r="D178" s="2" t="str">
        <f ca="1">IFERROR(__xludf.DUMMYFUNCTION("GOOGLETRANSLATE(B178,""en"",""ig"")"),"idebe")</f>
        <v>idebe</v>
      </c>
      <c r="E178" s="2" t="str">
        <f ca="1">IFERROR(__xludf.DUMMYFUNCTION("GOOGLETRANSLATE(B178,""en"",""fr"")"),"garder")</f>
        <v>garder</v>
      </c>
      <c r="F178" s="2" t="str">
        <f ca="1">IFERROR(__xludf.DUMMYFUNCTION("GOOGLETRANSLATE(B178,""en"",""it"")"),"Mantenere")</f>
        <v>Mantenere</v>
      </c>
      <c r="G178" s="2" t="str">
        <f ca="1">IFERROR(__xludf.DUMMYFUNCTION("GOOGLETRANSLATE(B178,""en"",""de"")"),"halten")</f>
        <v>halten</v>
      </c>
      <c r="H178" s="2" t="str">
        <f ca="1">IFERROR(__xludf.DUMMYFUNCTION("GOOGLETRANSLATE(B178,""en"",""zh"")"),"保持")</f>
        <v>保持</v>
      </c>
      <c r="I178" s="2" t="str">
        <f ca="1">IFERROR(__xludf.DUMMYFUNCTION("GOOGLETRANSLATE(B178,""en"",""gd"")"),"Cùm")</f>
        <v>Cùm</v>
      </c>
    </row>
    <row r="179" spans="1:9" ht="14.25" customHeight="1" x14ac:dyDescent="0.3">
      <c r="A179" s="2">
        <v>178</v>
      </c>
      <c r="B179" s="3" t="s">
        <v>186</v>
      </c>
      <c r="C179" s="2" t="str">
        <f ca="1">IFERROR(__xludf.DUMMYFUNCTION("GOOGLETRANSLATE(B179, ""en"",""es"")"),"escuchar")</f>
        <v>escuchar</v>
      </c>
      <c r="D179" s="2" t="str">
        <f ca="1">IFERROR(__xludf.DUMMYFUNCTION("GOOGLETRANSLATE(B179,""en"",""ig"")"),"inu ihe")</f>
        <v>inu ihe</v>
      </c>
      <c r="E179" s="2" t="str">
        <f ca="1">IFERROR(__xludf.DUMMYFUNCTION("GOOGLETRANSLATE(B179,""en"",""fr"")"),"entendre")</f>
        <v>entendre</v>
      </c>
      <c r="F179" s="2" t="str">
        <f ca="1">IFERROR(__xludf.DUMMYFUNCTION("GOOGLETRANSLATE(B179,""en"",""it"")"),"ascoltare")</f>
        <v>ascoltare</v>
      </c>
      <c r="G179" s="2" t="str">
        <f ca="1">IFERROR(__xludf.DUMMYFUNCTION("GOOGLETRANSLATE(B179,""en"",""de"")"),"hören")</f>
        <v>hören</v>
      </c>
      <c r="H179" s="2" t="str">
        <f ca="1">IFERROR(__xludf.DUMMYFUNCTION("GOOGLETRANSLATE(B179,""en"",""zh"")"),"听到")</f>
        <v>听到</v>
      </c>
      <c r="I179" s="2" t="str">
        <f ca="1">IFERROR(__xludf.DUMMYFUNCTION("GOOGLETRANSLATE(B179,""en"",""gd"")"),"Cluinn")</f>
        <v>Cluinn</v>
      </c>
    </row>
    <row r="180" spans="1:9" ht="14.25" customHeight="1" x14ac:dyDescent="0.3">
      <c r="A180" s="2">
        <v>179</v>
      </c>
      <c r="B180" s="3" t="s">
        <v>187</v>
      </c>
      <c r="C180" s="2" t="str">
        <f ca="1">IFERROR(__xludf.DUMMYFUNCTION("GOOGLETRANSLATE(B180, ""en"",""es"")"),"sistema")</f>
        <v>sistema</v>
      </c>
      <c r="D180" s="2" t="str">
        <f ca="1">IFERROR(__xludf.DUMMYFUNCTION("GOOGLETRANSLATE(B180,""en"",""ig"")"),"sistem")</f>
        <v>sistem</v>
      </c>
      <c r="E180" s="2" t="str">
        <f ca="1">IFERROR(__xludf.DUMMYFUNCTION("GOOGLETRANSLATE(B180,""en"",""fr"")"),"système")</f>
        <v>système</v>
      </c>
      <c r="F180" s="2" t="str">
        <f ca="1">IFERROR(__xludf.DUMMYFUNCTION("GOOGLETRANSLATE(B180,""en"",""it"")"),"sistema")</f>
        <v>sistema</v>
      </c>
      <c r="G180" s="2" t="str">
        <f ca="1">IFERROR(__xludf.DUMMYFUNCTION("GOOGLETRANSLATE(B180,""en"",""de"")"),"System")</f>
        <v>System</v>
      </c>
      <c r="H180" s="2" t="str">
        <f ca="1">IFERROR(__xludf.DUMMYFUNCTION("GOOGLETRANSLATE(B180,""en"",""zh"")"),"系统")</f>
        <v>系统</v>
      </c>
      <c r="I180" s="2" t="str">
        <f ca="1">IFERROR(__xludf.DUMMYFUNCTION("GOOGLETRANSLATE(B180,""en"",""gd"")"),"siostam")</f>
        <v>siostam</v>
      </c>
    </row>
    <row r="181" spans="1:9" ht="14.25" customHeight="1" x14ac:dyDescent="0.3">
      <c r="A181" s="2">
        <v>180</v>
      </c>
      <c r="B181" s="3" t="s">
        <v>188</v>
      </c>
      <c r="C181" s="2" t="str">
        <f ca="1">IFERROR(__xludf.DUMMYFUNCTION("GOOGLETRANSLATE(B181, ""en"",""es"")"),"cada")</f>
        <v>cada</v>
      </c>
      <c r="D181" s="2" t="str">
        <f ca="1">IFERROR(__xludf.DUMMYFUNCTION("GOOGLETRANSLATE(B181,""en"",""ig"")"),"obula")</f>
        <v>obula</v>
      </c>
      <c r="E181" s="2" t="str">
        <f ca="1">IFERROR(__xludf.DUMMYFUNCTION("GOOGLETRANSLATE(B181,""en"",""fr"")"),"chaque")</f>
        <v>chaque</v>
      </c>
      <c r="F181" s="2" t="str">
        <f ca="1">IFERROR(__xludf.DUMMYFUNCTION("GOOGLETRANSLATE(B181,""en"",""it"")"),"ogni")</f>
        <v>ogni</v>
      </c>
      <c r="G181" s="2" t="str">
        <f ca="1">IFERROR(__xludf.DUMMYFUNCTION("GOOGLETRANSLATE(B181,""en"",""de"")"),"jeden")</f>
        <v>jeden</v>
      </c>
      <c r="H181" s="2" t="str">
        <f ca="1">IFERROR(__xludf.DUMMYFUNCTION("GOOGLETRANSLATE(B181,""en"",""zh"")"),"每一个")</f>
        <v>每一个</v>
      </c>
      <c r="I181" s="2" t="str">
        <f ca="1">IFERROR(__xludf.DUMMYFUNCTION("GOOGLETRANSLATE(B181,""en"",""gd"")"),"a h-uile")</f>
        <v>a h-uile</v>
      </c>
    </row>
    <row r="182" spans="1:9" ht="14.25" customHeight="1" x14ac:dyDescent="0.3">
      <c r="A182" s="2">
        <v>181</v>
      </c>
      <c r="B182" s="3" t="s">
        <v>189</v>
      </c>
      <c r="C182" s="2" t="str">
        <f ca="1">IFERROR(__xludf.DUMMYFUNCTION("GOOGLETRANSLATE(B182, ""en"",""es"")"),"pregunta")</f>
        <v>pregunta</v>
      </c>
      <c r="D182" s="2" t="str">
        <f ca="1">IFERROR(__xludf.DUMMYFUNCTION("GOOGLETRANSLATE(B182,""en"",""ig"")"),"ajuju")</f>
        <v>ajuju</v>
      </c>
      <c r="E182" s="2" t="str">
        <f ca="1">IFERROR(__xludf.DUMMYFUNCTION("GOOGLETRANSLATE(B182,""en"",""fr"")"),"question")</f>
        <v>question</v>
      </c>
      <c r="F182" s="2" t="str">
        <f ca="1">IFERROR(__xludf.DUMMYFUNCTION("GOOGLETRANSLATE(B182,""en"",""it"")"),"domanda")</f>
        <v>domanda</v>
      </c>
      <c r="G182" s="2" t="str">
        <f ca="1">IFERROR(__xludf.DUMMYFUNCTION("GOOGLETRANSLATE(B182,""en"",""de"")"),"Frage")</f>
        <v>Frage</v>
      </c>
      <c r="H182" s="2" t="str">
        <f ca="1">IFERROR(__xludf.DUMMYFUNCTION("GOOGLETRANSLATE(B182,""en"",""zh"")"),"问题")</f>
        <v>问题</v>
      </c>
      <c r="I182" s="2" t="str">
        <f ca="1">IFERROR(__xludf.DUMMYFUNCTION("GOOGLETRANSLATE(B182,""en"",""gd"")"),"Ceist")</f>
        <v>Ceist</v>
      </c>
    </row>
    <row r="183" spans="1:9" ht="14.25" customHeight="1" x14ac:dyDescent="0.3">
      <c r="A183" s="2">
        <v>182</v>
      </c>
      <c r="B183" s="3" t="s">
        <v>190</v>
      </c>
      <c r="C183" s="2" t="str">
        <f ca="1">IFERROR(__xludf.DUMMYFUNCTION("GOOGLETRANSLATE(B183, ""en"",""es"")"),"durante")</f>
        <v>durante</v>
      </c>
      <c r="D183" s="2" t="str">
        <f ca="1">IFERROR(__xludf.DUMMYFUNCTION("GOOGLETRANSLATE(B183,""en"",""ig"")"),"n'oge")</f>
        <v>n'oge</v>
      </c>
      <c r="E183" s="2" t="str">
        <f ca="1">IFERROR(__xludf.DUMMYFUNCTION("GOOGLETRANSLATE(B183,""en"",""fr"")"),"pendant")</f>
        <v>pendant</v>
      </c>
      <c r="F183" s="2" t="str">
        <f ca="1">IFERROR(__xludf.DUMMYFUNCTION("GOOGLETRANSLATE(B183,""en"",""it"")"),"durante")</f>
        <v>durante</v>
      </c>
      <c r="G183" s="2" t="str">
        <f ca="1">IFERROR(__xludf.DUMMYFUNCTION("GOOGLETRANSLATE(B183,""en"",""de"")"),"während")</f>
        <v>während</v>
      </c>
      <c r="H183" s="2" t="str">
        <f ca="1">IFERROR(__xludf.DUMMYFUNCTION("GOOGLETRANSLATE(B183,""en"",""zh"")"),"期间")</f>
        <v>期间</v>
      </c>
      <c r="I183" s="2" t="str">
        <f ca="1">IFERROR(__xludf.DUMMYFUNCTION("GOOGLETRANSLATE(B183,""en"",""gd"")"),"Rè")</f>
        <v>Rè</v>
      </c>
    </row>
    <row r="184" spans="1:9" ht="14.25" customHeight="1" x14ac:dyDescent="0.3">
      <c r="A184" s="2">
        <v>183</v>
      </c>
      <c r="B184" s="3" t="s">
        <v>191</v>
      </c>
      <c r="C184" s="2" t="str">
        <f ca="1">IFERROR(__xludf.DUMMYFUNCTION("GOOGLETRANSLATE(B184, ""en"",""es"")"),"siempre")</f>
        <v>siempre</v>
      </c>
      <c r="D184" s="2" t="str">
        <f ca="1">IFERROR(__xludf.DUMMYFUNCTION("GOOGLETRANSLATE(B184,""en"",""ig"")"),"mgbe dum")</f>
        <v>mgbe dum</v>
      </c>
      <c r="E184" s="2" t="str">
        <f ca="1">IFERROR(__xludf.DUMMYFUNCTION("GOOGLETRANSLATE(B184,""en"",""fr"")"),"toujours")</f>
        <v>toujours</v>
      </c>
      <c r="F184" s="2" t="str">
        <f ca="1">IFERROR(__xludf.DUMMYFUNCTION("GOOGLETRANSLATE(B184,""en"",""it"")"),"Sempre")</f>
        <v>Sempre</v>
      </c>
      <c r="G184" s="2" t="str">
        <f ca="1">IFERROR(__xludf.DUMMYFUNCTION("GOOGLETRANSLATE(B184,""en"",""de"")"),"stets")</f>
        <v>stets</v>
      </c>
      <c r="H184" s="2" t="str">
        <f ca="1">IFERROR(__xludf.DUMMYFUNCTION("GOOGLETRANSLATE(B184,""en"",""zh"")"),"总是")</f>
        <v>总是</v>
      </c>
      <c r="I184" s="2" t="str">
        <f ca="1">IFERROR(__xludf.DUMMYFUNCTION("GOOGLETRANSLATE(B184,""en"",""gd"")"),"an-còmhnaidh")</f>
        <v>an-còmhnaidh</v>
      </c>
    </row>
    <row r="185" spans="1:9" ht="14.25" customHeight="1" x14ac:dyDescent="0.3">
      <c r="A185" s="2">
        <v>184</v>
      </c>
      <c r="B185" s="3" t="s">
        <v>192</v>
      </c>
      <c r="C185" s="2" t="str">
        <f ca="1">IFERROR(__xludf.DUMMYFUNCTION("GOOGLETRANSLATE(B185, ""en"",""es"")"),"grande")</f>
        <v>grande</v>
      </c>
      <c r="D185" s="2" t="str">
        <f ca="1">IFERROR(__xludf.DUMMYFUNCTION("GOOGLETRANSLATE(B185,""en"",""ig"")"),"nnukwu")</f>
        <v>nnukwu</v>
      </c>
      <c r="E185" s="2" t="str">
        <f ca="1">IFERROR(__xludf.DUMMYFUNCTION("GOOGLETRANSLATE(B185,""en"",""fr"")"),"grand")</f>
        <v>grand</v>
      </c>
      <c r="F185" s="2" t="str">
        <f ca="1">IFERROR(__xludf.DUMMYFUNCTION("GOOGLETRANSLATE(B185,""en"",""it"")"),"grande")</f>
        <v>grande</v>
      </c>
      <c r="G185" s="2" t="str">
        <f ca="1">IFERROR(__xludf.DUMMYFUNCTION("GOOGLETRANSLATE(B185,""en"",""de"")"),"groß")</f>
        <v>groß</v>
      </c>
      <c r="H185" s="2" t="str">
        <f ca="1">IFERROR(__xludf.DUMMYFUNCTION("GOOGLETRANSLATE(B185,""en"",""zh"")"),"大的")</f>
        <v>大的</v>
      </c>
      <c r="I185" s="2" t="str">
        <f ca="1">IFERROR(__xludf.DUMMYFUNCTION("GOOGLETRANSLATE(B185,""en"",""gd"")"),"mòr")</f>
        <v>mòr</v>
      </c>
    </row>
    <row r="186" spans="1:9" ht="14.25" customHeight="1" x14ac:dyDescent="0.3">
      <c r="A186" s="2">
        <v>185</v>
      </c>
      <c r="B186" s="3" t="s">
        <v>193</v>
      </c>
      <c r="C186" s="2" t="str">
        <f ca="1">IFERROR(__xludf.DUMMYFUNCTION("GOOGLETRANSLATE(B186, ""en"",""es"")"),"colocar")</f>
        <v>colocar</v>
      </c>
      <c r="D186" s="2" t="str">
        <f ca="1">IFERROR(__xludf.DUMMYFUNCTION("GOOGLETRANSLATE(B186,""en"",""ig"")"),"set")</f>
        <v>set</v>
      </c>
      <c r="E186" s="2" t="str">
        <f ca="1">IFERROR(__xludf.DUMMYFUNCTION("GOOGLETRANSLATE(B186,""en"",""fr"")"),"ensemble")</f>
        <v>ensemble</v>
      </c>
      <c r="F186" s="2" t="str">
        <f ca="1">IFERROR(__xludf.DUMMYFUNCTION("GOOGLETRANSLATE(B186,""en"",""it"")"),"impostato")</f>
        <v>impostato</v>
      </c>
      <c r="G186" s="2" t="str">
        <f ca="1">IFERROR(__xludf.DUMMYFUNCTION("GOOGLETRANSLATE(B186,""en"",""de"")"),"Satz")</f>
        <v>Satz</v>
      </c>
      <c r="H186" s="2" t="str">
        <f ca="1">IFERROR(__xludf.DUMMYFUNCTION("GOOGLETRANSLATE(B186,""en"",""zh"")"),"放")</f>
        <v>放</v>
      </c>
      <c r="I186" s="2" t="str">
        <f ca="1">IFERROR(__xludf.DUMMYFUNCTION("GOOGLETRANSLATE(B186,""en"",""gd"")"),"Suidhich")</f>
        <v>Suidhich</v>
      </c>
    </row>
    <row r="187" spans="1:9" ht="14.25" customHeight="1" x14ac:dyDescent="0.3">
      <c r="A187" s="2">
        <v>186</v>
      </c>
      <c r="B187" s="3" t="s">
        <v>194</v>
      </c>
      <c r="C187" s="2" t="str">
        <f ca="1">IFERROR(__xludf.DUMMYFUNCTION("GOOGLETRANSLATE(B187, ""en"",""es"")"),"pequeño")</f>
        <v>pequeño</v>
      </c>
      <c r="D187" s="2" t="str">
        <f ca="1">IFERROR(__xludf.DUMMYFUNCTION("GOOGLETRANSLATE(B187,""en"",""ig"")"),"nke ntakiri")</f>
        <v>nke ntakiri</v>
      </c>
      <c r="E187" s="2" t="str">
        <f ca="1">IFERROR(__xludf.DUMMYFUNCTION("GOOGLETRANSLATE(B187,""en"",""fr"")"),"petit")</f>
        <v>petit</v>
      </c>
      <c r="F187" s="2" t="str">
        <f ca="1">IFERROR(__xludf.DUMMYFUNCTION("GOOGLETRANSLATE(B187,""en"",""it"")"),"piccolo")</f>
        <v>piccolo</v>
      </c>
      <c r="G187" s="2" t="str">
        <f ca="1">IFERROR(__xludf.DUMMYFUNCTION("GOOGLETRANSLATE(B187,""en"",""de"")"),"klein")</f>
        <v>klein</v>
      </c>
      <c r="H187" s="2" t="str">
        <f ca="1">IFERROR(__xludf.DUMMYFUNCTION("GOOGLETRANSLATE(B187,""en"",""zh"")"),"小的")</f>
        <v>小的</v>
      </c>
      <c r="I187" s="2" t="str">
        <f ca="1">IFERROR(__xludf.DUMMYFUNCTION("GOOGLETRANSLATE(B187,""en"",""gd"")"),"beag")</f>
        <v>beag</v>
      </c>
    </row>
    <row r="188" spans="1:9" ht="14.25" customHeight="1" x14ac:dyDescent="0.3">
      <c r="A188" s="2">
        <v>187</v>
      </c>
      <c r="B188" s="3" t="s">
        <v>195</v>
      </c>
      <c r="C188" s="2" t="str">
        <f ca="1">IFERROR(__xludf.DUMMYFUNCTION("GOOGLETRANSLATE(B188, ""en"",""es"")"),"estudiar")</f>
        <v>estudiar</v>
      </c>
      <c r="D188" s="2" t="str">
        <f ca="1">IFERROR(__xludf.DUMMYFUNCTION("GOOGLETRANSLATE(B188,""en"",""ig"")"),"imu")</f>
        <v>imu</v>
      </c>
      <c r="E188" s="2" t="str">
        <f ca="1">IFERROR(__xludf.DUMMYFUNCTION("GOOGLETRANSLATE(B188,""en"",""fr"")"),"étude")</f>
        <v>étude</v>
      </c>
      <c r="F188" s="2" t="str">
        <f ca="1">IFERROR(__xludf.DUMMYFUNCTION("GOOGLETRANSLATE(B188,""en"",""it"")"),"studio")</f>
        <v>studio</v>
      </c>
      <c r="G188" s="2" t="str">
        <f ca="1">IFERROR(__xludf.DUMMYFUNCTION("GOOGLETRANSLATE(B188,""en"",""de"")"),"Studie")</f>
        <v>Studie</v>
      </c>
      <c r="H188" s="2" t="str">
        <f ca="1">IFERROR(__xludf.DUMMYFUNCTION("GOOGLETRANSLATE(B188,""en"",""zh"")"),"学习")</f>
        <v>学习</v>
      </c>
      <c r="I188" s="2" t="str">
        <f ca="1">IFERROR(__xludf.DUMMYFUNCTION("GOOGLETRANSLATE(B188,""en"",""gd"")"),"sgrùdadh")</f>
        <v>sgrùdadh</v>
      </c>
    </row>
    <row r="189" spans="1:9" ht="14.25" customHeight="1" x14ac:dyDescent="0.3">
      <c r="A189" s="2">
        <v>188</v>
      </c>
      <c r="B189" s="3" t="s">
        <v>196</v>
      </c>
      <c r="C189" s="2" t="str">
        <f ca="1">IFERROR(__xludf.DUMMYFUNCTION("GOOGLETRANSLATE(B189, ""en"",""es"")"),"seguir")</f>
        <v>seguir</v>
      </c>
      <c r="D189" s="2" t="str">
        <f ca="1">IFERROR(__xludf.DUMMYFUNCTION("GOOGLETRANSLATE(B189,""en"",""ig"")"),"iso")</f>
        <v>iso</v>
      </c>
      <c r="E189" s="2" t="str">
        <f ca="1">IFERROR(__xludf.DUMMYFUNCTION("GOOGLETRANSLATE(B189,""en"",""fr"")"),"suivre")</f>
        <v>suivre</v>
      </c>
      <c r="F189" s="2" t="str">
        <f ca="1">IFERROR(__xludf.DUMMYFUNCTION("GOOGLETRANSLATE(B189,""en"",""it"")"),"seguire")</f>
        <v>seguire</v>
      </c>
      <c r="G189" s="2" t="str">
        <f ca="1">IFERROR(__xludf.DUMMYFUNCTION("GOOGLETRANSLATE(B189,""en"",""de"")"),"folgen")</f>
        <v>folgen</v>
      </c>
      <c r="H189" s="2" t="str">
        <f ca="1">IFERROR(__xludf.DUMMYFUNCTION("GOOGLETRANSLATE(B189,""en"",""zh"")"),"跟随")</f>
        <v>跟随</v>
      </c>
      <c r="I189" s="2" t="str">
        <f ca="1">IFERROR(__xludf.DUMMYFUNCTION("GOOGLETRANSLATE(B189,""en"",""gd"")"),"lean")</f>
        <v>lean</v>
      </c>
    </row>
    <row r="190" spans="1:9" ht="14.25" customHeight="1" x14ac:dyDescent="0.3">
      <c r="A190" s="2">
        <v>189</v>
      </c>
      <c r="B190" s="3" t="s">
        <v>197</v>
      </c>
      <c r="C190" s="2" t="str">
        <f ca="1">IFERROR(__xludf.DUMMYFUNCTION("GOOGLETRANSLATE(B190, ""en"",""es"")"),"comenzar")</f>
        <v>comenzar</v>
      </c>
      <c r="D190" s="2" t="str">
        <f ca="1">IFERROR(__xludf.DUMMYFUNCTION("GOOGLETRANSLATE(B190,""en"",""ig"")"),"ibido")</f>
        <v>ibido</v>
      </c>
      <c r="E190" s="2" t="str">
        <f ca="1">IFERROR(__xludf.DUMMYFUNCTION("GOOGLETRANSLATE(B190,""en"",""fr"")"),"commencer")</f>
        <v>commencer</v>
      </c>
      <c r="F190" s="2" t="str">
        <f ca="1">IFERROR(__xludf.DUMMYFUNCTION("GOOGLETRANSLATE(B190,""en"",""it"")"),"inizio")</f>
        <v>inizio</v>
      </c>
      <c r="G190" s="2" t="str">
        <f ca="1">IFERROR(__xludf.DUMMYFUNCTION("GOOGLETRANSLATE(B190,""en"",""de"")"),"beginnen")</f>
        <v>beginnen</v>
      </c>
      <c r="H190" s="2" t="str">
        <f ca="1">IFERROR(__xludf.DUMMYFUNCTION("GOOGLETRANSLATE(B190,""en"",""zh"")"),"开始")</f>
        <v>开始</v>
      </c>
      <c r="I190" s="2" t="str">
        <f ca="1">IFERROR(__xludf.DUMMYFUNCTION("GOOGLETRANSLATE(B190,""en"",""gd"")"),"Tòisich")</f>
        <v>Tòisich</v>
      </c>
    </row>
    <row r="191" spans="1:9" ht="14.25" customHeight="1" x14ac:dyDescent="0.3">
      <c r="A191" s="2">
        <v>190</v>
      </c>
      <c r="B191" s="3" t="s">
        <v>198</v>
      </c>
      <c r="C191" s="2" t="str">
        <f ca="1">IFERROR(__xludf.DUMMYFUNCTION("GOOGLETRANSLATE(B191, ""en"",""es"")"),"importante")</f>
        <v>importante</v>
      </c>
      <c r="D191" s="2" t="str">
        <f ca="1">IFERROR(__xludf.DUMMYFUNCTION("GOOGLETRANSLATE(B191,""en"",""ig"")"),"keuru")</f>
        <v>keuru</v>
      </c>
      <c r="E191" s="2" t="str">
        <f ca="1">IFERROR(__xludf.DUMMYFUNCTION("GOOGLETRANSLATE(B191,""en"",""fr"")"),"important")</f>
        <v>important</v>
      </c>
      <c r="F191" s="2" t="str">
        <f ca="1">IFERROR(__xludf.DUMMYFUNCTION("GOOGLETRANSLATE(B191,""en"",""it"")"),"importante")</f>
        <v>importante</v>
      </c>
      <c r="G191" s="2" t="str">
        <f ca="1">IFERROR(__xludf.DUMMYFUNCTION("GOOGLETRANSLATE(B191,""en"",""de"")"),"wichtig")</f>
        <v>wichtig</v>
      </c>
      <c r="H191" s="2" t="str">
        <f ca="1">IFERROR(__xludf.DUMMYFUNCTION("GOOGLETRANSLATE(B191,""en"",""zh"")"),"重要的")</f>
        <v>重要的</v>
      </c>
      <c r="I191" s="2" t="str">
        <f ca="1">IFERROR(__xludf.DUMMYFUNCTION("GOOGLETRANSLATE(B191,""en"",""gd"")"),"cudromach")</f>
        <v>cudromach</v>
      </c>
    </row>
    <row r="192" spans="1:9" ht="14.25" customHeight="1" x14ac:dyDescent="0.3">
      <c r="A192" s="2">
        <v>191</v>
      </c>
      <c r="B192" s="3" t="s">
        <v>199</v>
      </c>
      <c r="C192" s="2" t="str">
        <f ca="1">IFERROR(__xludf.DUMMYFUNCTION("GOOGLETRANSLATE(B192, ""en"",""es"")"),"desde")</f>
        <v>desde</v>
      </c>
      <c r="D192" s="2" t="str">
        <f ca="1">IFERROR(__xludf.DUMMYFUNCTION("GOOGLETRANSLATE(B192,""en"",""ig"")"),"kemgbe")</f>
        <v>kemgbe</v>
      </c>
      <c r="E192" s="2" t="str">
        <f ca="1">IFERROR(__xludf.DUMMYFUNCTION("GOOGLETRANSLATE(B192,""en"",""fr"")"),"depuis")</f>
        <v>depuis</v>
      </c>
      <c r="F192" s="2" t="str">
        <f ca="1">IFERROR(__xludf.DUMMYFUNCTION("GOOGLETRANSLATE(B192,""en"",""it"")"),"Da")</f>
        <v>Da</v>
      </c>
      <c r="G192" s="2" t="str">
        <f ca="1">IFERROR(__xludf.DUMMYFUNCTION("GOOGLETRANSLATE(B192,""en"",""de"")"),"seit")</f>
        <v>seit</v>
      </c>
      <c r="H192" s="2" t="str">
        <f ca="1">IFERROR(__xludf.DUMMYFUNCTION("GOOGLETRANSLATE(B192,""en"",""zh"")"),"自从")</f>
        <v>自从</v>
      </c>
      <c r="I192" s="2" t="str">
        <f ca="1">IFERROR(__xludf.DUMMYFUNCTION("GOOGLETRANSLATE(B192,""en"",""gd"")"),"Bhon uairsin")</f>
        <v>Bhon uairsin</v>
      </c>
    </row>
    <row r="193" spans="1:9" ht="14.25" customHeight="1" x14ac:dyDescent="0.3">
      <c r="A193" s="2">
        <v>192</v>
      </c>
      <c r="B193" s="3" t="s">
        <v>200</v>
      </c>
      <c r="C193" s="2" t="str">
        <f ca="1">IFERROR(__xludf.DUMMYFUNCTION("GOOGLETRANSLATE(B193, ""en"",""es"")"),"correr")</f>
        <v>correr</v>
      </c>
      <c r="D193" s="2" t="str">
        <f ca="1">IFERROR(__xludf.DUMMYFUNCTION("GOOGLETRANSLATE(B193,""en"",""ig"")"),"igbaoso")</f>
        <v>igbaoso</v>
      </c>
      <c r="E193" s="2" t="str">
        <f ca="1">IFERROR(__xludf.DUMMYFUNCTION("GOOGLETRANSLATE(B193,""en"",""fr"")"),"courir")</f>
        <v>courir</v>
      </c>
      <c r="F193" s="2" t="str">
        <f ca="1">IFERROR(__xludf.DUMMYFUNCTION("GOOGLETRANSLATE(B193,""en"",""it"")"),"correre")</f>
        <v>correre</v>
      </c>
      <c r="G193" s="2" t="str">
        <f ca="1">IFERROR(__xludf.DUMMYFUNCTION("GOOGLETRANSLATE(B193,""en"",""de"")"),"laufen")</f>
        <v>laufen</v>
      </c>
      <c r="H193" s="2" t="str">
        <f ca="1">IFERROR(__xludf.DUMMYFUNCTION("GOOGLETRANSLATE(B193,""en"",""zh"")"),"跑步")</f>
        <v>跑步</v>
      </c>
      <c r="I193" s="2" t="str">
        <f ca="1">IFERROR(__xludf.DUMMYFUNCTION("GOOGLETRANSLATE(B193,""en"",""gd"")"),"ruith")</f>
        <v>ruith</v>
      </c>
    </row>
    <row r="194" spans="1:9" ht="14.25" customHeight="1" x14ac:dyDescent="0.3">
      <c r="A194" s="2">
        <v>193</v>
      </c>
      <c r="B194" s="3" t="s">
        <v>201</v>
      </c>
      <c r="C194" s="2" t="str">
        <f ca="1">IFERROR(__xludf.DUMMYFUNCTION("GOOGLETRANSLATE(B194, ""en"",""es"")"),"bajo")</f>
        <v>bajo</v>
      </c>
      <c r="D194" s="2" t="str">
        <f ca="1">IFERROR(__xludf.DUMMYFUNCTION("GOOGLETRANSLATE(B194,""en"",""ig"")"),"n'okpuru")</f>
        <v>n'okpuru</v>
      </c>
      <c r="E194" s="2" t="str">
        <f ca="1">IFERROR(__xludf.DUMMYFUNCTION("GOOGLETRANSLATE(B194,""en"",""fr"")"),"sous")</f>
        <v>sous</v>
      </c>
      <c r="F194" s="2" t="str">
        <f ca="1">IFERROR(__xludf.DUMMYFUNCTION("GOOGLETRANSLATE(B194,""en"",""it"")"),"Sotto")</f>
        <v>Sotto</v>
      </c>
      <c r="G194" s="2" t="str">
        <f ca="1">IFERROR(__xludf.DUMMYFUNCTION("GOOGLETRANSLATE(B194,""en"",""de"")"),"unter")</f>
        <v>unter</v>
      </c>
      <c r="H194" s="2" t="str">
        <f ca="1">IFERROR(__xludf.DUMMYFUNCTION("GOOGLETRANSLATE(B194,""en"",""zh"")"),"在下面")</f>
        <v>在下面</v>
      </c>
      <c r="I194" s="2" t="str">
        <f ca="1">IFERROR(__xludf.DUMMYFUNCTION("GOOGLETRANSLATE(B194,""en"",""gd"")"),"Fo")</f>
        <v>Fo</v>
      </c>
    </row>
    <row r="195" spans="1:9" ht="14.25" customHeight="1" x14ac:dyDescent="0.3">
      <c r="A195" s="2">
        <v>194</v>
      </c>
      <c r="B195" s="3" t="s">
        <v>202</v>
      </c>
      <c r="C195" s="2" t="str">
        <f ca="1">IFERROR(__xludf.DUMMYFUNCTION("GOOGLETRANSLATE(B195, ""en"",""es"")"),"doblar")</f>
        <v>doblar</v>
      </c>
      <c r="D195" s="2" t="str">
        <f ca="1">IFERROR(__xludf.DUMMYFUNCTION("GOOGLETRANSLATE(B195,""en"",""ig"")"),"okporouzo")</f>
        <v>okporouzo</v>
      </c>
      <c r="E195" s="2" t="str">
        <f ca="1">IFERROR(__xludf.DUMMYFUNCTION("GOOGLETRANSLATE(B195,""en"",""fr"")"),"tourner")</f>
        <v>tourner</v>
      </c>
      <c r="F195" s="2" t="str">
        <f ca="1">IFERROR(__xludf.DUMMYFUNCTION("GOOGLETRANSLATE(B195,""en"",""it"")"),"giro")</f>
        <v>giro</v>
      </c>
      <c r="G195" s="2" t="str">
        <f ca="1">IFERROR(__xludf.DUMMYFUNCTION("GOOGLETRANSLATE(B195,""en"",""de"")"),"drehen")</f>
        <v>drehen</v>
      </c>
      <c r="H195" s="2" t="str">
        <f ca="1">IFERROR(__xludf.DUMMYFUNCTION("GOOGLETRANSLATE(B195,""en"",""zh"")"),"转动")</f>
        <v>转动</v>
      </c>
      <c r="I195" s="2" t="str">
        <f ca="1">IFERROR(__xludf.DUMMYFUNCTION("GOOGLETRANSLATE(B195,""en"",""gd"")"),"Tionndaidh")</f>
        <v>Tionndaidh</v>
      </c>
    </row>
    <row r="196" spans="1:9" ht="14.25" customHeight="1" x14ac:dyDescent="0.3">
      <c r="A196" s="2">
        <v>195</v>
      </c>
      <c r="B196" s="3" t="s">
        <v>203</v>
      </c>
      <c r="C196" s="2" t="str">
        <f ca="1">IFERROR(__xludf.DUMMYFUNCTION("GOOGLETRANSLATE(B196, ""en"",""es"")"),"pocos")</f>
        <v>pocos</v>
      </c>
      <c r="D196" s="2" t="str">
        <f ca="1">IFERROR(__xludf.DUMMYFUNCTION("GOOGLETRANSLATE(B196,""en"",""ig"")"),"obere")</f>
        <v>obere</v>
      </c>
      <c r="E196" s="2" t="str">
        <f ca="1">IFERROR(__xludf.DUMMYFUNCTION("GOOGLETRANSLATE(B196,""en"",""fr"")"),"peu")</f>
        <v>peu</v>
      </c>
      <c r="F196" s="2" t="str">
        <f ca="1">IFERROR(__xludf.DUMMYFUNCTION("GOOGLETRANSLATE(B196,""en"",""it"")"),"pochi")</f>
        <v>pochi</v>
      </c>
      <c r="G196" s="2" t="str">
        <f ca="1">IFERROR(__xludf.DUMMYFUNCTION("GOOGLETRANSLATE(B196,""en"",""de"")"),"wenige")</f>
        <v>wenige</v>
      </c>
      <c r="H196" s="2" t="str">
        <f ca="1">IFERROR(__xludf.DUMMYFUNCTION("GOOGLETRANSLATE(B196,""en"",""zh"")"),"很少")</f>
        <v>很少</v>
      </c>
      <c r="I196" s="2" t="str">
        <f ca="1">IFERROR(__xludf.DUMMYFUNCTION("GOOGLETRANSLATE(B196,""en"",""gd"")"),"glè bheag")</f>
        <v>glè bheag</v>
      </c>
    </row>
    <row r="197" spans="1:9" ht="14.25" customHeight="1" x14ac:dyDescent="0.3">
      <c r="A197" s="2">
        <v>196</v>
      </c>
      <c r="B197" s="3" t="s">
        <v>204</v>
      </c>
      <c r="C197" s="2" t="str">
        <f ca="1">IFERROR(__xludf.DUMMYFUNCTION("GOOGLETRANSLATE(B197, ""en"",""es"")"),"traer")</f>
        <v>traer</v>
      </c>
      <c r="D197" s="2" t="str">
        <f ca="1">IFERROR(__xludf.DUMMYFUNCTION("GOOGLETRANSLATE(B197,""en"",""ig"")"),"iwete")</f>
        <v>iwete</v>
      </c>
      <c r="E197" s="2" t="str">
        <f ca="1">IFERROR(__xludf.DUMMYFUNCTION("GOOGLETRANSLATE(B197,""en"",""fr"")"),"apporter")</f>
        <v>apporter</v>
      </c>
      <c r="F197" s="2" t="str">
        <f ca="1">IFERROR(__xludf.DUMMYFUNCTION("GOOGLETRANSLATE(B197,""en"",""it"")"),"Portare")</f>
        <v>Portare</v>
      </c>
      <c r="G197" s="2" t="str">
        <f ca="1">IFERROR(__xludf.DUMMYFUNCTION("GOOGLETRANSLATE(B197,""en"",""de"")"),"bringen")</f>
        <v>bringen</v>
      </c>
      <c r="H197" s="2" t="str">
        <f ca="1">IFERROR(__xludf.DUMMYFUNCTION("GOOGLETRANSLATE(B197,""en"",""zh"")"),"带来")</f>
        <v>带来</v>
      </c>
      <c r="I197" s="2" t="str">
        <f ca="1">IFERROR(__xludf.DUMMYFUNCTION("GOOGLETRANSLATE(B197,""en"",""gd"")"),"thoir")</f>
        <v>thoir</v>
      </c>
    </row>
    <row r="198" spans="1:9" ht="14.25" customHeight="1" x14ac:dyDescent="0.3">
      <c r="A198" s="2">
        <v>197</v>
      </c>
      <c r="B198" s="3" t="s">
        <v>205</v>
      </c>
      <c r="C198" s="2" t="str">
        <f ca="1">IFERROR(__xludf.DUMMYFUNCTION("GOOGLETRANSLATE(B198, ""en"",""es"")"),"temprano")</f>
        <v>temprano</v>
      </c>
      <c r="D198" s="2" t="str">
        <f ca="1">IFERROR(__xludf.DUMMYFUNCTION("GOOGLETRANSLATE(B198,""en"",""ig"")"),"n'oge")</f>
        <v>n'oge</v>
      </c>
      <c r="E198" s="2" t="str">
        <f ca="1">IFERROR(__xludf.DUMMYFUNCTION("GOOGLETRANSLATE(B198,""en"",""fr"")"),"tôt")</f>
        <v>tôt</v>
      </c>
      <c r="F198" s="2" t="str">
        <f ca="1">IFERROR(__xludf.DUMMYFUNCTION("GOOGLETRANSLATE(B198,""en"",""it"")"),"Presto")</f>
        <v>Presto</v>
      </c>
      <c r="G198" s="2" t="str">
        <f ca="1">IFERROR(__xludf.DUMMYFUNCTION("GOOGLETRANSLATE(B198,""en"",""de"")"),"früh")</f>
        <v>früh</v>
      </c>
      <c r="H198" s="2" t="str">
        <f ca="1">IFERROR(__xludf.DUMMYFUNCTION("GOOGLETRANSLATE(B198,""en"",""zh"")"),"早期的")</f>
        <v>早期的</v>
      </c>
      <c r="I198" s="2" t="str">
        <f ca="1">IFERROR(__xludf.DUMMYFUNCTION("GOOGLETRANSLATE(B198,""en"",""gd"")"),"tràth")</f>
        <v>tràth</v>
      </c>
    </row>
    <row r="199" spans="1:9" ht="14.25" customHeight="1" x14ac:dyDescent="0.3">
      <c r="A199" s="2">
        <v>198</v>
      </c>
      <c r="B199" s="3" t="s">
        <v>206</v>
      </c>
      <c r="C199" s="2" t="str">
        <f ca="1">IFERROR(__xludf.DUMMYFUNCTION("GOOGLETRANSLATE(B199, ""en"",""es"")"),"mano")</f>
        <v>mano</v>
      </c>
      <c r="D199" s="2" t="str">
        <f ca="1">IFERROR(__xludf.DUMMYFUNCTION("GOOGLETRANSLATE(B199,""en"",""ig"")"),"aka")</f>
        <v>aka</v>
      </c>
      <c r="E199" s="2" t="str">
        <f ca="1">IFERROR(__xludf.DUMMYFUNCTION("GOOGLETRANSLATE(B199,""en"",""fr"")"),"main")</f>
        <v>main</v>
      </c>
      <c r="F199" s="2" t="str">
        <f ca="1">IFERROR(__xludf.DUMMYFUNCTION("GOOGLETRANSLATE(B199,""en"",""it"")"),"mano")</f>
        <v>mano</v>
      </c>
      <c r="G199" s="2" t="str">
        <f ca="1">IFERROR(__xludf.DUMMYFUNCTION("GOOGLETRANSLATE(B199,""en"",""de"")"),"Hand")</f>
        <v>Hand</v>
      </c>
      <c r="H199" s="2" t="str">
        <f ca="1">IFERROR(__xludf.DUMMYFUNCTION("GOOGLETRANSLATE(B199,""en"",""zh"")"),"手")</f>
        <v>手</v>
      </c>
      <c r="I199" s="2" t="str">
        <f ca="1">IFERROR(__xludf.DUMMYFUNCTION("GOOGLETRANSLATE(B199,""en"",""gd"")"),"làmh")</f>
        <v>làmh</v>
      </c>
    </row>
    <row r="200" spans="1:9" ht="14.25" customHeight="1" x14ac:dyDescent="0.3">
      <c r="A200" s="2">
        <v>199</v>
      </c>
      <c r="B200" s="3" t="s">
        <v>207</v>
      </c>
      <c r="C200" s="2" t="str">
        <f ca="1">IFERROR(__xludf.DUMMYFUNCTION("GOOGLETRANSLATE(B200, ""en"",""es"")"),"estado")</f>
        <v>estado</v>
      </c>
      <c r="D200" s="2" t="str">
        <f ca="1">IFERROR(__xludf.DUMMYFUNCTION("GOOGLETRANSLATE(B200,""en"",""ig"")"),"onodu")</f>
        <v>onodu</v>
      </c>
      <c r="E200" s="2" t="str">
        <f ca="1">IFERROR(__xludf.DUMMYFUNCTION("GOOGLETRANSLATE(B200,""en"",""fr"")"),"État")</f>
        <v>État</v>
      </c>
      <c r="F200" s="2" t="str">
        <f ca="1">IFERROR(__xludf.DUMMYFUNCTION("GOOGLETRANSLATE(B200,""en"",""it"")"),"stato")</f>
        <v>stato</v>
      </c>
      <c r="G200" s="2" t="str">
        <f ca="1">IFERROR(__xludf.DUMMYFUNCTION("GOOGLETRANSLATE(B200,""en"",""de"")"),"Zustand")</f>
        <v>Zustand</v>
      </c>
      <c r="H200" s="2" t="str">
        <f ca="1">IFERROR(__xludf.DUMMYFUNCTION("GOOGLETRANSLATE(B200,""en"",""zh"")"),"状态")</f>
        <v>状态</v>
      </c>
      <c r="I200" s="2" t="str">
        <f ca="1">IFERROR(__xludf.DUMMYFUNCTION("GOOGLETRANSLATE(B200,""en"",""gd"")"),"Stàite")</f>
        <v>Stàite</v>
      </c>
    </row>
    <row r="201" spans="1:9" ht="14.25" customHeight="1" x14ac:dyDescent="0.3">
      <c r="A201" s="2">
        <v>200</v>
      </c>
      <c r="B201" s="3" t="s">
        <v>208</v>
      </c>
      <c r="C201" s="2" t="str">
        <f ca="1">IFERROR(__xludf.DUMMYFUNCTION("GOOGLETRANSLATE(B201, ""en"",""es"")"),"mover")</f>
        <v>mover</v>
      </c>
      <c r="D201" s="2" t="str">
        <f ca="1">IFERROR(__xludf.DUMMYFUNCTION("GOOGLETRANSLATE(B201,""en"",""ig"")"),"inoghari")</f>
        <v>inoghari</v>
      </c>
      <c r="E201" s="2" t="str">
        <f ca="1">IFERROR(__xludf.DUMMYFUNCTION("GOOGLETRANSLATE(B201,""en"",""fr"")"),"se déplacer")</f>
        <v>se déplacer</v>
      </c>
      <c r="F201" s="2" t="str">
        <f ca="1">IFERROR(__xludf.DUMMYFUNCTION("GOOGLETRANSLATE(B201,""en"",""it"")"),"mossa")</f>
        <v>mossa</v>
      </c>
      <c r="G201" s="2" t="str">
        <f ca="1">IFERROR(__xludf.DUMMYFUNCTION("GOOGLETRANSLATE(B201,""en"",""de"")"),"bewegen")</f>
        <v>bewegen</v>
      </c>
      <c r="H201" s="2" t="str">
        <f ca="1">IFERROR(__xludf.DUMMYFUNCTION("GOOGLETRANSLATE(B201,""en"",""zh"")"),"移动")</f>
        <v>移动</v>
      </c>
      <c r="I201" s="2" t="str">
        <f ca="1">IFERROR(__xludf.DUMMYFUNCTION("GOOGLETRANSLATE(B201,""en"",""gd"")"),"Gluais")</f>
        <v>Gluais</v>
      </c>
    </row>
    <row r="202" spans="1:9" ht="14.25" customHeight="1" x14ac:dyDescent="0.3">
      <c r="A202" s="2">
        <v>201</v>
      </c>
      <c r="B202" s="3" t="s">
        <v>209</v>
      </c>
      <c r="C202" s="2" t="str">
        <f ca="1">IFERROR(__xludf.DUMMYFUNCTION("GOOGLETRANSLATE(B202, ""en"",""es"")"),"dinero")</f>
        <v>dinero</v>
      </c>
      <c r="D202" s="2" t="str">
        <f ca="1">IFERROR(__xludf.DUMMYFUNCTION("GOOGLETRANSLATE(B202,""en"",""ig"")"),"ego")</f>
        <v>ego</v>
      </c>
      <c r="E202" s="2" t="str">
        <f ca="1">IFERROR(__xludf.DUMMYFUNCTION("GOOGLETRANSLATE(B202,""en"",""fr"")"),"argent")</f>
        <v>argent</v>
      </c>
      <c r="F202" s="2" t="str">
        <f ca="1">IFERROR(__xludf.DUMMYFUNCTION("GOOGLETRANSLATE(B202,""en"",""it"")"),"soldi")</f>
        <v>soldi</v>
      </c>
      <c r="G202" s="2" t="str">
        <f ca="1">IFERROR(__xludf.DUMMYFUNCTION("GOOGLETRANSLATE(B202,""en"",""de"")"),"Geld")</f>
        <v>Geld</v>
      </c>
      <c r="H202" s="2" t="str">
        <f ca="1">IFERROR(__xludf.DUMMYFUNCTION("GOOGLETRANSLATE(B202,""en"",""zh"")"),"钱")</f>
        <v>钱</v>
      </c>
      <c r="I202" s="2" t="str">
        <f ca="1">IFERROR(__xludf.DUMMYFUNCTION("GOOGLETRANSLATE(B202,""en"",""gd"")"),"airgead")</f>
        <v>airgead</v>
      </c>
    </row>
    <row r="203" spans="1:9" ht="14.25" customHeight="1" x14ac:dyDescent="0.3">
      <c r="A203" s="2">
        <v>202</v>
      </c>
      <c r="B203" s="3" t="s">
        <v>210</v>
      </c>
      <c r="C203" s="2" t="str">
        <f ca="1">IFERROR(__xludf.DUMMYFUNCTION("GOOGLETRANSLATE(B203, ""en"",""es"")"),"hecho")</f>
        <v>hecho</v>
      </c>
      <c r="D203" s="2" t="str">
        <f ca="1">IFERROR(__xludf.DUMMYFUNCTION("GOOGLETRANSLATE(B203,""en"",""ig"")"),"mmereme")</f>
        <v>mmereme</v>
      </c>
      <c r="E203" s="2" t="str">
        <f ca="1">IFERROR(__xludf.DUMMYFUNCTION("GOOGLETRANSLATE(B203,""en"",""fr"")"),"fait")</f>
        <v>fait</v>
      </c>
      <c r="F203" s="2" t="str">
        <f ca="1">IFERROR(__xludf.DUMMYFUNCTION("GOOGLETRANSLATE(B203,""en"",""it"")"),"fatto")</f>
        <v>fatto</v>
      </c>
      <c r="G203" s="2" t="str">
        <f ca="1">IFERROR(__xludf.DUMMYFUNCTION("GOOGLETRANSLATE(B203,""en"",""de"")"),"Tatsache")</f>
        <v>Tatsache</v>
      </c>
      <c r="H203" s="2" t="str">
        <f ca="1">IFERROR(__xludf.DUMMYFUNCTION("GOOGLETRANSLATE(B203,""en"",""zh"")"),"事实")</f>
        <v>事实</v>
      </c>
      <c r="I203" s="2" t="str">
        <f ca="1">IFERROR(__xludf.DUMMYFUNCTION("GOOGLETRANSLATE(B203,""en"",""gd"")"),"Fiosrachadh")</f>
        <v>Fiosrachadh</v>
      </c>
    </row>
    <row r="204" spans="1:9" ht="14.25" customHeight="1" x14ac:dyDescent="0.3">
      <c r="A204" s="2">
        <v>203</v>
      </c>
      <c r="B204" s="3" t="s">
        <v>211</v>
      </c>
      <c r="C204" s="2" t="str">
        <f ca="1">IFERROR(__xludf.DUMMYFUNCTION("GOOGLETRANSLATE(B204, ""en"",""es"")"),"sin embargo")</f>
        <v>sin embargo</v>
      </c>
      <c r="D204" s="2" t="str">
        <f ca="1">IFERROR(__xludf.DUMMYFUNCTION("GOOGLETRANSLATE(B204,""en"",""ig"")"),"mana")</f>
        <v>mana</v>
      </c>
      <c r="E204" s="2" t="str">
        <f ca="1">IFERROR(__xludf.DUMMYFUNCTION("GOOGLETRANSLATE(B204,""en"",""fr"")"),"cependant")</f>
        <v>cependant</v>
      </c>
      <c r="F204" s="2" t="str">
        <f ca="1">IFERROR(__xludf.DUMMYFUNCTION("GOOGLETRANSLATE(B204,""en"",""it"")"),"Tuttavia")</f>
        <v>Tuttavia</v>
      </c>
      <c r="G204" s="2" t="str">
        <f ca="1">IFERROR(__xludf.DUMMYFUNCTION("GOOGLETRANSLATE(B204,""en"",""de"")"),"Jedoch")</f>
        <v>Jedoch</v>
      </c>
      <c r="H204" s="2" t="str">
        <f ca="1">IFERROR(__xludf.DUMMYFUNCTION("GOOGLETRANSLATE(B204,""en"",""zh"")"),"然而")</f>
        <v>然而</v>
      </c>
      <c r="I204" s="2" t="str">
        <f ca="1">IFERROR(__xludf.DUMMYFUNCTION("GOOGLETRANSLATE(B204,""en"",""gd"")"),"Ach")</f>
        <v>Ach</v>
      </c>
    </row>
    <row r="205" spans="1:9" ht="14.25" customHeight="1" x14ac:dyDescent="0.3">
      <c r="A205" s="2">
        <v>204</v>
      </c>
      <c r="B205" s="3" t="s">
        <v>212</v>
      </c>
      <c r="C205" s="2" t="str">
        <f ca="1">IFERROR(__xludf.DUMMYFUNCTION("GOOGLETRANSLATE(B205, ""en"",""es"")"),"área")</f>
        <v>área</v>
      </c>
      <c r="D205" s="2" t="str">
        <f ca="1">IFERROR(__xludf.DUMMYFUNCTION("GOOGLETRANSLATE(B205,""en"",""ig"")"),"uzo")</f>
        <v>uzo</v>
      </c>
      <c r="E205" s="2" t="str">
        <f ca="1">IFERROR(__xludf.DUMMYFUNCTION("GOOGLETRANSLATE(B205,""en"",""fr"")"),"zone")</f>
        <v>zone</v>
      </c>
      <c r="F205" s="2" t="str">
        <f ca="1">IFERROR(__xludf.DUMMYFUNCTION("GOOGLETRANSLATE(B205,""en"",""it"")"),"la zona")</f>
        <v>la zona</v>
      </c>
      <c r="G205" s="2" t="str">
        <f ca="1">IFERROR(__xludf.DUMMYFUNCTION("GOOGLETRANSLATE(B205,""en"",""de"")"),"Bereich")</f>
        <v>Bereich</v>
      </c>
      <c r="H205" s="2" t="str">
        <f ca="1">IFERROR(__xludf.DUMMYFUNCTION("GOOGLETRANSLATE(B205,""en"",""zh"")"),"区域")</f>
        <v>区域</v>
      </c>
      <c r="I205" s="2" t="str">
        <f ca="1">IFERROR(__xludf.DUMMYFUNCTION("GOOGLETRANSLATE(B205,""en"",""gd"")"),"Sgìre")</f>
        <v>Sgìre</v>
      </c>
    </row>
    <row r="206" spans="1:9" ht="14.25" customHeight="1" x14ac:dyDescent="0.3">
      <c r="A206" s="2">
        <v>205</v>
      </c>
      <c r="B206" s="3" t="s">
        <v>213</v>
      </c>
      <c r="C206" s="2" t="str">
        <f ca="1">IFERROR(__xludf.DUMMYFUNCTION("GOOGLETRANSLATE(B206, ""en"",""es"")"),"proporcionar")</f>
        <v>proporcionar</v>
      </c>
      <c r="D206" s="2" t="str">
        <f ca="1">IFERROR(__xludf.DUMMYFUNCTION("GOOGLETRANSLATE(B206,""en"",""ig"")"),"weta")</f>
        <v>weta</v>
      </c>
      <c r="E206" s="2" t="str">
        <f ca="1">IFERROR(__xludf.DUMMYFUNCTION("GOOGLETRANSLATE(B206,""en"",""fr"")"),"fournir")</f>
        <v>fournir</v>
      </c>
      <c r="F206" s="2" t="str">
        <f ca="1">IFERROR(__xludf.DUMMYFUNCTION("GOOGLETRANSLATE(B206,""en"",""it"")"),"fornire")</f>
        <v>fornire</v>
      </c>
      <c r="G206" s="2" t="str">
        <f ca="1">IFERROR(__xludf.DUMMYFUNCTION("GOOGLETRANSLATE(B206,""en"",""de"")"),"bieten")</f>
        <v>bieten</v>
      </c>
      <c r="H206" s="2" t="str">
        <f ca="1">IFERROR(__xludf.DUMMYFUNCTION("GOOGLETRANSLATE(B206,""en"",""zh"")"),"提供")</f>
        <v>提供</v>
      </c>
      <c r="I206" s="2" t="str">
        <f ca="1">IFERROR(__xludf.DUMMYFUNCTION("GOOGLETRANSLATE(B206,""en"",""gd"")"),"toirt seachad")</f>
        <v>toirt seachad</v>
      </c>
    </row>
    <row r="207" spans="1:9" ht="14.25" customHeight="1" x14ac:dyDescent="0.3">
      <c r="A207" s="2">
        <v>206</v>
      </c>
      <c r="B207" s="3" t="s">
        <v>214</v>
      </c>
      <c r="C207" s="2" t="str">
        <f ca="1">IFERROR(__xludf.DUMMYFUNCTION("GOOGLETRANSLATE(B207, ""en"",""es"")"),"nombre")</f>
        <v>nombre</v>
      </c>
      <c r="D207" s="2" t="str">
        <f ca="1">IFERROR(__xludf.DUMMYFUNCTION("GOOGLETRANSLATE(B207,""en"",""ig"")"),"aha")</f>
        <v>aha</v>
      </c>
      <c r="E207" s="2" t="str">
        <f ca="1">IFERROR(__xludf.DUMMYFUNCTION("GOOGLETRANSLATE(B207,""en"",""fr"")"),"nom")</f>
        <v>nom</v>
      </c>
      <c r="F207" s="2" t="str">
        <f ca="1">IFERROR(__xludf.DUMMYFUNCTION("GOOGLETRANSLATE(B207,""en"",""it"")"),"nome")</f>
        <v>nome</v>
      </c>
      <c r="G207" s="2" t="str">
        <f ca="1">IFERROR(__xludf.DUMMYFUNCTION("GOOGLETRANSLATE(B207,""en"",""de"")"),"Name")</f>
        <v>Name</v>
      </c>
      <c r="H207" s="2" t="str">
        <f ca="1">IFERROR(__xludf.DUMMYFUNCTION("GOOGLETRANSLATE(B207,""en"",""zh"")"),"姓名")</f>
        <v>姓名</v>
      </c>
      <c r="I207" s="2" t="str">
        <f ca="1">IFERROR(__xludf.DUMMYFUNCTION("GOOGLETRANSLATE(B207,""en"",""gd"")"),"Ainm")</f>
        <v>Ainm</v>
      </c>
    </row>
    <row r="208" spans="1:9" ht="14.25" customHeight="1" x14ac:dyDescent="0.3">
      <c r="A208" s="2">
        <v>207</v>
      </c>
      <c r="B208" s="3" t="s">
        <v>215</v>
      </c>
      <c r="C208" s="2" t="str">
        <f ca="1">IFERROR(__xludf.DUMMYFUNCTION("GOOGLETRANSLATE(B208, ""en"",""es"")"),"leer")</f>
        <v>leer</v>
      </c>
      <c r="D208" s="2" t="str">
        <f ca="1">IFERROR(__xludf.DUMMYFUNCTION("GOOGLETRANSLATE(B208,""en"",""ig"")"),"guo")</f>
        <v>guo</v>
      </c>
      <c r="E208" s="2" t="str">
        <f ca="1">IFERROR(__xludf.DUMMYFUNCTION("GOOGLETRANSLATE(B208,""en"",""fr"")"),"lire")</f>
        <v>lire</v>
      </c>
      <c r="F208" s="2" t="str">
        <f ca="1">IFERROR(__xludf.DUMMYFUNCTION("GOOGLETRANSLATE(B208,""en"",""it"")"),"Leggere")</f>
        <v>Leggere</v>
      </c>
      <c r="G208" s="2" t="str">
        <f ca="1">IFERROR(__xludf.DUMMYFUNCTION("GOOGLETRANSLATE(B208,""en"",""de"")"),"lesen")</f>
        <v>lesen</v>
      </c>
      <c r="H208" s="2" t="str">
        <f ca="1">IFERROR(__xludf.DUMMYFUNCTION("GOOGLETRANSLATE(B208,""en"",""zh"")"),"读")</f>
        <v>读</v>
      </c>
      <c r="I208" s="2" t="str">
        <f ca="1">IFERROR(__xludf.DUMMYFUNCTION("GOOGLETRANSLATE(B208,""en"",""gd"")"),"Leugh")</f>
        <v>Leugh</v>
      </c>
    </row>
    <row r="209" spans="1:9" ht="14.25" customHeight="1" x14ac:dyDescent="0.3">
      <c r="A209" s="2">
        <v>208</v>
      </c>
      <c r="B209" s="3" t="s">
        <v>216</v>
      </c>
      <c r="C209" s="2" t="str">
        <f ca="1">IFERROR(__xludf.DUMMYFUNCTION("GOOGLETRANSLATE(B209, ""en"",""es"")"),"amigo")</f>
        <v>amigo</v>
      </c>
      <c r="D209" s="2" t="str">
        <f ca="1">IFERROR(__xludf.DUMMYFUNCTION("GOOGLETRANSLATE(B209,""en"",""ig"")"),"enyi")</f>
        <v>enyi</v>
      </c>
      <c r="E209" s="2" t="str">
        <f ca="1">IFERROR(__xludf.DUMMYFUNCTION("GOOGLETRANSLATE(B209,""en"",""fr"")"),"ami")</f>
        <v>ami</v>
      </c>
      <c r="F209" s="2" t="str">
        <f ca="1">IFERROR(__xludf.DUMMYFUNCTION("GOOGLETRANSLATE(B209,""en"",""it"")"),"amico")</f>
        <v>amico</v>
      </c>
      <c r="G209" s="2" t="str">
        <f ca="1">IFERROR(__xludf.DUMMYFUNCTION("GOOGLETRANSLATE(B209,""en"",""de"")"),"Freund")</f>
        <v>Freund</v>
      </c>
      <c r="H209" s="2" t="str">
        <f ca="1">IFERROR(__xludf.DUMMYFUNCTION("GOOGLETRANSLATE(B209,""en"",""zh"")"),"朋友")</f>
        <v>朋友</v>
      </c>
      <c r="I209" s="2" t="str">
        <f ca="1">IFERROR(__xludf.DUMMYFUNCTION("GOOGLETRANSLATE(B209,""en"",""gd"")"),"caraid")</f>
        <v>caraid</v>
      </c>
    </row>
    <row r="210" spans="1:9" ht="14.25" customHeight="1" x14ac:dyDescent="0.3">
      <c r="A210" s="2">
        <v>209</v>
      </c>
      <c r="B210" s="3" t="s">
        <v>217</v>
      </c>
      <c r="C210" s="2" t="str">
        <f ca="1">IFERROR(__xludf.DUMMYFUNCTION("GOOGLETRANSLATE(B210, ""en"",""es"")"),"mes")</f>
        <v>mes</v>
      </c>
      <c r="D210" s="2" t="str">
        <f ca="1">IFERROR(__xludf.DUMMYFUNCTION("GOOGLETRANSLATE(B210,""en"",""ig"")"),"otu onwa n'ime ato")</f>
        <v>otu onwa n'ime ato</v>
      </c>
      <c r="E210" s="2" t="str">
        <f ca="1">IFERROR(__xludf.DUMMYFUNCTION("GOOGLETRANSLATE(B210,""en"",""fr"")"),"mois")</f>
        <v>mois</v>
      </c>
      <c r="F210" s="2" t="str">
        <f ca="1">IFERROR(__xludf.DUMMYFUNCTION("GOOGLETRANSLATE(B210,""en"",""it"")"),"mese")</f>
        <v>mese</v>
      </c>
      <c r="G210" s="2" t="str">
        <f ca="1">IFERROR(__xludf.DUMMYFUNCTION("GOOGLETRANSLATE(B210,""en"",""de"")"),"Monat")</f>
        <v>Monat</v>
      </c>
      <c r="H210" s="2" t="str">
        <f ca="1">IFERROR(__xludf.DUMMYFUNCTION("GOOGLETRANSLATE(B210,""en"",""zh"")"),"月")</f>
        <v>月</v>
      </c>
      <c r="I210" s="2" t="str">
        <f ca="1">IFERROR(__xludf.DUMMYFUNCTION("GOOGLETRANSLATE(B210,""en"",""gd"")"),"mìos")</f>
        <v>mìos</v>
      </c>
    </row>
    <row r="211" spans="1:9" ht="14.25" customHeight="1" x14ac:dyDescent="0.3">
      <c r="A211" s="2">
        <v>210</v>
      </c>
      <c r="B211" s="3" t="s">
        <v>218</v>
      </c>
      <c r="C211" s="2" t="str">
        <f ca="1">IFERROR(__xludf.DUMMYFUNCTION("GOOGLETRANSLATE(B211, ""en"",""es"")"),"grande")</f>
        <v>grande</v>
      </c>
      <c r="D211" s="2" t="str">
        <f ca="1">IFERROR(__xludf.DUMMYFUNCTION("GOOGLETRANSLATE(B211,""en"",""ig"")"),"keibu")</f>
        <v>keibu</v>
      </c>
      <c r="E211" s="2" t="str">
        <f ca="1">IFERROR(__xludf.DUMMYFUNCTION("GOOGLETRANSLATE(B211,""en"",""fr"")"),"grand")</f>
        <v>grand</v>
      </c>
      <c r="F211" s="2" t="str">
        <f ca="1">IFERROR(__xludf.DUMMYFUNCTION("GOOGLETRANSLATE(B211,""en"",""it"")"),"grande")</f>
        <v>grande</v>
      </c>
      <c r="G211" s="2" t="str">
        <f ca="1">IFERROR(__xludf.DUMMYFUNCTION("GOOGLETRANSLATE(B211,""en"",""de"")"),"groß")</f>
        <v>groß</v>
      </c>
      <c r="H211" s="2" t="str">
        <f ca="1">IFERROR(__xludf.DUMMYFUNCTION("GOOGLETRANSLATE(B211,""en"",""zh"")"),"大的")</f>
        <v>大的</v>
      </c>
      <c r="I211" s="2" t="str">
        <f ca="1">IFERROR(__xludf.DUMMYFUNCTION("GOOGLETRANSLATE(B211,""en"",""gd"")"),"mòr")</f>
        <v>mòr</v>
      </c>
    </row>
    <row r="212" spans="1:9" ht="14.25" customHeight="1" x14ac:dyDescent="0.3">
      <c r="A212" s="2">
        <v>211</v>
      </c>
      <c r="B212" s="3" t="s">
        <v>219</v>
      </c>
      <c r="C212" s="2" t="str">
        <f ca="1">IFERROR(__xludf.DUMMYFUNCTION("GOOGLETRANSLATE(B212, ""en"",""es"")"),"negocio")</f>
        <v>negocio</v>
      </c>
      <c r="D212" s="2" t="str">
        <f ca="1">IFERROR(__xludf.DUMMYFUNCTION("GOOGLETRANSLATE(B212,""en"",""ig"")"),"ahia ozuzu")</f>
        <v>ahia ozuzu</v>
      </c>
      <c r="E212" s="2" t="str">
        <f ca="1">IFERROR(__xludf.DUMMYFUNCTION("GOOGLETRANSLATE(B212,""en"",""fr"")"),"entreprise")</f>
        <v>entreprise</v>
      </c>
      <c r="F212" s="2" t="str">
        <f ca="1">IFERROR(__xludf.DUMMYFUNCTION("GOOGLETRANSLATE(B212,""en"",""it"")"),"Attività commerciale")</f>
        <v>Attività commerciale</v>
      </c>
      <c r="G212" s="2" t="str">
        <f ca="1">IFERROR(__xludf.DUMMYFUNCTION("GOOGLETRANSLATE(B212,""en"",""de"")"),"Geschäft")</f>
        <v>Geschäft</v>
      </c>
      <c r="H212" s="2" t="str">
        <f ca="1">IFERROR(__xludf.DUMMYFUNCTION("GOOGLETRANSLATE(B212,""en"",""zh"")"),"商业")</f>
        <v>商业</v>
      </c>
      <c r="I212" s="2" t="str">
        <f ca="1">IFERROR(__xludf.DUMMYFUNCTION("GOOGLETRANSLATE(B212,""en"",""gd"")"),"Gnìomhachas")</f>
        <v>Gnìomhachas</v>
      </c>
    </row>
    <row r="213" spans="1:9" ht="14.25" customHeight="1" x14ac:dyDescent="0.3">
      <c r="A213" s="2">
        <v>212</v>
      </c>
      <c r="B213" s="3" t="s">
        <v>220</v>
      </c>
      <c r="C213" s="2" t="str">
        <f ca="1">IFERROR(__xludf.DUMMYFUNCTION("GOOGLETRANSLATE(B213, ""en"",""es"")"),"sin")</f>
        <v>sin</v>
      </c>
      <c r="D213" s="2" t="str">
        <f ca="1">IFERROR(__xludf.DUMMYFUNCTION("GOOGLETRANSLATE(B213,""en"",""ig"")"),"n'akuku")</f>
        <v>n'akuku</v>
      </c>
      <c r="E213" s="2" t="str">
        <f ca="1">IFERROR(__xludf.DUMMYFUNCTION("GOOGLETRANSLATE(B213,""en"",""fr"")"),"sans")</f>
        <v>sans</v>
      </c>
      <c r="F213" s="2" t="str">
        <f ca="1">IFERROR(__xludf.DUMMYFUNCTION("GOOGLETRANSLATE(B213,""en"",""it"")"),"senza")</f>
        <v>senza</v>
      </c>
      <c r="G213" s="2" t="str">
        <f ca="1">IFERROR(__xludf.DUMMYFUNCTION("GOOGLETRANSLATE(B213,""en"",""de"")"),"ohne")</f>
        <v>ohne</v>
      </c>
      <c r="H213" s="2" t="str">
        <f ca="1">IFERROR(__xludf.DUMMYFUNCTION("GOOGLETRANSLATE(B213,""en"",""zh"")"),"没有")</f>
        <v>没有</v>
      </c>
      <c r="I213" s="2" t="str">
        <f ca="1">IFERROR(__xludf.DUMMYFUNCTION("GOOGLETRANSLATE(B213,""en"",""gd"")"),"às aonais")</f>
        <v>às aonais</v>
      </c>
    </row>
    <row r="214" spans="1:9" ht="14.25" customHeight="1" x14ac:dyDescent="0.3">
      <c r="A214" s="2">
        <v>213</v>
      </c>
      <c r="B214" s="3" t="s">
        <v>221</v>
      </c>
      <c r="C214" s="2" t="str">
        <f ca="1">IFERROR(__xludf.DUMMYFUNCTION("GOOGLETRANSLATE(B214, ""en"",""es"")"),"información")</f>
        <v>información</v>
      </c>
      <c r="D214" s="2" t="str">
        <f ca="1">IFERROR(__xludf.DUMMYFUNCTION("GOOGLETRANSLATE(B214,""en"",""ig"")"),"ihe ogwugwa")</f>
        <v>ihe ogwugwa</v>
      </c>
      <c r="E214" s="2" t="str">
        <f ca="1">IFERROR(__xludf.DUMMYFUNCTION("GOOGLETRANSLATE(B214,""en"",""fr"")"),"information")</f>
        <v>information</v>
      </c>
      <c r="F214" s="2" t="str">
        <f ca="1">IFERROR(__xludf.DUMMYFUNCTION("GOOGLETRANSLATE(B214,""en"",""it"")"),"informazione")</f>
        <v>informazione</v>
      </c>
      <c r="G214" s="2" t="str">
        <f ca="1">IFERROR(__xludf.DUMMYFUNCTION("GOOGLETRANSLATE(B214,""en"",""de"")"),"Information")</f>
        <v>Information</v>
      </c>
      <c r="H214" s="2" t="str">
        <f ca="1">IFERROR(__xludf.DUMMYFUNCTION("GOOGLETRANSLATE(B214,""en"",""zh"")"),"信息")</f>
        <v>信息</v>
      </c>
      <c r="I214" s="2" t="str">
        <f ca="1">IFERROR(__xludf.DUMMYFUNCTION("GOOGLETRANSLATE(B214,""en"",""gd"")"),"Fiosrachadh")</f>
        <v>Fiosrachadh</v>
      </c>
    </row>
    <row r="215" spans="1:9" ht="14.25" customHeight="1" x14ac:dyDescent="0.3">
      <c r="A215" s="2">
        <v>214</v>
      </c>
      <c r="B215" s="3" t="s">
        <v>222</v>
      </c>
      <c r="C215" s="2" t="str">
        <f ca="1">IFERROR(__xludf.DUMMYFUNCTION("GOOGLETRANSLATE(B215, ""en"",""es"")"),"abierto")</f>
        <v>abierto</v>
      </c>
      <c r="D215" s="2" t="str">
        <f ca="1">IFERROR(__xludf.DUMMYFUNCTION("GOOGLETRANSLATE(B215,""en"",""ig"")"),"meghe")</f>
        <v>meghe</v>
      </c>
      <c r="E215" s="2" t="str">
        <f ca="1">IFERROR(__xludf.DUMMYFUNCTION("GOOGLETRANSLATE(B215,""en"",""fr"")"),"ouvrir")</f>
        <v>ouvrir</v>
      </c>
      <c r="F215" s="2" t="str">
        <f ca="1">IFERROR(__xludf.DUMMYFUNCTION("GOOGLETRANSLATE(B215,""en"",""it"")"),"aprire")</f>
        <v>aprire</v>
      </c>
      <c r="G215" s="2" t="str">
        <f ca="1">IFERROR(__xludf.DUMMYFUNCTION("GOOGLETRANSLATE(B215,""en"",""de"")"),"offen")</f>
        <v>offen</v>
      </c>
      <c r="H215" s="2" t="str">
        <f ca="1">IFERROR(__xludf.DUMMYFUNCTION("GOOGLETRANSLATE(B215,""en"",""zh"")"),"打开")</f>
        <v>打开</v>
      </c>
      <c r="I215" s="2" t="str">
        <f ca="1">IFERROR(__xludf.DUMMYFUNCTION("GOOGLETRANSLATE(B215,""en"",""gd"")"),"fosgailte")</f>
        <v>fosgailte</v>
      </c>
    </row>
    <row r="216" spans="1:9" ht="14.25" customHeight="1" x14ac:dyDescent="0.3">
      <c r="A216" s="2">
        <v>215</v>
      </c>
      <c r="B216" s="3" t="s">
        <v>223</v>
      </c>
      <c r="C216" s="2" t="str">
        <f ca="1">IFERROR(__xludf.DUMMYFUNCTION("GOOGLETRANSLATE(B216, ""en"",""es"")"),"orden")</f>
        <v>orden</v>
      </c>
      <c r="D216" s="2" t="str">
        <f ca="1">IFERROR(__xludf.DUMMYFUNCTION("GOOGLETRANSLATE(B216,""en"",""ig"")"),"usoro oru")</f>
        <v>usoro oru</v>
      </c>
      <c r="E216" s="2" t="str">
        <f ca="1">IFERROR(__xludf.DUMMYFUNCTION("GOOGLETRANSLATE(B216,""en"",""fr"")"),"commande")</f>
        <v>commande</v>
      </c>
      <c r="F216" s="2" t="str">
        <f ca="1">IFERROR(__xludf.DUMMYFUNCTION("GOOGLETRANSLATE(B216,""en"",""it"")"),"ordine")</f>
        <v>ordine</v>
      </c>
      <c r="G216" s="2" t="str">
        <f ca="1">IFERROR(__xludf.DUMMYFUNCTION("GOOGLETRANSLATE(B216,""en"",""de"")"),"Befehl")</f>
        <v>Befehl</v>
      </c>
      <c r="H216" s="2" t="str">
        <f ca="1">IFERROR(__xludf.DUMMYFUNCTION("GOOGLETRANSLATE(B216,""en"",""zh"")"),"命令")</f>
        <v>命令</v>
      </c>
      <c r="I216" s="2" t="str">
        <f ca="1">IFERROR(__xludf.DUMMYFUNCTION("GOOGLETRANSLATE(B216,""en"",""gd"")"),"Òrdugh")</f>
        <v>Òrdugh</v>
      </c>
    </row>
    <row r="217" spans="1:9" ht="14.25" customHeight="1" x14ac:dyDescent="0.3">
      <c r="A217" s="2">
        <v>216</v>
      </c>
      <c r="B217" s="3" t="s">
        <v>224</v>
      </c>
      <c r="C217" s="2" t="str">
        <f ca="1">IFERROR(__xludf.DUMMYFUNCTION("GOOGLETRANSLATE(B217, ""en"",""es"")"),"gobierno")</f>
        <v>gobierno</v>
      </c>
      <c r="D217" s="2" t="str">
        <f ca="1">IFERROR(__xludf.DUMMYFUNCTION("GOOGLETRANSLATE(B217,""en"",""ig"")"),"ochuchu")</f>
        <v>ochuchu</v>
      </c>
      <c r="E217" s="2" t="str">
        <f ca="1">IFERROR(__xludf.DUMMYFUNCTION("GOOGLETRANSLATE(B217,""en"",""fr"")"),"gouvernement")</f>
        <v>gouvernement</v>
      </c>
      <c r="F217" s="2" t="str">
        <f ca="1">IFERROR(__xludf.DUMMYFUNCTION("GOOGLETRANSLATE(B217,""en"",""it"")"),"governo")</f>
        <v>governo</v>
      </c>
      <c r="G217" s="2" t="str">
        <f ca="1">IFERROR(__xludf.DUMMYFUNCTION("GOOGLETRANSLATE(B217,""en"",""de"")"),"Regierung")</f>
        <v>Regierung</v>
      </c>
      <c r="H217" s="2" t="str">
        <f ca="1">IFERROR(__xludf.DUMMYFUNCTION("GOOGLETRANSLATE(B217,""en"",""zh"")"),"政府")</f>
        <v>政府</v>
      </c>
      <c r="I217" s="2" t="str">
        <f ca="1">IFERROR(__xludf.DUMMYFUNCTION("GOOGLETRANSLATE(B217,""en"",""gd"")"),"Riaghaltas")</f>
        <v>Riaghaltas</v>
      </c>
    </row>
    <row r="218" spans="1:9" ht="14.25" customHeight="1" x14ac:dyDescent="0.3">
      <c r="A218" s="2">
        <v>217</v>
      </c>
      <c r="B218" s="3" t="s">
        <v>225</v>
      </c>
      <c r="C218" s="2" t="str">
        <f ca="1">IFERROR(__xludf.DUMMYFUNCTION("GOOGLETRANSLATE(B218, ""en"",""es"")"),"palabra")</f>
        <v>palabra</v>
      </c>
      <c r="D218" s="2" t="str">
        <f ca="1">IFERROR(__xludf.DUMMYFUNCTION("GOOGLETRANSLATE(B218,""en"",""ig"")"),"mkpuruokwu")</f>
        <v>mkpuruokwu</v>
      </c>
      <c r="E218" s="2" t="str">
        <f ca="1">IFERROR(__xludf.DUMMYFUNCTION("GOOGLETRANSLATE(B218,""en"",""fr"")"),"mot")</f>
        <v>mot</v>
      </c>
      <c r="F218" s="2" t="str">
        <f ca="1">IFERROR(__xludf.DUMMYFUNCTION("GOOGLETRANSLATE(B218,""en"",""it"")"),"parola")</f>
        <v>parola</v>
      </c>
      <c r="G218" s="2" t="str">
        <f ca="1">IFERROR(__xludf.DUMMYFUNCTION("GOOGLETRANSLATE(B218,""en"",""de"")"),"Wort")</f>
        <v>Wort</v>
      </c>
      <c r="H218" s="2" t="str">
        <f ca="1">IFERROR(__xludf.DUMMYFUNCTION("GOOGLETRANSLATE(B218,""en"",""zh"")"),"单词")</f>
        <v>单词</v>
      </c>
      <c r="I218" s="2" t="str">
        <f ca="1">IFERROR(__xludf.DUMMYFUNCTION("GOOGLETRANSLATE(B218,""en"",""gd"")"),"facal")</f>
        <v>facal</v>
      </c>
    </row>
    <row r="219" spans="1:9" ht="14.25" customHeight="1" x14ac:dyDescent="0.3">
      <c r="A219" s="2">
        <v>218</v>
      </c>
      <c r="B219" s="3" t="s">
        <v>226</v>
      </c>
      <c r="C219" s="2" t="str">
        <f ca="1">IFERROR(__xludf.DUMMYFUNCTION("GOOGLETRANSLATE(B219, ""en"",""es"")"),"asunto")</f>
        <v>asunto</v>
      </c>
      <c r="D219" s="2" t="str">
        <f ca="1">IFERROR(__xludf.DUMMYFUNCTION("GOOGLETRANSLATE(B219,""en"",""ig"")"),"inye")</f>
        <v>inye</v>
      </c>
      <c r="E219" s="2" t="str">
        <f ca="1">IFERROR(__xludf.DUMMYFUNCTION("GOOGLETRANSLATE(B219,""en"",""fr"")"),"problème")</f>
        <v>problème</v>
      </c>
      <c r="F219" s="2" t="str">
        <f ca="1">IFERROR(__xludf.DUMMYFUNCTION("GOOGLETRANSLATE(B219,""en"",""it"")"),"problema")</f>
        <v>problema</v>
      </c>
      <c r="G219" s="2" t="str">
        <f ca="1">IFERROR(__xludf.DUMMYFUNCTION("GOOGLETRANSLATE(B219,""en"",""de"")"),"Ausgabe")</f>
        <v>Ausgabe</v>
      </c>
      <c r="H219" s="2" t="str">
        <f ca="1">IFERROR(__xludf.DUMMYFUNCTION("GOOGLETRANSLATE(B219,""en"",""zh"")"),"问题")</f>
        <v>问题</v>
      </c>
      <c r="I219" s="2" t="str">
        <f ca="1">IFERROR(__xludf.DUMMYFUNCTION("GOOGLETRANSLATE(B219,""en"",""gd"")"),"cùis")</f>
        <v>cùis</v>
      </c>
    </row>
    <row r="220" spans="1:9" ht="14.25" customHeight="1" x14ac:dyDescent="0.3">
      <c r="A220" s="2">
        <v>219</v>
      </c>
      <c r="B220" s="3" t="s">
        <v>227</v>
      </c>
      <c r="C220" s="2" t="str">
        <f ca="1">IFERROR(__xludf.DUMMYFUNCTION("GOOGLETRANSLATE(B220, ""en"",""es"")"),"mercado")</f>
        <v>mercado</v>
      </c>
      <c r="D220" s="2" t="str">
        <f ca="1">IFERROR(__xludf.DUMMYFUNCTION("GOOGLETRANSLATE(B220,""en"",""ig"")"),"ahia")</f>
        <v>ahia</v>
      </c>
      <c r="E220" s="2" t="str">
        <f ca="1">IFERROR(__xludf.DUMMYFUNCTION("GOOGLETRANSLATE(B220,""en"",""fr"")"),"marché")</f>
        <v>marché</v>
      </c>
      <c r="F220" s="2" t="str">
        <f ca="1">IFERROR(__xludf.DUMMYFUNCTION("GOOGLETRANSLATE(B220,""en"",""it"")"),"mercato")</f>
        <v>mercato</v>
      </c>
      <c r="G220" s="2" t="str">
        <f ca="1">IFERROR(__xludf.DUMMYFUNCTION("GOOGLETRANSLATE(B220,""en"",""de"")"),"Markt")</f>
        <v>Markt</v>
      </c>
      <c r="H220" s="2" t="str">
        <f ca="1">IFERROR(__xludf.DUMMYFUNCTION("GOOGLETRANSLATE(B220,""en"",""zh"")"),"市场")</f>
        <v>市场</v>
      </c>
      <c r="I220" s="2" t="str">
        <f ca="1">IFERROR(__xludf.DUMMYFUNCTION("GOOGLETRANSLATE(B220,""en"",""gd"")"),"margaidh")</f>
        <v>margaidh</v>
      </c>
    </row>
    <row r="221" spans="1:9" ht="14.25" customHeight="1" x14ac:dyDescent="0.3">
      <c r="A221" s="2">
        <v>220</v>
      </c>
      <c r="B221" s="3" t="s">
        <v>228</v>
      </c>
      <c r="C221" s="2" t="str">
        <f ca="1">IFERROR(__xludf.DUMMYFUNCTION("GOOGLETRANSLATE(B221, ""en"",""es"")"),"pagar")</f>
        <v>pagar</v>
      </c>
      <c r="D221" s="2" t="str">
        <f ca="1">IFERROR(__xludf.DUMMYFUNCTION("GOOGLETRANSLATE(B221,""en"",""ig"")"),"ugwo")</f>
        <v>ugwo</v>
      </c>
      <c r="E221" s="2" t="str">
        <f ca="1">IFERROR(__xludf.DUMMYFUNCTION("GOOGLETRANSLATE(B221,""en"",""fr"")"),"payer")</f>
        <v>payer</v>
      </c>
      <c r="F221" s="2" t="str">
        <f ca="1">IFERROR(__xludf.DUMMYFUNCTION("GOOGLETRANSLATE(B221,""en"",""it"")"),"paga")</f>
        <v>paga</v>
      </c>
      <c r="G221" s="2" t="str">
        <f ca="1">IFERROR(__xludf.DUMMYFUNCTION("GOOGLETRANSLATE(B221,""en"",""de"")"),"zahlen")</f>
        <v>zahlen</v>
      </c>
      <c r="H221" s="2" t="str">
        <f ca="1">IFERROR(__xludf.DUMMYFUNCTION("GOOGLETRANSLATE(B221,""en"",""zh"")"),"支付")</f>
        <v>支付</v>
      </c>
      <c r="I221" s="2" t="str">
        <f ca="1">IFERROR(__xludf.DUMMYFUNCTION("GOOGLETRANSLATE(B221,""en"",""gd"")"),"pàigheadh")</f>
        <v>pàigheadh</v>
      </c>
    </row>
    <row r="222" spans="1:9" ht="14.25" customHeight="1" x14ac:dyDescent="0.3">
      <c r="A222" s="2">
        <v>221</v>
      </c>
      <c r="B222" s="3" t="s">
        <v>229</v>
      </c>
      <c r="C222" s="2" t="str">
        <f ca="1">IFERROR(__xludf.DUMMYFUNCTION("GOOGLETRANSLATE(B222, ""en"",""es"")"),"construir")</f>
        <v>construir</v>
      </c>
      <c r="D222" s="2" t="str">
        <f ca="1">IFERROR(__xludf.DUMMYFUNCTION("GOOGLETRANSLATE(B222,""en"",""ig"")"),"iru")</f>
        <v>iru</v>
      </c>
      <c r="E222" s="2" t="str">
        <f ca="1">IFERROR(__xludf.DUMMYFUNCTION("GOOGLETRANSLATE(B222,""en"",""fr"")"),"construire")</f>
        <v>construire</v>
      </c>
      <c r="F222" s="2" t="str">
        <f ca="1">IFERROR(__xludf.DUMMYFUNCTION("GOOGLETRANSLATE(B222,""en"",""it"")"),"costruire")</f>
        <v>costruire</v>
      </c>
      <c r="G222" s="2" t="str">
        <f ca="1">IFERROR(__xludf.DUMMYFUNCTION("GOOGLETRANSLATE(B222,""en"",""de"")"),"bauen")</f>
        <v>bauen</v>
      </c>
      <c r="H222" s="2" t="str">
        <f ca="1">IFERROR(__xludf.DUMMYFUNCTION("GOOGLETRANSLATE(B222,""en"",""zh"")"),"建造")</f>
        <v>建造</v>
      </c>
      <c r="I222" s="2" t="str">
        <f ca="1">IFERROR(__xludf.DUMMYFUNCTION("GOOGLETRANSLATE(B222,""en"",""gd"")"),"togail")</f>
        <v>togail</v>
      </c>
    </row>
    <row r="223" spans="1:9" ht="14.25" customHeight="1" x14ac:dyDescent="0.3">
      <c r="A223" s="2">
        <v>222</v>
      </c>
      <c r="B223" s="3" t="s">
        <v>230</v>
      </c>
      <c r="C223" s="2" t="str">
        <f ca="1">IFERROR(__xludf.DUMMYFUNCTION("GOOGLETRANSLATE(B223, ""en"",""es"")"),"sostener")</f>
        <v>sostener</v>
      </c>
      <c r="D223" s="2" t="str">
        <f ca="1">IFERROR(__xludf.DUMMYFUNCTION("GOOGLETRANSLATE(B223,""en"",""ig"")"),"ijide")</f>
        <v>ijide</v>
      </c>
      <c r="E223" s="2" t="str">
        <f ca="1">IFERROR(__xludf.DUMMYFUNCTION("GOOGLETRANSLATE(B223,""en"",""fr"")"),"prise")</f>
        <v>prise</v>
      </c>
      <c r="F223" s="2" t="str">
        <f ca="1">IFERROR(__xludf.DUMMYFUNCTION("GOOGLETRANSLATE(B223,""en"",""it"")"),"Presa")</f>
        <v>Presa</v>
      </c>
      <c r="G223" s="2" t="str">
        <f ca="1">IFERROR(__xludf.DUMMYFUNCTION("GOOGLETRANSLATE(B223,""en"",""de"")"),"halten")</f>
        <v>halten</v>
      </c>
      <c r="H223" s="2" t="str">
        <f ca="1">IFERROR(__xludf.DUMMYFUNCTION("GOOGLETRANSLATE(B223,""en"",""zh"")"),"抓住")</f>
        <v>抓住</v>
      </c>
      <c r="I223" s="2" t="str">
        <f ca="1">IFERROR(__xludf.DUMMYFUNCTION("GOOGLETRANSLATE(B223,""en"",""gd"")"),"Cùm")</f>
        <v>Cùm</v>
      </c>
    </row>
    <row r="224" spans="1:9" ht="14.25" customHeight="1" x14ac:dyDescent="0.3">
      <c r="A224" s="2">
        <v>223</v>
      </c>
      <c r="B224" s="3" t="s">
        <v>231</v>
      </c>
      <c r="C224" s="2" t="str">
        <f ca="1">IFERROR(__xludf.DUMMYFUNCTION("GOOGLETRANSLATE(B224, ""en"",""es"")"),"servicio")</f>
        <v>servicio</v>
      </c>
      <c r="D224" s="2" t="str">
        <f ca="1">IFERROR(__xludf.DUMMYFUNCTION("GOOGLETRANSLATE(B224,""en"",""ig"")"),"nnyemaka")</f>
        <v>nnyemaka</v>
      </c>
      <c r="E224" s="2" t="str">
        <f ca="1">IFERROR(__xludf.DUMMYFUNCTION("GOOGLETRANSLATE(B224,""en"",""fr"")"),"service")</f>
        <v>service</v>
      </c>
      <c r="F224" s="2" t="str">
        <f ca="1">IFERROR(__xludf.DUMMYFUNCTION("GOOGLETRANSLATE(B224,""en"",""it"")"),"servizio")</f>
        <v>servizio</v>
      </c>
      <c r="G224" s="2" t="str">
        <f ca="1">IFERROR(__xludf.DUMMYFUNCTION("GOOGLETRANSLATE(B224,""en"",""de"")"),"Service")</f>
        <v>Service</v>
      </c>
      <c r="H224" s="2" t="str">
        <f ca="1">IFERROR(__xludf.DUMMYFUNCTION("GOOGLETRANSLATE(B224,""en"",""zh"")"),"服务")</f>
        <v>服务</v>
      </c>
      <c r="I224" s="2" t="str">
        <f ca="1">IFERROR(__xludf.DUMMYFUNCTION("GOOGLETRANSLATE(B224,""en"",""gd"")"),"Seirbheis")</f>
        <v>Seirbheis</v>
      </c>
    </row>
    <row r="225" spans="1:9" ht="14.25" customHeight="1" x14ac:dyDescent="0.3">
      <c r="A225" s="2">
        <v>224</v>
      </c>
      <c r="B225" s="3" t="s">
        <v>232</v>
      </c>
      <c r="C225" s="2" t="str">
        <f ca="1">IFERROR(__xludf.DUMMYFUNCTION("GOOGLETRANSLATE(B225, ""en"",""es"")"),"contra")</f>
        <v>contra</v>
      </c>
      <c r="D225" s="2" t="str">
        <f ca="1">IFERROR(__xludf.DUMMYFUNCTION("GOOGLETRANSLATE(B225,""en"",""ig"")"),"mbuso")</f>
        <v>mbuso</v>
      </c>
      <c r="E225" s="2" t="str">
        <f ca="1">IFERROR(__xludf.DUMMYFUNCTION("GOOGLETRANSLATE(B225,""en"",""fr"")"),"contre")</f>
        <v>contre</v>
      </c>
      <c r="F225" s="2" t="str">
        <f ca="1">IFERROR(__xludf.DUMMYFUNCTION("GOOGLETRANSLATE(B225,""en"",""it"")"),"contro")</f>
        <v>contro</v>
      </c>
      <c r="G225" s="2" t="str">
        <f ca="1">IFERROR(__xludf.DUMMYFUNCTION("GOOGLETRANSLATE(B225,""en"",""de"")"),"gegen")</f>
        <v>gegen</v>
      </c>
      <c r="H225" s="2" t="str">
        <f ca="1">IFERROR(__xludf.DUMMYFUNCTION("GOOGLETRANSLATE(B225,""en"",""zh"")"),"反对")</f>
        <v>反对</v>
      </c>
      <c r="I225" s="2" t="str">
        <f ca="1">IFERROR(__xludf.DUMMYFUNCTION("GOOGLETRANSLATE(B225,""en"",""gd"")"),"an aghaidh")</f>
        <v>an aghaidh</v>
      </c>
    </row>
    <row r="226" spans="1:9" ht="14.25" customHeight="1" x14ac:dyDescent="0.3">
      <c r="A226" s="2">
        <v>225</v>
      </c>
      <c r="B226" s="3" t="s">
        <v>233</v>
      </c>
      <c r="C226" s="2" t="str">
        <f ca="1">IFERROR(__xludf.DUMMYFUNCTION("GOOGLETRANSLATE(B226, ""en"",""es"")"),"creer")</f>
        <v>creer</v>
      </c>
      <c r="D226" s="2" t="str">
        <f ca="1">IFERROR(__xludf.DUMMYFUNCTION("GOOGLETRANSLATE(B226,""en"",""ig"")"),"ikwe ekwe")</f>
        <v>ikwe ekwe</v>
      </c>
      <c r="E226" s="2" t="str">
        <f ca="1">IFERROR(__xludf.DUMMYFUNCTION("GOOGLETRANSLATE(B226,""en"",""fr"")"),"croire")</f>
        <v>croire</v>
      </c>
      <c r="F226" s="2" t="str">
        <f ca="1">IFERROR(__xludf.DUMMYFUNCTION("GOOGLETRANSLATE(B226,""en"",""it"")"),"credere")</f>
        <v>credere</v>
      </c>
      <c r="G226" s="2" t="str">
        <f ca="1">IFERROR(__xludf.DUMMYFUNCTION("GOOGLETRANSLATE(B226,""en"",""de"")"),"glauben")</f>
        <v>glauben</v>
      </c>
      <c r="H226" s="2" t="str">
        <f ca="1">IFERROR(__xludf.DUMMYFUNCTION("GOOGLETRANSLATE(B226,""en"",""zh"")"),"相信")</f>
        <v>相信</v>
      </c>
      <c r="I226" s="2" t="str">
        <f ca="1">IFERROR(__xludf.DUMMYFUNCTION("GOOGLETRANSLATE(B226,""en"",""gd"")"),"creidsinn")</f>
        <v>creidsinn</v>
      </c>
    </row>
    <row r="227" spans="1:9" ht="14.25" customHeight="1" x14ac:dyDescent="0.3">
      <c r="A227" s="2">
        <v>226</v>
      </c>
      <c r="B227" s="3" t="s">
        <v>234</v>
      </c>
      <c r="C227" s="2" t="str">
        <f ca="1">IFERROR(__xludf.DUMMYFUNCTION("GOOGLETRANSLATE(B227, ""en"",""es"")"),"segundo")</f>
        <v>segundo</v>
      </c>
      <c r="D227" s="2" t="str">
        <f ca="1">IFERROR(__xludf.DUMMYFUNCTION("GOOGLETRANSLATE(B227,""en"",""ig"")"),"sekon")</f>
        <v>sekon</v>
      </c>
      <c r="E227" s="2" t="str">
        <f ca="1">IFERROR(__xludf.DUMMYFUNCTION("GOOGLETRANSLATE(B227,""en"",""fr"")"),"deuxième")</f>
        <v>deuxième</v>
      </c>
      <c r="F227" s="2" t="str">
        <f ca="1">IFERROR(__xludf.DUMMYFUNCTION("GOOGLETRANSLATE(B227,""en"",""it"")"),"secondo")</f>
        <v>secondo</v>
      </c>
      <c r="G227" s="2" t="str">
        <f ca="1">IFERROR(__xludf.DUMMYFUNCTION("GOOGLETRANSLATE(B227,""en"",""de"")"),"zweite")</f>
        <v>zweite</v>
      </c>
      <c r="H227" s="2" t="str">
        <f ca="1">IFERROR(__xludf.DUMMYFUNCTION("GOOGLETRANSLATE(B227,""en"",""zh"")"),"第二")</f>
        <v>第二</v>
      </c>
      <c r="I227" s="2" t="str">
        <f ca="1">IFERROR(__xludf.DUMMYFUNCTION("GOOGLETRANSLATE(B227,""en"",""gd"")"),"an dàrna")</f>
        <v>an dàrna</v>
      </c>
    </row>
    <row r="228" spans="1:9" ht="14.25" customHeight="1" x14ac:dyDescent="0.3">
      <c r="A228" s="2">
        <v>227</v>
      </c>
      <c r="B228" s="3" t="s">
        <v>235</v>
      </c>
      <c r="C228" s="2" t="str">
        <f ca="1">IFERROR(__xludf.DUMMYFUNCTION("GOOGLETRANSLATE(B228, ""en"",""es"")"),"aunque")</f>
        <v>aunque</v>
      </c>
      <c r="D228" s="2" t="str">
        <f ca="1">IFERROR(__xludf.DUMMYFUNCTION("GOOGLETRANSLATE(B228,""en"",""ig"")"),"doo")</f>
        <v>doo</v>
      </c>
      <c r="E228" s="2" t="str">
        <f ca="1">IFERROR(__xludf.DUMMYFUNCTION("GOOGLETRANSLATE(B228,""en"",""fr"")"),"cependant")</f>
        <v>cependant</v>
      </c>
      <c r="F228" s="2" t="str">
        <f ca="1">IFERROR(__xludf.DUMMYFUNCTION("GOOGLETRANSLATE(B228,""en"",""it"")"),"Anche se")</f>
        <v>Anche se</v>
      </c>
      <c r="G228" s="2" t="str">
        <f ca="1">IFERROR(__xludf.DUMMYFUNCTION("GOOGLETRANSLATE(B228,""en"",""de"")"),"obwohl")</f>
        <v>obwohl</v>
      </c>
      <c r="H228" s="2" t="str">
        <f ca="1">IFERROR(__xludf.DUMMYFUNCTION("GOOGLETRANSLATE(B228,""en"",""zh"")"),"尽管")</f>
        <v>尽管</v>
      </c>
      <c r="I228" s="2" t="str">
        <f ca="1">IFERROR(__xludf.DUMMYFUNCTION("GOOGLETRANSLATE(B228,""en"",""gd"")"),"ged")</f>
        <v>ged</v>
      </c>
    </row>
    <row r="229" spans="1:9" ht="14.25" customHeight="1" x14ac:dyDescent="0.3">
      <c r="A229" s="2">
        <v>228</v>
      </c>
      <c r="B229" s="3" t="s">
        <v>236</v>
      </c>
      <c r="C229" s="2" t="str">
        <f ca="1">IFERROR(__xludf.DUMMYFUNCTION("GOOGLETRANSLATE(B229, ""en"",""es"")"),"Sí")</f>
        <v>Sí</v>
      </c>
      <c r="D229" s="2" t="str">
        <f ca="1">IFERROR(__xludf.DUMMYFUNCTION("GOOGLETRANSLATE(B229,""en"",""ig"")"),"okwukwe")</f>
        <v>okwukwe</v>
      </c>
      <c r="E229" s="2" t="str">
        <f ca="1">IFERROR(__xludf.DUMMYFUNCTION("GOOGLETRANSLATE(B229,""en"",""fr"")"),"Oui")</f>
        <v>Oui</v>
      </c>
      <c r="F229" s="2" t="str">
        <f ca="1">IFERROR(__xludf.DUMMYFUNCTION("GOOGLETRANSLATE(B229,""en"",""it"")"),"SÌ")</f>
        <v>SÌ</v>
      </c>
      <c r="G229" s="2" t="str">
        <f ca="1">IFERROR(__xludf.DUMMYFUNCTION("GOOGLETRANSLATE(B229,""en"",""de"")"),"Ja")</f>
        <v>Ja</v>
      </c>
      <c r="H229" s="2" t="str">
        <f ca="1">IFERROR(__xludf.DUMMYFUNCTION("GOOGLETRANSLATE(B229,""en"",""zh"")"),"是的")</f>
        <v>是的</v>
      </c>
      <c r="I229" s="2" t="str">
        <f ca="1">IFERROR(__xludf.DUMMYFUNCTION("GOOGLETRANSLATE(B229,""en"",""gd"")"),"Tha")</f>
        <v>Tha</v>
      </c>
    </row>
    <row r="230" spans="1:9" ht="14.25" customHeight="1" x14ac:dyDescent="0.3">
      <c r="A230" s="2">
        <v>229</v>
      </c>
      <c r="B230" s="3" t="s">
        <v>237</v>
      </c>
      <c r="C230" s="2" t="str">
        <f ca="1">IFERROR(__xludf.DUMMYFUNCTION("GOOGLETRANSLATE(B230, ""en"",""es"")"),"amar")</f>
        <v>amar</v>
      </c>
      <c r="D230" s="2" t="str">
        <f ca="1">IFERROR(__xludf.DUMMYFUNCTION("GOOGLETRANSLATE(B230,""en"",""ig"")"),"ihunaanya")</f>
        <v>ihunaanya</v>
      </c>
      <c r="E230" s="2" t="str">
        <f ca="1">IFERROR(__xludf.DUMMYFUNCTION("GOOGLETRANSLATE(B230,""en"",""fr"")"),"amour")</f>
        <v>amour</v>
      </c>
      <c r="F230" s="2" t="str">
        <f ca="1">IFERROR(__xludf.DUMMYFUNCTION("GOOGLETRANSLATE(B230,""en"",""it"")"),"Amore")</f>
        <v>Amore</v>
      </c>
      <c r="G230" s="2" t="str">
        <f ca="1">IFERROR(__xludf.DUMMYFUNCTION("GOOGLETRANSLATE(B230,""en"",""de"")"),"Liebe")</f>
        <v>Liebe</v>
      </c>
      <c r="H230" s="2" t="str">
        <f ca="1">IFERROR(__xludf.DUMMYFUNCTION("GOOGLETRANSLATE(B230,""en"",""zh"")"),"爱")</f>
        <v>爱</v>
      </c>
      <c r="I230" s="2" t="str">
        <f ca="1">IFERROR(__xludf.DUMMYFUNCTION("GOOGLETRANSLATE(B230,""en"",""gd"")"),"gaol")</f>
        <v>gaol</v>
      </c>
    </row>
    <row r="231" spans="1:9" ht="14.25" customHeight="1" x14ac:dyDescent="0.3">
      <c r="A231" s="2">
        <v>230</v>
      </c>
      <c r="B231" s="3" t="s">
        <v>238</v>
      </c>
      <c r="C231" s="2" t="str">
        <f ca="1">IFERROR(__xludf.DUMMYFUNCTION("GOOGLETRANSLATE(B231, ""en"",""es"")"),"aumentar")</f>
        <v>aumentar</v>
      </c>
      <c r="D231" s="2" t="str">
        <f ca="1">IFERROR(__xludf.DUMMYFUNCTION("GOOGLETRANSLATE(B231,""en"",""ig"")"),"mmubanye")</f>
        <v>mmubanye</v>
      </c>
      <c r="E231" s="2" t="str">
        <f ca="1">IFERROR(__xludf.DUMMYFUNCTION("GOOGLETRANSLATE(B231,""en"",""fr"")"),"augmenter")</f>
        <v>augmenter</v>
      </c>
      <c r="F231" s="2" t="str">
        <f ca="1">IFERROR(__xludf.DUMMYFUNCTION("GOOGLETRANSLATE(B231,""en"",""it"")"),"aumento")</f>
        <v>aumento</v>
      </c>
      <c r="G231" s="2" t="str">
        <f ca="1">IFERROR(__xludf.DUMMYFUNCTION("GOOGLETRANSLATE(B231,""en"",""de"")"),"Zunahme")</f>
        <v>Zunahme</v>
      </c>
      <c r="H231" s="2" t="str">
        <f ca="1">IFERROR(__xludf.DUMMYFUNCTION("GOOGLETRANSLATE(B231,""en"",""zh"")"),"增加")</f>
        <v>增加</v>
      </c>
      <c r="I231" s="2" t="str">
        <f ca="1">IFERROR(__xludf.DUMMYFUNCTION("GOOGLETRANSLATE(B231,""en"",""gd"")"),"àrdachadh")</f>
        <v>àrdachadh</v>
      </c>
    </row>
    <row r="232" spans="1:9" ht="14.25" customHeight="1" x14ac:dyDescent="0.3">
      <c r="A232" s="2">
        <v>231</v>
      </c>
      <c r="B232" s="3" t="s">
        <v>239</v>
      </c>
      <c r="C232" s="2" t="str">
        <f ca="1">IFERROR(__xludf.DUMMYFUNCTION("GOOGLETRANSLATE(B232, ""en"",""es"")"),"trabajo")</f>
        <v>trabajo</v>
      </c>
      <c r="D232" s="2" t="str">
        <f ca="1">IFERROR(__xludf.DUMMYFUNCTION("GOOGLETRANSLATE(B232,""en"",""ig"")"),"oru")</f>
        <v>oru</v>
      </c>
      <c r="E232" s="2" t="str">
        <f ca="1">IFERROR(__xludf.DUMMYFUNCTION("GOOGLETRANSLATE(B232,""en"",""fr"")"),"emploi")</f>
        <v>emploi</v>
      </c>
      <c r="F232" s="2" t="str">
        <f ca="1">IFERROR(__xludf.DUMMYFUNCTION("GOOGLETRANSLATE(B232,""en"",""it"")"),"lavoro")</f>
        <v>lavoro</v>
      </c>
      <c r="G232" s="2" t="str">
        <f ca="1">IFERROR(__xludf.DUMMYFUNCTION("GOOGLETRANSLATE(B232,""en"",""de"")"),"Arbeit")</f>
        <v>Arbeit</v>
      </c>
      <c r="H232" s="2" t="str">
        <f ca="1">IFERROR(__xludf.DUMMYFUNCTION("GOOGLETRANSLATE(B232,""en"",""zh"")"),"工作")</f>
        <v>工作</v>
      </c>
      <c r="I232" s="2" t="str">
        <f ca="1">IFERROR(__xludf.DUMMYFUNCTION("GOOGLETRANSLATE(B232,""en"",""gd"")"),"Iob")</f>
        <v>Iob</v>
      </c>
    </row>
    <row r="233" spans="1:9" ht="14.25" customHeight="1" x14ac:dyDescent="0.3">
      <c r="A233" s="2">
        <v>232</v>
      </c>
      <c r="B233" s="3" t="s">
        <v>240</v>
      </c>
      <c r="C233" s="2" t="str">
        <f ca="1">IFERROR(__xludf.DUMMYFUNCTION("GOOGLETRANSLATE(B233, ""en"",""es"")"),"plan")</f>
        <v>plan</v>
      </c>
      <c r="D233" s="2" t="str">
        <f ca="1">IFERROR(__xludf.DUMMYFUNCTION("GOOGLETRANSLATE(B233,""en"",""ig"")"),"plan")</f>
        <v>plan</v>
      </c>
      <c r="E233" s="2" t="str">
        <f ca="1">IFERROR(__xludf.DUMMYFUNCTION("GOOGLETRANSLATE(B233,""en"",""fr"")"),"plan")</f>
        <v>plan</v>
      </c>
      <c r="F233" s="2" t="str">
        <f ca="1">IFERROR(__xludf.DUMMYFUNCTION("GOOGLETRANSLATE(B233,""en"",""it"")"),"piano")</f>
        <v>piano</v>
      </c>
      <c r="G233" s="2" t="str">
        <f ca="1">IFERROR(__xludf.DUMMYFUNCTION("GOOGLETRANSLATE(B233,""en"",""de"")"),"planen")</f>
        <v>planen</v>
      </c>
      <c r="H233" s="2" t="str">
        <f ca="1">IFERROR(__xludf.DUMMYFUNCTION("GOOGLETRANSLATE(B233,""en"",""zh"")"),"计划")</f>
        <v>计划</v>
      </c>
      <c r="I233" s="2" t="str">
        <f ca="1">IFERROR(__xludf.DUMMYFUNCTION("GOOGLETRANSLATE(B233,""en"",""gd"")"),"plana")</f>
        <v>plana</v>
      </c>
    </row>
    <row r="234" spans="1:9" ht="14.25" customHeight="1" x14ac:dyDescent="0.3">
      <c r="A234" s="2">
        <v>233</v>
      </c>
      <c r="B234" s="3" t="s">
        <v>241</v>
      </c>
      <c r="C234" s="2" t="str">
        <f ca="1">IFERROR(__xludf.DUMMYFUNCTION("GOOGLETRANSLATE(B234, ""en"",""es"")"),"resultado")</f>
        <v>resultado</v>
      </c>
      <c r="D234" s="2" t="str">
        <f ca="1">IFERROR(__xludf.DUMMYFUNCTION("GOOGLETRANSLATE(B234,""en"",""ig"")"),"rizootu")</f>
        <v>rizootu</v>
      </c>
      <c r="E234" s="2" t="str">
        <f ca="1">IFERROR(__xludf.DUMMYFUNCTION("GOOGLETRANSLATE(B234,""en"",""fr"")"),"résultat")</f>
        <v>résultat</v>
      </c>
      <c r="F234" s="2" t="str">
        <f ca="1">IFERROR(__xludf.DUMMYFUNCTION("GOOGLETRANSLATE(B234,""en"",""it"")"),"risultato")</f>
        <v>risultato</v>
      </c>
      <c r="G234" s="2" t="str">
        <f ca="1">IFERROR(__xludf.DUMMYFUNCTION("GOOGLETRANSLATE(B234,""en"",""de"")"),"Ergebnis")</f>
        <v>Ergebnis</v>
      </c>
      <c r="H234" s="2" t="str">
        <f ca="1">IFERROR(__xludf.DUMMYFUNCTION("GOOGLETRANSLATE(B234,""en"",""zh"")"),"结果")</f>
        <v>结果</v>
      </c>
      <c r="I234" s="2" t="str">
        <f ca="1">IFERROR(__xludf.DUMMYFUNCTION("GOOGLETRANSLATE(B234,""en"",""gd"")"),"Toradh")</f>
        <v>Toradh</v>
      </c>
    </row>
    <row r="235" spans="1:9" ht="14.25" customHeight="1" x14ac:dyDescent="0.3">
      <c r="A235" s="2">
        <v>234</v>
      </c>
      <c r="B235" s="3" t="s">
        <v>242</v>
      </c>
      <c r="C235" s="2" t="str">
        <f ca="1">IFERROR(__xludf.DUMMYFUNCTION("GOOGLETRANSLATE(B235, ""en"",""es"")"),"lejos")</f>
        <v>lejos</v>
      </c>
      <c r="D235" s="2" t="str">
        <f ca="1">IFERROR(__xludf.DUMMYFUNCTION("GOOGLETRANSLATE(B235,""en"",""ig"")"),"opupu")</f>
        <v>opupu</v>
      </c>
      <c r="E235" s="2" t="str">
        <f ca="1">IFERROR(__xludf.DUMMYFUNCTION("GOOGLETRANSLATE(B235,""en"",""fr"")"),"loin")</f>
        <v>loin</v>
      </c>
      <c r="F235" s="2" t="str">
        <f ca="1">IFERROR(__xludf.DUMMYFUNCTION("GOOGLETRANSLATE(B235,""en"",""it"")"),"lontano")</f>
        <v>lontano</v>
      </c>
      <c r="G235" s="2" t="str">
        <f ca="1">IFERROR(__xludf.DUMMYFUNCTION("GOOGLETRANSLATE(B235,""en"",""de"")"),"weg")</f>
        <v>weg</v>
      </c>
      <c r="H235" s="2" t="str">
        <f ca="1">IFERROR(__xludf.DUMMYFUNCTION("GOOGLETRANSLATE(B235,""en"",""zh"")"),"离开")</f>
        <v>离开</v>
      </c>
      <c r="I235" s="2" t="str">
        <f ca="1">IFERROR(__xludf.DUMMYFUNCTION("GOOGLETRANSLATE(B235,""en"",""gd"")"),"air falbh")</f>
        <v>air falbh</v>
      </c>
    </row>
    <row r="236" spans="1:9" ht="14.25" customHeight="1" x14ac:dyDescent="0.3">
      <c r="A236" s="2">
        <v>235</v>
      </c>
      <c r="B236" s="3" t="s">
        <v>243</v>
      </c>
      <c r="C236" s="2" t="str">
        <f ca="1">IFERROR(__xludf.DUMMYFUNCTION("GOOGLETRANSLATE(B236, ""en"",""es"")"),"ejemplo")</f>
        <v>ejemplo</v>
      </c>
      <c r="D236" s="2" t="str">
        <f ca="1">IFERROR(__xludf.DUMMYFUNCTION("GOOGLETRANSLATE(B236,""en"",""ig"")"),"omuma atu")</f>
        <v>omuma atu</v>
      </c>
      <c r="E236" s="2" t="str">
        <f ca="1">IFERROR(__xludf.DUMMYFUNCTION("GOOGLETRANSLATE(B236,""en"",""fr"")"),"exemple")</f>
        <v>exemple</v>
      </c>
      <c r="F236" s="2" t="str">
        <f ca="1">IFERROR(__xludf.DUMMYFUNCTION("GOOGLETRANSLATE(B236,""en"",""it"")"),"esempio")</f>
        <v>esempio</v>
      </c>
      <c r="G236" s="2" t="str">
        <f ca="1">IFERROR(__xludf.DUMMYFUNCTION("GOOGLETRANSLATE(B236,""en"",""de"")"),"Beispiel")</f>
        <v>Beispiel</v>
      </c>
      <c r="H236" s="2" t="str">
        <f ca="1">IFERROR(__xludf.DUMMYFUNCTION("GOOGLETRANSLATE(B236,""en"",""zh"")"),"例子")</f>
        <v>例子</v>
      </c>
      <c r="I236" s="2" t="str">
        <f ca="1">IFERROR(__xludf.DUMMYFUNCTION("GOOGLETRANSLATE(B236,""en"",""gd"")"),"Eisimpleir")</f>
        <v>Eisimpleir</v>
      </c>
    </row>
    <row r="237" spans="1:9" ht="14.25" customHeight="1" x14ac:dyDescent="0.3">
      <c r="A237" s="2">
        <v>236</v>
      </c>
      <c r="B237" s="3" t="s">
        <v>244</v>
      </c>
      <c r="C237" s="2" t="str">
        <f ca="1">IFERROR(__xludf.DUMMYFUNCTION("GOOGLETRANSLATE(B237, ""en"",""es"")"),"suceder")</f>
        <v>suceder</v>
      </c>
      <c r="D237" s="2" t="str">
        <f ca="1">IFERROR(__xludf.DUMMYFUNCTION("GOOGLETRANSLATE(B237,""en"",""ig"")"),"ime eme")</f>
        <v>ime eme</v>
      </c>
      <c r="E237" s="2" t="str">
        <f ca="1">IFERROR(__xludf.DUMMYFUNCTION("GOOGLETRANSLATE(B237,""en"",""fr"")"),"arriver")</f>
        <v>arriver</v>
      </c>
      <c r="F237" s="2" t="str">
        <f ca="1">IFERROR(__xludf.DUMMYFUNCTION("GOOGLETRANSLATE(B237,""en"",""it"")"),"accadere")</f>
        <v>accadere</v>
      </c>
      <c r="G237" s="2" t="str">
        <f ca="1">IFERROR(__xludf.DUMMYFUNCTION("GOOGLETRANSLATE(B237,""en"",""de"")"),"passieren")</f>
        <v>passieren</v>
      </c>
      <c r="H237" s="2" t="str">
        <f ca="1">IFERROR(__xludf.DUMMYFUNCTION("GOOGLETRANSLATE(B237,""en"",""zh"")"),"发生")</f>
        <v>发生</v>
      </c>
      <c r="I237" s="2" t="str">
        <f ca="1">IFERROR(__xludf.DUMMYFUNCTION("GOOGLETRANSLATE(B237,""en"",""gd"")"),"tachairt")</f>
        <v>tachairt</v>
      </c>
    </row>
    <row r="238" spans="1:9" ht="14.25" customHeight="1" x14ac:dyDescent="0.3">
      <c r="A238" s="2">
        <v>237</v>
      </c>
      <c r="B238" s="3" t="s">
        <v>245</v>
      </c>
      <c r="C238" s="2" t="str">
        <f ca="1">IFERROR(__xludf.DUMMYFUNCTION("GOOGLETRANSLATE(B238, ""en"",""es"")"),"oferta")</f>
        <v>oferta</v>
      </c>
      <c r="D238" s="2" t="str">
        <f ca="1">IFERROR(__xludf.DUMMYFUNCTION("GOOGLETRANSLATE(B238,""en"",""ig"")"),"mmere")</f>
        <v>mmere</v>
      </c>
      <c r="E238" s="2" t="str">
        <f ca="1">IFERROR(__xludf.DUMMYFUNCTION("GOOGLETRANSLATE(B238,""en"",""fr"")"),"offre")</f>
        <v>offre</v>
      </c>
      <c r="F238" s="2" t="str">
        <f ca="1">IFERROR(__xludf.DUMMYFUNCTION("GOOGLETRANSLATE(B238,""en"",""it"")"),"offerta")</f>
        <v>offerta</v>
      </c>
      <c r="G238" s="2" t="str">
        <f ca="1">IFERROR(__xludf.DUMMYFUNCTION("GOOGLETRANSLATE(B238,""en"",""de"")"),"Angebot")</f>
        <v>Angebot</v>
      </c>
      <c r="H238" s="2" t="str">
        <f ca="1">IFERROR(__xludf.DUMMYFUNCTION("GOOGLETRANSLATE(B238,""en"",""zh"")"),"提供")</f>
        <v>提供</v>
      </c>
      <c r="I238" s="2" t="str">
        <f ca="1">IFERROR(__xludf.DUMMYFUNCTION("GOOGLETRANSLATE(B238,""en"",""gd"")"),"Tairgse")</f>
        <v>Tairgse</v>
      </c>
    </row>
    <row r="239" spans="1:9" ht="14.25" customHeight="1" x14ac:dyDescent="0.3">
      <c r="A239" s="2">
        <v>238</v>
      </c>
      <c r="B239" s="3" t="s">
        <v>246</v>
      </c>
      <c r="C239" s="2" t="str">
        <f ca="1">IFERROR(__xludf.DUMMYFUNCTION("GOOGLETRANSLATE(B239, ""en"",""es"")"),"joven")</f>
        <v>joven</v>
      </c>
      <c r="D239" s="2" t="str">
        <f ca="1">IFERROR(__xludf.DUMMYFUNCTION("GOOGLETRANSLATE(B239,""en"",""ig"")"),"keetghieto")</f>
        <v>keetghieto</v>
      </c>
      <c r="E239" s="2" t="str">
        <f ca="1">IFERROR(__xludf.DUMMYFUNCTION("GOOGLETRANSLATE(B239,""en"",""fr"")"),"jeune")</f>
        <v>jeune</v>
      </c>
      <c r="F239" s="2" t="str">
        <f ca="1">IFERROR(__xludf.DUMMYFUNCTION("GOOGLETRANSLATE(B239,""en"",""it"")"),"giovane")</f>
        <v>giovane</v>
      </c>
      <c r="G239" s="2" t="str">
        <f ca="1">IFERROR(__xludf.DUMMYFUNCTION("GOOGLETRANSLATE(B239,""en"",""de"")"),"jung")</f>
        <v>jung</v>
      </c>
      <c r="H239" s="2" t="str">
        <f ca="1">IFERROR(__xludf.DUMMYFUNCTION("GOOGLETRANSLATE(B239,""en"",""zh"")"),"年轻的")</f>
        <v>年轻的</v>
      </c>
      <c r="I239" s="2" t="str">
        <f ca="1">IFERROR(__xludf.DUMMYFUNCTION("GOOGLETRANSLATE(B239,""en"",""gd"")"),"Young")</f>
        <v>Young</v>
      </c>
    </row>
    <row r="240" spans="1:9" ht="14.25" customHeight="1" x14ac:dyDescent="0.3">
      <c r="A240" s="2">
        <v>239</v>
      </c>
      <c r="B240" s="3" t="s">
        <v>247</v>
      </c>
      <c r="C240" s="2" t="str">
        <f ca="1">IFERROR(__xludf.DUMMYFUNCTION("GOOGLETRANSLATE(B240, ""en"",""es"")"),"cerca")</f>
        <v>cerca</v>
      </c>
      <c r="D240" s="2" t="str">
        <f ca="1">IFERROR(__xludf.DUMMYFUNCTION("GOOGLETRANSLATE(B240,""en"",""ig"")"),"mechie")</f>
        <v>mechie</v>
      </c>
      <c r="E240" s="2" t="str">
        <f ca="1">IFERROR(__xludf.DUMMYFUNCTION("GOOGLETRANSLATE(B240,""en"",""fr"")"),"fermer")</f>
        <v>fermer</v>
      </c>
      <c r="F240" s="2" t="str">
        <f ca="1">IFERROR(__xludf.DUMMYFUNCTION("GOOGLETRANSLATE(B240,""en"",""it"")"),"vicino")</f>
        <v>vicino</v>
      </c>
      <c r="G240" s="2" t="str">
        <f ca="1">IFERROR(__xludf.DUMMYFUNCTION("GOOGLETRANSLATE(B240,""en"",""de"")"),"schließen")</f>
        <v>schließen</v>
      </c>
      <c r="H240" s="2" t="str">
        <f ca="1">IFERROR(__xludf.DUMMYFUNCTION("GOOGLETRANSLATE(B240,""en"",""zh"")"),"关闭")</f>
        <v>关闭</v>
      </c>
      <c r="I240" s="2" t="str">
        <f ca="1">IFERROR(__xludf.DUMMYFUNCTION("GOOGLETRANSLATE(B240,""en"",""gd"")"),"Dùin")</f>
        <v>Dùin</v>
      </c>
    </row>
    <row r="241" spans="1:9" ht="14.25" customHeight="1" x14ac:dyDescent="0.3">
      <c r="A241" s="2">
        <v>240</v>
      </c>
      <c r="B241" s="3" t="s">
        <v>248</v>
      </c>
      <c r="C241" s="2" t="str">
        <f ca="1">IFERROR(__xludf.DUMMYFUNCTION("GOOGLETRANSLATE(B241, ""en"",""es"")"),"programa")</f>
        <v>programa</v>
      </c>
      <c r="D241" s="2" t="str">
        <f ca="1">IFERROR(__xludf.DUMMYFUNCTION("GOOGLETRANSLATE(B241,""en"",""ig"")"),"atumatu")</f>
        <v>atumatu</v>
      </c>
      <c r="E241" s="2" t="str">
        <f ca="1">IFERROR(__xludf.DUMMYFUNCTION("GOOGLETRANSLATE(B241,""en"",""fr"")"),"programme")</f>
        <v>programme</v>
      </c>
      <c r="F241" s="2" t="str">
        <f ca="1">IFERROR(__xludf.DUMMYFUNCTION("GOOGLETRANSLATE(B241,""en"",""it"")"),"programma")</f>
        <v>programma</v>
      </c>
      <c r="G241" s="2" t="str">
        <f ca="1">IFERROR(__xludf.DUMMYFUNCTION("GOOGLETRANSLATE(B241,""en"",""de"")"),"Programm")</f>
        <v>Programm</v>
      </c>
      <c r="H241" s="2" t="str">
        <f ca="1">IFERROR(__xludf.DUMMYFUNCTION("GOOGLETRANSLATE(B241,""en"",""zh"")"),"程序")</f>
        <v>程序</v>
      </c>
      <c r="I241" s="2" t="str">
        <f ca="1">IFERROR(__xludf.DUMMYFUNCTION("GOOGLETRANSLATE(B241,""en"",""gd"")"),"Prògram")</f>
        <v>Prògram</v>
      </c>
    </row>
    <row r="242" spans="1:9" ht="14.25" customHeight="1" x14ac:dyDescent="0.3">
      <c r="A242" s="2">
        <v>241</v>
      </c>
      <c r="B242" s="3" t="s">
        <v>249</v>
      </c>
      <c r="C242" s="2" t="str">
        <f ca="1">IFERROR(__xludf.DUMMYFUNCTION("GOOGLETRANSLATE(B242, ""en"",""es"")"),"dirigir")</f>
        <v>dirigir</v>
      </c>
      <c r="D242" s="2" t="str">
        <f ca="1">IFERROR(__xludf.DUMMYFUNCTION("GOOGLETRANSLATE(B242,""en"",""ig"")"),"izizi")</f>
        <v>izizi</v>
      </c>
      <c r="E242" s="2" t="str">
        <f ca="1">IFERROR(__xludf.DUMMYFUNCTION("GOOGLETRANSLATE(B242,""en"",""fr"")"),"plomb")</f>
        <v>plomb</v>
      </c>
      <c r="F242" s="2" t="str">
        <f ca="1">IFERROR(__xludf.DUMMYFUNCTION("GOOGLETRANSLATE(B242,""en"",""it"")"),"Guida")</f>
        <v>Guida</v>
      </c>
      <c r="G242" s="2" t="str">
        <f ca="1">IFERROR(__xludf.DUMMYFUNCTION("GOOGLETRANSLATE(B242,""en"",""de"")"),"führen")</f>
        <v>führen</v>
      </c>
      <c r="H242" s="2" t="str">
        <f ca="1">IFERROR(__xludf.DUMMYFUNCTION("GOOGLETRANSLATE(B242,""en"",""zh"")"),"带领")</f>
        <v>带领</v>
      </c>
      <c r="I242" s="2" t="str">
        <f ca="1">IFERROR(__xludf.DUMMYFUNCTION("GOOGLETRANSLATE(B242,""en"",""gd"")"),"luaidhe")</f>
        <v>luaidhe</v>
      </c>
    </row>
    <row r="243" spans="1:9" ht="14.25" customHeight="1" x14ac:dyDescent="0.3">
      <c r="A243" s="2">
        <v>242</v>
      </c>
      <c r="B243" s="3" t="s">
        <v>250</v>
      </c>
      <c r="C243" s="2" t="str">
        <f ca="1">IFERROR(__xludf.DUMMYFUNCTION("GOOGLETRANSLATE(B243, ""en"",""es"")"),"comprar")</f>
        <v>comprar</v>
      </c>
      <c r="D243" s="2" t="str">
        <f ca="1">IFERROR(__xludf.DUMMYFUNCTION("GOOGLETRANSLATE(B243,""en"",""ig"")"),"izu")</f>
        <v>izu</v>
      </c>
      <c r="E243" s="2" t="str">
        <f ca="1">IFERROR(__xludf.DUMMYFUNCTION("GOOGLETRANSLATE(B243,""en"",""fr"")"),"acheter")</f>
        <v>acheter</v>
      </c>
      <c r="F243" s="2" t="str">
        <f ca="1">IFERROR(__xludf.DUMMYFUNCTION("GOOGLETRANSLATE(B243,""en"",""it"")"),"acquistare")</f>
        <v>acquistare</v>
      </c>
      <c r="G243" s="2" t="str">
        <f ca="1">IFERROR(__xludf.DUMMYFUNCTION("GOOGLETRANSLATE(B243,""en"",""de"")"),"kaufen")</f>
        <v>kaufen</v>
      </c>
      <c r="H243" s="2" t="str">
        <f ca="1">IFERROR(__xludf.DUMMYFUNCTION("GOOGLETRANSLATE(B243,""en"",""zh"")"),"买")</f>
        <v>买</v>
      </c>
      <c r="I243" s="2" t="str">
        <f ca="1">IFERROR(__xludf.DUMMYFUNCTION("GOOGLETRANSLATE(B243,""en"",""gd"")"),"ceannaich")</f>
        <v>ceannaich</v>
      </c>
    </row>
    <row r="244" spans="1:9" ht="14.25" customHeight="1" x14ac:dyDescent="0.3">
      <c r="A244" s="2">
        <v>243</v>
      </c>
      <c r="B244" s="3" t="s">
        <v>251</v>
      </c>
      <c r="C244" s="2" t="str">
        <f ca="1">IFERROR(__xludf.DUMMYFUNCTION("GOOGLETRANSLATE(B244, ""en"",""es"")"),"entender")</f>
        <v>entender</v>
      </c>
      <c r="D244" s="2" t="str">
        <f ca="1">IFERROR(__xludf.DUMMYFUNCTION("GOOGLETRANSLATE(B244,""en"",""ig"")"),"ighota")</f>
        <v>ighota</v>
      </c>
      <c r="E244" s="2" t="str">
        <f ca="1">IFERROR(__xludf.DUMMYFUNCTION("GOOGLETRANSLATE(B244,""en"",""fr"")"),"comprendre")</f>
        <v>comprendre</v>
      </c>
      <c r="F244" s="2" t="str">
        <f ca="1">IFERROR(__xludf.DUMMYFUNCTION("GOOGLETRANSLATE(B244,""en"",""it"")"),"capire")</f>
        <v>capire</v>
      </c>
      <c r="G244" s="2" t="str">
        <f ca="1">IFERROR(__xludf.DUMMYFUNCTION("GOOGLETRANSLATE(B244,""en"",""de"")"),"verstehen")</f>
        <v>verstehen</v>
      </c>
      <c r="H244" s="2" t="str">
        <f ca="1">IFERROR(__xludf.DUMMYFUNCTION("GOOGLETRANSLATE(B244,""en"",""zh"")"),"理解")</f>
        <v>理解</v>
      </c>
      <c r="I244" s="2" t="str">
        <f ca="1">IFERROR(__xludf.DUMMYFUNCTION("GOOGLETRANSLATE(B244,""en"",""gd"")"),"tuigsinn")</f>
        <v>tuigsinn</v>
      </c>
    </row>
    <row r="245" spans="1:9" ht="14.25" customHeight="1" x14ac:dyDescent="0.3">
      <c r="A245" s="2">
        <v>244</v>
      </c>
      <c r="B245" s="3" t="s">
        <v>252</v>
      </c>
      <c r="C245" s="2" t="str">
        <f ca="1">IFERROR(__xludf.DUMMYFUNCTION("GOOGLETRANSLATE(B245, ""en"",""es"")"),"agradecer")</f>
        <v>agradecer</v>
      </c>
      <c r="D245" s="2" t="str">
        <f ca="1">IFERROR(__xludf.DUMMYFUNCTION("GOOGLETRANSLATE(B245,""en"",""ig"")"),"ikele")</f>
        <v>ikele</v>
      </c>
      <c r="E245" s="2" t="str">
        <f ca="1">IFERROR(__xludf.DUMMYFUNCTION("GOOGLETRANSLATE(B245,""en"",""fr"")"),"remercier")</f>
        <v>remercier</v>
      </c>
      <c r="F245" s="2" t="str">
        <f ca="1">IFERROR(__xludf.DUMMYFUNCTION("GOOGLETRANSLATE(B245,""en"",""it"")"),"Grazie")</f>
        <v>Grazie</v>
      </c>
      <c r="G245" s="2" t="str">
        <f ca="1">IFERROR(__xludf.DUMMYFUNCTION("GOOGLETRANSLATE(B245,""en"",""de"")"),"Dank")</f>
        <v>Dank</v>
      </c>
      <c r="H245" s="2" t="str">
        <f ca="1">IFERROR(__xludf.DUMMYFUNCTION("GOOGLETRANSLATE(B245,""en"",""zh"")"),"感谢")</f>
        <v>感谢</v>
      </c>
      <c r="I245" s="2" t="str">
        <f ca="1">IFERROR(__xludf.DUMMYFUNCTION("GOOGLETRANSLATE(B245,""en"",""gd"")"),"taing")</f>
        <v>taing</v>
      </c>
    </row>
    <row r="246" spans="1:9" ht="14.25" customHeight="1" x14ac:dyDescent="0.3">
      <c r="A246" s="2">
        <v>245</v>
      </c>
      <c r="B246" s="3" t="s">
        <v>253</v>
      </c>
      <c r="C246" s="2" t="str">
        <f ca="1">IFERROR(__xludf.DUMMYFUNCTION("GOOGLETRANSLATE(B246, ""en"",""es"")"),"lejos")</f>
        <v>lejos</v>
      </c>
      <c r="D246" s="2" t="str">
        <f ca="1">IFERROR(__xludf.DUMMYFUNCTION("GOOGLETRANSLATE(B246,""en"",""ig"")"),"kento aka")</f>
        <v>kento aka</v>
      </c>
      <c r="E246" s="2" t="str">
        <f ca="1">IFERROR(__xludf.DUMMYFUNCTION("GOOGLETRANSLATE(B246,""en"",""fr"")"),"loin")</f>
        <v>loin</v>
      </c>
      <c r="F246" s="2" t="str">
        <f ca="1">IFERROR(__xludf.DUMMYFUNCTION("GOOGLETRANSLATE(B246,""en"",""it"")"),"lontano")</f>
        <v>lontano</v>
      </c>
      <c r="G246" s="2" t="str">
        <f ca="1">IFERROR(__xludf.DUMMYFUNCTION("GOOGLETRANSLATE(B246,""en"",""de"")"),"weit")</f>
        <v>weit</v>
      </c>
      <c r="H246" s="2" t="str">
        <f ca="1">IFERROR(__xludf.DUMMYFUNCTION("GOOGLETRANSLATE(B246,""en"",""zh"")"),"远的")</f>
        <v>远的</v>
      </c>
      <c r="I246" s="2" t="str">
        <f ca="1">IFERROR(__xludf.DUMMYFUNCTION("GOOGLETRANSLATE(B246,""en"",""gd"")"),"fada")</f>
        <v>fada</v>
      </c>
    </row>
    <row r="247" spans="1:9" ht="14.25" customHeight="1" x14ac:dyDescent="0.3">
      <c r="A247" s="2">
        <v>246</v>
      </c>
      <c r="B247" s="3" t="s">
        <v>254</v>
      </c>
      <c r="C247" s="2" t="str">
        <f ca="1">IFERROR(__xludf.DUMMYFUNCTION("GOOGLETRANSLATE(B247, ""en"",""es"")"),"hoy")</f>
        <v>hoy</v>
      </c>
      <c r="D247" s="2" t="str">
        <f ca="1">IFERROR(__xludf.DUMMYFUNCTION("GOOGLETRANSLATE(B247,""en"",""ig"")"),"taa")</f>
        <v>taa</v>
      </c>
      <c r="E247" s="2" t="str">
        <f ca="1">IFERROR(__xludf.DUMMYFUNCTION("GOOGLETRANSLATE(B247,""en"",""fr"")"),"aujourd'hui")</f>
        <v>aujourd'hui</v>
      </c>
      <c r="F247" s="2" t="str">
        <f ca="1">IFERROR(__xludf.DUMMYFUNCTION("GOOGLETRANSLATE(B247,""en"",""it"")"),"Oggi")</f>
        <v>Oggi</v>
      </c>
      <c r="G247" s="2" t="str">
        <f ca="1">IFERROR(__xludf.DUMMYFUNCTION("GOOGLETRANSLATE(B247,""en"",""de"")"),"Heute")</f>
        <v>Heute</v>
      </c>
      <c r="H247" s="2" t="str">
        <f ca="1">IFERROR(__xludf.DUMMYFUNCTION("GOOGLETRANSLATE(B247,""en"",""zh"")"),"今天")</f>
        <v>今天</v>
      </c>
      <c r="I247" s="2" t="str">
        <f ca="1">IFERROR(__xludf.DUMMYFUNCTION("GOOGLETRANSLATE(B247,""en"",""gd"")"),"an-diugh")</f>
        <v>an-diugh</v>
      </c>
    </row>
    <row r="248" spans="1:9" ht="14.25" customHeight="1" x14ac:dyDescent="0.3">
      <c r="A248" s="2">
        <v>247</v>
      </c>
      <c r="B248" s="3" t="s">
        <v>255</v>
      </c>
      <c r="C248" s="2" t="str">
        <f ca="1">IFERROR(__xludf.DUMMYFUNCTION("GOOGLETRANSLATE(B248, ""en"",""es"")"),"hora")</f>
        <v>hora</v>
      </c>
      <c r="D248" s="2" t="str">
        <f ca="1">IFERROR(__xludf.DUMMYFUNCTION("GOOGLETRANSLATE(B248,""en"",""ig"")"),"oge")</f>
        <v>oge</v>
      </c>
      <c r="E248" s="2" t="str">
        <f ca="1">IFERROR(__xludf.DUMMYFUNCTION("GOOGLETRANSLATE(B248,""en"",""fr"")"),"heure")</f>
        <v>heure</v>
      </c>
      <c r="F248" s="2" t="str">
        <f ca="1">IFERROR(__xludf.DUMMYFUNCTION("GOOGLETRANSLATE(B248,""en"",""it"")"),"ora")</f>
        <v>ora</v>
      </c>
      <c r="G248" s="2" t="str">
        <f ca="1">IFERROR(__xludf.DUMMYFUNCTION("GOOGLETRANSLATE(B248,""en"",""de"")"),"Stunde")</f>
        <v>Stunde</v>
      </c>
      <c r="H248" s="2" t="str">
        <f ca="1">IFERROR(__xludf.DUMMYFUNCTION("GOOGLETRANSLATE(B248,""en"",""zh"")"),"小时")</f>
        <v>小时</v>
      </c>
      <c r="I248" s="2" t="str">
        <f ca="1">IFERROR(__xludf.DUMMYFUNCTION("GOOGLETRANSLATE(B248,""en"",""gd"")"),"uair")</f>
        <v>uair</v>
      </c>
    </row>
    <row r="249" spans="1:9" ht="14.25" customHeight="1" x14ac:dyDescent="0.3">
      <c r="A249" s="2">
        <v>248</v>
      </c>
      <c r="B249" s="3" t="s">
        <v>256</v>
      </c>
      <c r="C249" s="2" t="str">
        <f ca="1">IFERROR(__xludf.DUMMYFUNCTION("GOOGLETRANSLATE(B249, ""en"",""es"")"),"alumno")</f>
        <v>alumno</v>
      </c>
      <c r="D249" s="2" t="str">
        <f ca="1">IFERROR(__xludf.DUMMYFUNCTION("GOOGLETRANSLATE(B249,""en"",""ig"")"),"nwaakwuko nwoke")</f>
        <v>nwaakwuko nwoke</v>
      </c>
      <c r="E249" s="2" t="str">
        <f ca="1">IFERROR(__xludf.DUMMYFUNCTION("GOOGLETRANSLATE(B249,""en"",""fr"")"),"étudiant")</f>
        <v>étudiant</v>
      </c>
      <c r="F249" s="2" t="str">
        <f ca="1">IFERROR(__xludf.DUMMYFUNCTION("GOOGLETRANSLATE(B249,""en"",""it"")"),"alunno")</f>
        <v>alunno</v>
      </c>
      <c r="G249" s="2" t="str">
        <f ca="1">IFERROR(__xludf.DUMMYFUNCTION("GOOGLETRANSLATE(B249,""en"",""de"")"),"Student")</f>
        <v>Student</v>
      </c>
      <c r="H249" s="2" t="str">
        <f ca="1">IFERROR(__xludf.DUMMYFUNCTION("GOOGLETRANSLATE(B249,""en"",""zh"")"),"学生")</f>
        <v>学生</v>
      </c>
      <c r="I249" s="2" t="str">
        <f ca="1">IFERROR(__xludf.DUMMYFUNCTION("GOOGLETRANSLATE(B249,""en"",""gd"")"),"Oileanach")</f>
        <v>Oileanach</v>
      </c>
    </row>
    <row r="250" spans="1:9" ht="14.25" customHeight="1" x14ac:dyDescent="0.3">
      <c r="A250" s="2">
        <v>249</v>
      </c>
      <c r="B250" s="3" t="s">
        <v>257</v>
      </c>
      <c r="C250" s="2" t="str">
        <f ca="1">IFERROR(__xludf.DUMMYFUNCTION("GOOGLETRANSLATE(B250, ""en"",""es"")"),"rostro")</f>
        <v>rostro</v>
      </c>
      <c r="D250" s="2" t="str">
        <f ca="1">IFERROR(__xludf.DUMMYFUNCTION("GOOGLETRANSLATE(B250,""en"",""ig"")"),"ihu")</f>
        <v>ihu</v>
      </c>
      <c r="E250" s="2" t="str">
        <f ca="1">IFERROR(__xludf.DUMMYFUNCTION("GOOGLETRANSLATE(B250,""en"",""fr"")"),"affronter")</f>
        <v>affronter</v>
      </c>
      <c r="F250" s="2" t="str">
        <f ca="1">IFERROR(__xludf.DUMMYFUNCTION("GOOGLETRANSLATE(B250,""en"",""it"")"),"viso")</f>
        <v>viso</v>
      </c>
      <c r="G250" s="2" t="str">
        <f ca="1">IFERROR(__xludf.DUMMYFUNCTION("GOOGLETRANSLATE(B250,""en"",""de"")"),"Gesicht")</f>
        <v>Gesicht</v>
      </c>
      <c r="H250" s="2" t="str">
        <f ca="1">IFERROR(__xludf.DUMMYFUNCTION("GOOGLETRANSLATE(B250,""en"",""zh"")"),"脸")</f>
        <v>脸</v>
      </c>
      <c r="I250" s="2" t="str">
        <f ca="1">IFERROR(__xludf.DUMMYFUNCTION("GOOGLETRANSLATE(B250,""en"",""gd"")"),"aghaidh")</f>
        <v>aghaidh</v>
      </c>
    </row>
    <row r="251" spans="1:9" ht="14.25" customHeight="1" x14ac:dyDescent="0.3">
      <c r="A251" s="2">
        <v>250</v>
      </c>
      <c r="B251" s="3" t="s">
        <v>258</v>
      </c>
      <c r="C251" s="2" t="str">
        <f ca="1">IFERROR(__xludf.DUMMYFUNCTION("GOOGLETRANSLATE(B251, ""en"",""es"")"),"esperanza")</f>
        <v>esperanza</v>
      </c>
      <c r="D251" s="2" t="str">
        <f ca="1">IFERROR(__xludf.DUMMYFUNCTION("GOOGLETRANSLATE(B251,""en"",""ig"")"),"nchekwube")</f>
        <v>nchekwube</v>
      </c>
      <c r="E251" s="2" t="str">
        <f ca="1">IFERROR(__xludf.DUMMYFUNCTION("GOOGLETRANSLATE(B251,""en"",""fr"")"),"espoir")</f>
        <v>espoir</v>
      </c>
      <c r="F251" s="2" t="str">
        <f ca="1">IFERROR(__xludf.DUMMYFUNCTION("GOOGLETRANSLATE(B251,""en"",""it"")"),"Speranza")</f>
        <v>Speranza</v>
      </c>
      <c r="G251" s="2" t="str">
        <f ca="1">IFERROR(__xludf.DUMMYFUNCTION("GOOGLETRANSLATE(B251,""en"",""de"")"),"Hoffnung")</f>
        <v>Hoffnung</v>
      </c>
      <c r="H251" s="2" t="str">
        <f ca="1">IFERROR(__xludf.DUMMYFUNCTION("GOOGLETRANSLATE(B251,""en"",""zh"")"),"希望")</f>
        <v>希望</v>
      </c>
      <c r="I251" s="2" t="str">
        <f ca="1">IFERROR(__xludf.DUMMYFUNCTION("GOOGLETRANSLATE(B251,""en"",""gd"")"),"dòchas")</f>
        <v>dòchas</v>
      </c>
    </row>
    <row r="252" spans="1:9" ht="14.25" customHeight="1" x14ac:dyDescent="0.3">
      <c r="A252" s="2">
        <v>251</v>
      </c>
      <c r="B252" s="3" t="s">
        <v>259</v>
      </c>
      <c r="C252" s="2" t="str">
        <f ca="1">IFERROR(__xludf.DUMMYFUNCTION("GOOGLETRANSLATE(B252, ""en"",""es"")"),"idea")</f>
        <v>idea</v>
      </c>
      <c r="D252" s="2" t="str">
        <f ca="1">IFERROR(__xludf.DUMMYFUNCTION("GOOGLETRANSLATE(B252,""en"",""ig"")"),"echiche")</f>
        <v>echiche</v>
      </c>
      <c r="E252" s="2" t="str">
        <f ca="1">IFERROR(__xludf.DUMMYFUNCTION("GOOGLETRANSLATE(B252,""en"",""fr"")"),"idée")</f>
        <v>idée</v>
      </c>
      <c r="F252" s="2" t="str">
        <f ca="1">IFERROR(__xludf.DUMMYFUNCTION("GOOGLETRANSLATE(B252,""en"",""it"")"),"idea")</f>
        <v>idea</v>
      </c>
      <c r="G252" s="2" t="str">
        <f ca="1">IFERROR(__xludf.DUMMYFUNCTION("GOOGLETRANSLATE(B252,""en"",""de"")"),"Idee")</f>
        <v>Idee</v>
      </c>
      <c r="H252" s="2" t="str">
        <f ca="1">IFERROR(__xludf.DUMMYFUNCTION("GOOGLETRANSLATE(B252,""en"",""zh"")"),"主意")</f>
        <v>主意</v>
      </c>
      <c r="I252" s="2" t="str">
        <f ca="1">IFERROR(__xludf.DUMMYFUNCTION("GOOGLETRANSLATE(B252,""en"",""gd"")"),"Beachd")</f>
        <v>Beachd</v>
      </c>
    </row>
    <row r="253" spans="1:9" ht="14.25" customHeight="1" x14ac:dyDescent="0.3">
      <c r="A253" s="2">
        <v>252</v>
      </c>
      <c r="B253" s="3" t="s">
        <v>260</v>
      </c>
      <c r="C253" s="2" t="str">
        <f ca="1">IFERROR(__xludf.DUMMYFUNCTION("GOOGLETRANSLATE(B253, ""en"",""es"")"),"costo")</f>
        <v>costo</v>
      </c>
      <c r="D253" s="2" t="str">
        <f ca="1">IFERROR(__xludf.DUMMYFUNCTION("GOOGLETRANSLATE(B253,""en"",""ig"")"),"ida onu")</f>
        <v>ida onu</v>
      </c>
      <c r="E253" s="2" t="str">
        <f ca="1">IFERROR(__xludf.DUMMYFUNCTION("GOOGLETRANSLATE(B253,""en"",""fr"")"),"coût")</f>
        <v>coût</v>
      </c>
      <c r="F253" s="2" t="str">
        <f ca="1">IFERROR(__xludf.DUMMYFUNCTION("GOOGLETRANSLATE(B253,""en"",""it"")"),"costo")</f>
        <v>costo</v>
      </c>
      <c r="G253" s="2" t="str">
        <f ca="1">IFERROR(__xludf.DUMMYFUNCTION("GOOGLETRANSLATE(B253,""en"",""de"")"),"kosten")</f>
        <v>kosten</v>
      </c>
      <c r="H253" s="2" t="str">
        <f ca="1">IFERROR(__xludf.DUMMYFUNCTION("GOOGLETRANSLATE(B253,""en"",""zh"")"),"成本")</f>
        <v>成本</v>
      </c>
      <c r="I253" s="2" t="str">
        <f ca="1">IFERROR(__xludf.DUMMYFUNCTION("GOOGLETRANSLATE(B253,""en"",""gd"")"),"Cosgais")</f>
        <v>Cosgais</v>
      </c>
    </row>
    <row r="254" spans="1:9" ht="14.25" customHeight="1" x14ac:dyDescent="0.3">
      <c r="A254" s="2">
        <v>253</v>
      </c>
      <c r="B254" s="3" t="s">
        <v>261</v>
      </c>
      <c r="C254" s="2" t="str">
        <f ca="1">IFERROR(__xludf.DUMMYFUNCTION("GOOGLETRANSLATE(B254, ""en"",""es"")"),"menos")</f>
        <v>menos</v>
      </c>
      <c r="D254" s="2" t="str">
        <f ca="1">IFERROR(__xludf.DUMMYFUNCTION("GOOGLETRANSLATE(B254,""en"",""ig"")"),"Mpekarị")</f>
        <v>Mpekarị</v>
      </c>
      <c r="E254" s="2" t="str">
        <f ca="1">IFERROR(__xludf.DUMMYFUNCTION("GOOGLETRANSLATE(B254,""en"",""fr"")"),"moins")</f>
        <v>moins</v>
      </c>
      <c r="F254" s="2" t="str">
        <f ca="1">IFERROR(__xludf.DUMMYFUNCTION("GOOGLETRANSLATE(B254,""en"",""it"")"),"meno")</f>
        <v>meno</v>
      </c>
      <c r="G254" s="2" t="str">
        <f ca="1">IFERROR(__xludf.DUMMYFUNCTION("GOOGLETRANSLATE(B254,""en"",""de"")"),"weniger")</f>
        <v>weniger</v>
      </c>
      <c r="H254" s="2" t="str">
        <f ca="1">IFERROR(__xludf.DUMMYFUNCTION("GOOGLETRANSLATE(B254,""en"",""zh"")"),"较少的")</f>
        <v>较少的</v>
      </c>
      <c r="I254" s="2" t="str">
        <f ca="1">IFERROR(__xludf.DUMMYFUNCTION("GOOGLETRANSLATE(B254,""en"",""gd"")"),"nas lugha")</f>
        <v>nas lugha</v>
      </c>
    </row>
    <row r="255" spans="1:9" ht="14.25" customHeight="1" x14ac:dyDescent="0.3">
      <c r="A255" s="2">
        <v>254</v>
      </c>
      <c r="B255" s="3" t="s">
        <v>262</v>
      </c>
      <c r="C255" s="2" t="str">
        <f ca="1">IFERROR(__xludf.DUMMYFUNCTION("GOOGLETRANSLATE(B255, ""en"",""es"")"),"habitación")</f>
        <v>habitación</v>
      </c>
      <c r="D255" s="2" t="str">
        <f ca="1">IFERROR(__xludf.DUMMYFUNCTION("GOOGLETRANSLATE(B255,""en"",""ig"")"),"mkpuru")</f>
        <v>mkpuru</v>
      </c>
      <c r="E255" s="2" t="str">
        <f ca="1">IFERROR(__xludf.DUMMYFUNCTION("GOOGLETRANSLATE(B255,""en"",""fr"")"),"chambre")</f>
        <v>chambre</v>
      </c>
      <c r="F255" s="2" t="str">
        <f ca="1">IFERROR(__xludf.DUMMYFUNCTION("GOOGLETRANSLATE(B255,""en"",""it"")"),"camera")</f>
        <v>camera</v>
      </c>
      <c r="G255" s="2" t="str">
        <f ca="1">IFERROR(__xludf.DUMMYFUNCTION("GOOGLETRANSLATE(B255,""en"",""de"")"),"Zimmer")</f>
        <v>Zimmer</v>
      </c>
      <c r="H255" s="2" t="str">
        <f ca="1">IFERROR(__xludf.DUMMYFUNCTION("GOOGLETRANSLATE(B255,""en"",""zh"")"),"房间")</f>
        <v>房间</v>
      </c>
      <c r="I255" s="2" t="str">
        <f ca="1">IFERROR(__xludf.DUMMYFUNCTION("GOOGLETRANSLATE(B255,""en"",""gd"")"),"rùm")</f>
        <v>rùm</v>
      </c>
    </row>
    <row r="256" spans="1:9" ht="14.25" customHeight="1" x14ac:dyDescent="0.3">
      <c r="A256" s="2">
        <v>255</v>
      </c>
      <c r="B256" s="3" t="s">
        <v>263</v>
      </c>
      <c r="C256" s="2" t="str">
        <f ca="1">IFERROR(__xludf.DUMMYFUNCTION("GOOGLETRANSLATE(B256, ""en"",""es"")"),"hasta")</f>
        <v>hasta</v>
      </c>
      <c r="D256" s="2" t="str">
        <f ca="1">IFERROR(__xludf.DUMMYFUNCTION("GOOGLETRANSLATE(B256,""en"",""ig"")"),"tutuu")</f>
        <v>tutuu</v>
      </c>
      <c r="E256" s="2" t="str">
        <f ca="1">IFERROR(__xludf.DUMMYFUNCTION("GOOGLETRANSLATE(B256,""en"",""fr"")"),"jusqu'à")</f>
        <v>jusqu'à</v>
      </c>
      <c r="F256" s="2" t="str">
        <f ca="1">IFERROR(__xludf.DUMMYFUNCTION("GOOGLETRANSLATE(B256,""en"",""it"")"),"Fino a")</f>
        <v>Fino a</v>
      </c>
      <c r="G256" s="2" t="str">
        <f ca="1">IFERROR(__xludf.DUMMYFUNCTION("GOOGLETRANSLATE(B256,""en"",""de"")"),"bis")</f>
        <v>bis</v>
      </c>
      <c r="H256" s="2" t="str">
        <f ca="1">IFERROR(__xludf.DUMMYFUNCTION("GOOGLETRANSLATE(B256,""en"",""zh"")"),"直到")</f>
        <v>直到</v>
      </c>
      <c r="I256" s="2" t="str">
        <f ca="1">IFERROR(__xludf.DUMMYFUNCTION("GOOGLETRANSLATE(B256,""en"",""gd"")"),"gus")</f>
        <v>gus</v>
      </c>
    </row>
    <row r="257" spans="1:9" ht="14.25" customHeight="1" x14ac:dyDescent="0.3">
      <c r="A257" s="2">
        <v>256</v>
      </c>
      <c r="B257" s="3" t="s">
        <v>264</v>
      </c>
      <c r="C257" s="2" t="str">
        <f ca="1">IFERROR(__xludf.DUMMYFUNCTION("GOOGLETRANSLATE(B257, ""en"",""es"")"),"razón")</f>
        <v>razón</v>
      </c>
      <c r="D257" s="2" t="str">
        <f ca="1">IFERROR(__xludf.DUMMYFUNCTION("GOOGLETRANSLATE(B257,""en"",""ig"")"),"ucheobi")</f>
        <v>ucheobi</v>
      </c>
      <c r="E257" s="2" t="str">
        <f ca="1">IFERROR(__xludf.DUMMYFUNCTION("GOOGLETRANSLATE(B257,""en"",""fr"")"),"raison")</f>
        <v>raison</v>
      </c>
      <c r="F257" s="2" t="str">
        <f ca="1">IFERROR(__xludf.DUMMYFUNCTION("GOOGLETRANSLATE(B257,""en"",""it"")"),"motivo")</f>
        <v>motivo</v>
      </c>
      <c r="G257" s="2" t="str">
        <f ca="1">IFERROR(__xludf.DUMMYFUNCTION("GOOGLETRANSLATE(B257,""en"",""de"")"),"Grund")</f>
        <v>Grund</v>
      </c>
      <c r="H257" s="2" t="str">
        <f ca="1">IFERROR(__xludf.DUMMYFUNCTION("GOOGLETRANSLATE(B257,""en"",""zh"")"),"原因")</f>
        <v>原因</v>
      </c>
      <c r="I257" s="2" t="str">
        <f ca="1">IFERROR(__xludf.DUMMYFUNCTION("GOOGLETRANSLATE(B257,""en"",""gd"")"),"Adhbhar")</f>
        <v>Adhbhar</v>
      </c>
    </row>
    <row r="258" spans="1:9" ht="14.25" customHeight="1" x14ac:dyDescent="0.3">
      <c r="A258" s="2">
        <v>257</v>
      </c>
      <c r="B258" s="3" t="s">
        <v>265</v>
      </c>
      <c r="C258" s="2" t="str">
        <f ca="1">IFERROR(__xludf.DUMMYFUNCTION("GOOGLETRANSLATE(B258, ""en"",""es"")"),"forma")</f>
        <v>forma</v>
      </c>
      <c r="D258" s="2" t="str">
        <f ca="1">IFERROR(__xludf.DUMMYFUNCTION("GOOGLETRANSLATE(B258,""en"",""ig"")"),"odidi")</f>
        <v>odidi</v>
      </c>
      <c r="E258" s="2" t="str">
        <f ca="1">IFERROR(__xludf.DUMMYFUNCTION("GOOGLETRANSLATE(B258,""en"",""fr"")"),"formulaire")</f>
        <v>formulaire</v>
      </c>
      <c r="F258" s="2" t="str">
        <f ca="1">IFERROR(__xludf.DUMMYFUNCTION("GOOGLETRANSLATE(B258,""en"",""it"")"),"modulo")</f>
        <v>modulo</v>
      </c>
      <c r="G258" s="2" t="str">
        <f ca="1">IFERROR(__xludf.DUMMYFUNCTION("GOOGLETRANSLATE(B258,""en"",""de"")"),"bilden")</f>
        <v>bilden</v>
      </c>
      <c r="H258" s="2" t="str">
        <f ca="1">IFERROR(__xludf.DUMMYFUNCTION("GOOGLETRANSLATE(B258,""en"",""zh"")"),"形式")</f>
        <v>形式</v>
      </c>
      <c r="I258" s="2" t="str">
        <f ca="1">IFERROR(__xludf.DUMMYFUNCTION("GOOGLETRANSLATE(B258,""en"",""gd"")"),"cruth")</f>
        <v>cruth</v>
      </c>
    </row>
    <row r="259" spans="1:9" ht="14.25" customHeight="1" x14ac:dyDescent="0.3">
      <c r="A259" s="2">
        <v>258</v>
      </c>
      <c r="B259" s="3" t="s">
        <v>266</v>
      </c>
      <c r="C259" s="2" t="str">
        <f ca="1">IFERROR(__xludf.DUMMYFUNCTION("GOOGLETRANSLATE(B259, ""en"",""es"")"),"gastar")</f>
        <v>gastar</v>
      </c>
      <c r="D259" s="2" t="str">
        <f ca="1">IFERROR(__xludf.DUMMYFUNCTION("GOOGLETRANSLATE(B259,""en"",""ig"")"),"imefuego")</f>
        <v>imefuego</v>
      </c>
      <c r="E259" s="2" t="str">
        <f ca="1">IFERROR(__xludf.DUMMYFUNCTION("GOOGLETRANSLATE(B259,""en"",""fr"")"),"dépenser")</f>
        <v>dépenser</v>
      </c>
      <c r="F259" s="2" t="str">
        <f ca="1">IFERROR(__xludf.DUMMYFUNCTION("GOOGLETRANSLATE(B259,""en"",""it"")"),"trascorrere")</f>
        <v>trascorrere</v>
      </c>
      <c r="G259" s="2" t="str">
        <f ca="1">IFERROR(__xludf.DUMMYFUNCTION("GOOGLETRANSLATE(B259,""en"",""de"")"),"ausgeben")</f>
        <v>ausgeben</v>
      </c>
      <c r="H259" s="2" t="str">
        <f ca="1">IFERROR(__xludf.DUMMYFUNCTION("GOOGLETRANSLATE(B259,""en"",""zh"")"),"花费")</f>
        <v>花费</v>
      </c>
      <c r="I259" s="2" t="str">
        <f ca="1">IFERROR(__xludf.DUMMYFUNCTION("GOOGLETRANSLATE(B259,""en"",""gd"")"),"Caith")</f>
        <v>Caith</v>
      </c>
    </row>
    <row r="260" spans="1:9" ht="14.25" customHeight="1" x14ac:dyDescent="0.3">
      <c r="A260" s="2">
        <v>259</v>
      </c>
      <c r="B260" s="3" t="s">
        <v>267</v>
      </c>
      <c r="C260" s="2" t="str">
        <f ca="1">IFERROR(__xludf.DUMMYFUNCTION("GOOGLETRANSLATE(B260, ""en"",""es"")"),"cabeza")</f>
        <v>cabeza</v>
      </c>
      <c r="D260" s="2" t="str">
        <f ca="1">IFERROR(__xludf.DUMMYFUNCTION("GOOGLETRANSLATE(B260,""en"",""ig"")"),"isi")</f>
        <v>isi</v>
      </c>
      <c r="E260" s="2" t="str">
        <f ca="1">IFERROR(__xludf.DUMMYFUNCTION("GOOGLETRANSLATE(B260,""en"",""fr"")"),"tête")</f>
        <v>tête</v>
      </c>
      <c r="F260" s="2" t="str">
        <f ca="1">IFERROR(__xludf.DUMMYFUNCTION("GOOGLETRANSLATE(B260,""en"",""it"")"),"Testa")</f>
        <v>Testa</v>
      </c>
      <c r="G260" s="2" t="str">
        <f ca="1">IFERROR(__xludf.DUMMYFUNCTION("GOOGLETRANSLATE(B260,""en"",""de"")"),"Kopf")</f>
        <v>Kopf</v>
      </c>
      <c r="H260" s="2" t="str">
        <f ca="1">IFERROR(__xludf.DUMMYFUNCTION("GOOGLETRANSLATE(B260,""en"",""zh"")"),"头")</f>
        <v>头</v>
      </c>
      <c r="I260" s="2" t="str">
        <f ca="1">IFERROR(__xludf.DUMMYFUNCTION("GOOGLETRANSLATE(B260,""en"",""gd"")"),"ceann")</f>
        <v>ceann</v>
      </c>
    </row>
    <row r="261" spans="1:9" ht="14.25" customHeight="1" x14ac:dyDescent="0.3">
      <c r="A261" s="2">
        <v>260</v>
      </c>
      <c r="B261" s="3" t="s">
        <v>268</v>
      </c>
      <c r="C261" s="2" t="str">
        <f ca="1">IFERROR(__xludf.DUMMYFUNCTION("GOOGLETRANSLATE(B261, ""en"",""es"")"),"auto")</f>
        <v>auto</v>
      </c>
      <c r="D261" s="2" t="str">
        <f ca="1">IFERROR(__xludf.DUMMYFUNCTION("GOOGLETRANSLATE(B261,""en"",""ig"")"),"obere ugboala")</f>
        <v>obere ugboala</v>
      </c>
      <c r="E261" s="2" t="str">
        <f ca="1">IFERROR(__xludf.DUMMYFUNCTION("GOOGLETRANSLATE(B261,""en"",""fr"")"),"voiture")</f>
        <v>voiture</v>
      </c>
      <c r="F261" s="2" t="str">
        <f ca="1">IFERROR(__xludf.DUMMYFUNCTION("GOOGLETRANSLATE(B261,""en"",""it"")"),"auto")</f>
        <v>auto</v>
      </c>
      <c r="G261" s="2" t="str">
        <f ca="1">IFERROR(__xludf.DUMMYFUNCTION("GOOGLETRANSLATE(B261,""en"",""de"")"),"Auto")</f>
        <v>Auto</v>
      </c>
      <c r="H261" s="2" t="str">
        <f ca="1">IFERROR(__xludf.DUMMYFUNCTION("GOOGLETRANSLATE(B261,""en"",""zh"")"),"车")</f>
        <v>车</v>
      </c>
      <c r="I261" s="2" t="str">
        <f ca="1">IFERROR(__xludf.DUMMYFUNCTION("GOOGLETRANSLATE(B261,""en"",""gd"")"),"càr")</f>
        <v>càr</v>
      </c>
    </row>
    <row r="262" spans="1:9" ht="14.25" customHeight="1" x14ac:dyDescent="0.3">
      <c r="A262" s="2">
        <v>261</v>
      </c>
      <c r="B262" s="3" t="s">
        <v>269</v>
      </c>
      <c r="C262" s="2" t="str">
        <f ca="1">IFERROR(__xludf.DUMMYFUNCTION("GOOGLETRANSLATE(B262, ""en"",""es"")"),"aprender")</f>
        <v>aprender</v>
      </c>
      <c r="D262" s="2" t="str">
        <f ca="1">IFERROR(__xludf.DUMMYFUNCTION("GOOGLETRANSLATE(B262,""en"",""ig"")"),"imu ihe")</f>
        <v>imu ihe</v>
      </c>
      <c r="E262" s="2" t="str">
        <f ca="1">IFERROR(__xludf.DUMMYFUNCTION("GOOGLETRANSLATE(B262,""en"",""fr"")"),"apprendre")</f>
        <v>apprendre</v>
      </c>
      <c r="F262" s="2" t="str">
        <f ca="1">IFERROR(__xludf.DUMMYFUNCTION("GOOGLETRANSLATE(B262,""en"",""it"")"),"Imparare")</f>
        <v>Imparare</v>
      </c>
      <c r="G262" s="2" t="str">
        <f ca="1">IFERROR(__xludf.DUMMYFUNCTION("GOOGLETRANSLATE(B262,""en"",""de"")"),"lernen")</f>
        <v>lernen</v>
      </c>
      <c r="H262" s="2" t="str">
        <f ca="1">IFERROR(__xludf.DUMMYFUNCTION("GOOGLETRANSLATE(B262,""en"",""zh"")"),"学习")</f>
        <v>学习</v>
      </c>
      <c r="I262" s="2" t="str">
        <f ca="1">IFERROR(__xludf.DUMMYFUNCTION("GOOGLETRANSLATE(B262,""en"",""gd"")"),"ionnsaich")</f>
        <v>ionnsaich</v>
      </c>
    </row>
    <row r="263" spans="1:9" ht="14.25" customHeight="1" x14ac:dyDescent="0.3">
      <c r="A263" s="2">
        <v>262</v>
      </c>
      <c r="B263" s="3" t="s">
        <v>270</v>
      </c>
      <c r="C263" s="2" t="str">
        <f ca="1">IFERROR(__xludf.DUMMYFUNCTION("GOOGLETRANSLATE(B263, ""en"",""es"")"),"nivel")</f>
        <v>nivel</v>
      </c>
      <c r="D263" s="2" t="str">
        <f ca="1">IFERROR(__xludf.DUMMYFUNCTION("GOOGLETRANSLATE(B263,""en"",""ig"")"),"ukelarii")</f>
        <v>ukelarii</v>
      </c>
      <c r="E263" s="2" t="str">
        <f ca="1">IFERROR(__xludf.DUMMYFUNCTION("GOOGLETRANSLATE(B263,""en"",""fr"")"),"niveau")</f>
        <v>niveau</v>
      </c>
      <c r="F263" s="2" t="str">
        <f ca="1">IFERROR(__xludf.DUMMYFUNCTION("GOOGLETRANSLATE(B263,""en"",""it"")"),"livello")</f>
        <v>livello</v>
      </c>
      <c r="G263" s="2" t="str">
        <f ca="1">IFERROR(__xludf.DUMMYFUNCTION("GOOGLETRANSLATE(B263,""en"",""de"")"),"Ebene")</f>
        <v>Ebene</v>
      </c>
      <c r="H263" s="2" t="str">
        <f ca="1">IFERROR(__xludf.DUMMYFUNCTION("GOOGLETRANSLATE(B263,""en"",""zh"")"),"等级")</f>
        <v>等级</v>
      </c>
      <c r="I263" s="2" t="str">
        <f ca="1">IFERROR(__xludf.DUMMYFUNCTION("GOOGLETRANSLATE(B263,""en"",""gd"")"),"Ìre")</f>
        <v>Ìre</v>
      </c>
    </row>
    <row r="264" spans="1:9" ht="14.25" customHeight="1" x14ac:dyDescent="0.3">
      <c r="A264" s="2">
        <v>263</v>
      </c>
      <c r="B264" s="3" t="s">
        <v>271</v>
      </c>
      <c r="C264" s="2" t="str">
        <f ca="1">IFERROR(__xludf.DUMMYFUNCTION("GOOGLETRANSLATE(B264, ""en"",""es"")"),"persona")</f>
        <v>persona</v>
      </c>
      <c r="D264" s="2" t="str">
        <f ca="1">IFERROR(__xludf.DUMMYFUNCTION("GOOGLETRANSLATE(B264,""en"",""ig"")"),"onye")</f>
        <v>onye</v>
      </c>
      <c r="E264" s="2" t="str">
        <f ca="1">IFERROR(__xludf.DUMMYFUNCTION("GOOGLETRANSLATE(B264,""en"",""fr"")"),"personne")</f>
        <v>personne</v>
      </c>
      <c r="F264" s="2" t="str">
        <f ca="1">IFERROR(__xludf.DUMMYFUNCTION("GOOGLETRANSLATE(B264,""en"",""it"")"),"persona")</f>
        <v>persona</v>
      </c>
      <c r="G264" s="2" t="str">
        <f ca="1">IFERROR(__xludf.DUMMYFUNCTION("GOOGLETRANSLATE(B264,""en"",""de"")"),"Person")</f>
        <v>Person</v>
      </c>
      <c r="H264" s="2" t="str">
        <f ca="1">IFERROR(__xludf.DUMMYFUNCTION("GOOGLETRANSLATE(B264,""en"",""zh"")"),"人")</f>
        <v>人</v>
      </c>
      <c r="I264" s="2" t="str">
        <f ca="1">IFERROR(__xludf.DUMMYFUNCTION("GOOGLETRANSLATE(B264,""en"",""gd"")"),"Duine")</f>
        <v>Duine</v>
      </c>
    </row>
    <row r="265" spans="1:9" ht="14.25" customHeight="1" x14ac:dyDescent="0.3">
      <c r="A265" s="2">
        <v>264</v>
      </c>
      <c r="B265" s="3" t="s">
        <v>272</v>
      </c>
      <c r="C265" s="2" t="str">
        <f ca="1">IFERROR(__xludf.DUMMYFUNCTION("GOOGLETRANSLATE(B265, ""en"",""es"")"),"experiencia")</f>
        <v>experiencia</v>
      </c>
      <c r="D265" s="2" t="str">
        <f ca="1">IFERROR(__xludf.DUMMYFUNCTION("GOOGLETRANSLATE(B265,""en"",""ig"")"),"ahumihe")</f>
        <v>ahumihe</v>
      </c>
      <c r="E265" s="2" t="str">
        <f ca="1">IFERROR(__xludf.DUMMYFUNCTION("GOOGLETRANSLATE(B265,""en"",""fr"")"),"expérience")</f>
        <v>expérience</v>
      </c>
      <c r="F265" s="2" t="str">
        <f ca="1">IFERROR(__xludf.DUMMYFUNCTION("GOOGLETRANSLATE(B265,""en"",""it"")"),"esperienza")</f>
        <v>esperienza</v>
      </c>
      <c r="G265" s="2" t="str">
        <f ca="1">IFERROR(__xludf.DUMMYFUNCTION("GOOGLETRANSLATE(B265,""en"",""de"")"),"Erfahrung")</f>
        <v>Erfahrung</v>
      </c>
      <c r="H265" s="2" t="str">
        <f ca="1">IFERROR(__xludf.DUMMYFUNCTION("GOOGLETRANSLATE(B265,""en"",""zh"")"),"经验")</f>
        <v>经验</v>
      </c>
      <c r="I265" s="2" t="str">
        <f ca="1">IFERROR(__xludf.DUMMYFUNCTION("GOOGLETRANSLATE(B265,""en"",""gd"")"),"Eòlas")</f>
        <v>Eòlas</v>
      </c>
    </row>
    <row r="266" spans="1:9" ht="14.25" customHeight="1" x14ac:dyDescent="0.3">
      <c r="A266" s="2">
        <v>265</v>
      </c>
      <c r="B266" s="3" t="s">
        <v>273</v>
      </c>
      <c r="C266" s="2" t="str">
        <f ca="1">IFERROR(__xludf.DUMMYFUNCTION("GOOGLETRANSLATE(B266, ""en"",""es"")"),"una vez")</f>
        <v>una vez</v>
      </c>
      <c r="D266" s="2" t="str">
        <f ca="1">IFERROR(__xludf.DUMMYFUNCTION("GOOGLETRANSLATE(B266,""en"",""ig"")"),"otu mgbe")</f>
        <v>otu mgbe</v>
      </c>
      <c r="E266" s="2" t="str">
        <f ca="1">IFERROR(__xludf.DUMMYFUNCTION("GOOGLETRANSLATE(B266,""en"",""fr"")"),"une fois")</f>
        <v>une fois</v>
      </c>
      <c r="F266" s="2" t="str">
        <f ca="1">IFERROR(__xludf.DUMMYFUNCTION("GOOGLETRANSLATE(B266,""en"",""it"")"),"una volta")</f>
        <v>una volta</v>
      </c>
      <c r="G266" s="2" t="str">
        <f ca="1">IFERROR(__xludf.DUMMYFUNCTION("GOOGLETRANSLATE(B266,""en"",""de"")"),"einmal")</f>
        <v>einmal</v>
      </c>
      <c r="H266" s="2" t="str">
        <f ca="1">IFERROR(__xludf.DUMMYFUNCTION("GOOGLETRANSLATE(B266,""en"",""zh"")"),"一次")</f>
        <v>一次</v>
      </c>
      <c r="I266" s="2" t="str">
        <f ca="1">IFERROR(__xludf.DUMMYFUNCTION("GOOGLETRANSLATE(B266,""en"",""gd"")"),"aon uair")</f>
        <v>aon uair</v>
      </c>
    </row>
    <row r="267" spans="1:9" ht="14.25" customHeight="1" x14ac:dyDescent="0.3">
      <c r="A267" s="2">
        <v>266</v>
      </c>
      <c r="B267" s="3" t="s">
        <v>274</v>
      </c>
      <c r="C267" s="2" t="str">
        <f ca="1">IFERROR(__xludf.DUMMYFUNCTION("GOOGLETRANSLATE(B267, ""en"",""es"")"),"miembro")</f>
        <v>miembro</v>
      </c>
      <c r="D267" s="2" t="str">
        <f ca="1">IFERROR(__xludf.DUMMYFUNCTION("GOOGLETRANSLATE(B267,""en"",""ig"")"),"otu")</f>
        <v>otu</v>
      </c>
      <c r="E267" s="2" t="str">
        <f ca="1">IFERROR(__xludf.DUMMYFUNCTION("GOOGLETRANSLATE(B267,""en"",""fr"")"),"membre")</f>
        <v>membre</v>
      </c>
      <c r="F267" s="2" t="str">
        <f ca="1">IFERROR(__xludf.DUMMYFUNCTION("GOOGLETRANSLATE(B267,""en"",""it"")"),"membro")</f>
        <v>membro</v>
      </c>
      <c r="G267" s="2" t="str">
        <f ca="1">IFERROR(__xludf.DUMMYFUNCTION("GOOGLETRANSLATE(B267,""en"",""de"")"),"Mitglied")</f>
        <v>Mitglied</v>
      </c>
      <c r="H267" s="2" t="str">
        <f ca="1">IFERROR(__xludf.DUMMYFUNCTION("GOOGLETRANSLATE(B267,""en"",""zh"")"),"成员")</f>
        <v>成员</v>
      </c>
      <c r="I267" s="2" t="str">
        <f ca="1">IFERROR(__xludf.DUMMYFUNCTION("GOOGLETRANSLATE(B267,""en"",""gd"")"),"Ball")</f>
        <v>Ball</v>
      </c>
    </row>
    <row r="268" spans="1:9" ht="14.25" customHeight="1" x14ac:dyDescent="0.3">
      <c r="A268" s="2">
        <v>267</v>
      </c>
      <c r="B268" s="3" t="s">
        <v>275</v>
      </c>
      <c r="C268" s="2" t="str">
        <f ca="1">IFERROR(__xludf.DUMMYFUNCTION("GOOGLETRANSLATE(B268, ""en"",""es"")"),"suficiente")</f>
        <v>suficiente</v>
      </c>
      <c r="D268" s="2" t="str">
        <f ca="1">IFERROR(__xludf.DUMMYFUNCTION("GOOGLETRANSLATE(B268,""en"",""ig"")"),"izu oke")</f>
        <v>izu oke</v>
      </c>
      <c r="E268" s="2" t="str">
        <f ca="1">IFERROR(__xludf.DUMMYFUNCTION("GOOGLETRANSLATE(B268,""en"",""fr"")"),"assez")</f>
        <v>assez</v>
      </c>
      <c r="F268" s="2" t="str">
        <f ca="1">IFERROR(__xludf.DUMMYFUNCTION("GOOGLETRANSLATE(B268,""en"",""it"")"),"Abbastanza")</f>
        <v>Abbastanza</v>
      </c>
      <c r="G268" s="2" t="str">
        <f ca="1">IFERROR(__xludf.DUMMYFUNCTION("GOOGLETRANSLATE(B268,""en"",""de"")"),"genug")</f>
        <v>genug</v>
      </c>
      <c r="H268" s="2" t="str">
        <f ca="1">IFERROR(__xludf.DUMMYFUNCTION("GOOGLETRANSLATE(B268,""en"",""zh"")"),"足够的")</f>
        <v>足够的</v>
      </c>
      <c r="I268" s="2" t="str">
        <f ca="1">IFERROR(__xludf.DUMMYFUNCTION("GOOGLETRANSLATE(B268,""en"",""gd"")"),"gu leòr")</f>
        <v>gu leòr</v>
      </c>
    </row>
    <row r="269" spans="1:9" ht="14.25" customHeight="1" x14ac:dyDescent="0.3">
      <c r="A269" s="2">
        <v>268</v>
      </c>
      <c r="B269" s="3" t="s">
        <v>276</v>
      </c>
      <c r="C269" s="2" t="str">
        <f ca="1">IFERROR(__xludf.DUMMYFUNCTION("GOOGLETRANSLATE(B269, ""en"",""es"")"),"malo")</f>
        <v>malo</v>
      </c>
      <c r="D269" s="2" t="str">
        <f ca="1">IFERROR(__xludf.DUMMYFUNCTION("GOOGLETRANSLATE(B269,""en"",""ig"")"),"ajo")</f>
        <v>ajo</v>
      </c>
      <c r="E269" s="2" t="str">
        <f ca="1">IFERROR(__xludf.DUMMYFUNCTION("GOOGLETRANSLATE(B269,""en"",""fr"")"),"mauvais")</f>
        <v>mauvais</v>
      </c>
      <c r="F269" s="2" t="str">
        <f ca="1">IFERROR(__xludf.DUMMYFUNCTION("GOOGLETRANSLATE(B269,""en"",""it"")"),"Cattivo")</f>
        <v>Cattivo</v>
      </c>
      <c r="G269" s="2" t="str">
        <f ca="1">IFERROR(__xludf.DUMMYFUNCTION("GOOGLETRANSLATE(B269,""en"",""de"")"),"schlecht")</f>
        <v>schlecht</v>
      </c>
      <c r="H269" s="2" t="str">
        <f ca="1">IFERROR(__xludf.DUMMYFUNCTION("GOOGLETRANSLATE(B269,""en"",""zh"")"),"坏的")</f>
        <v>坏的</v>
      </c>
      <c r="I269" s="2" t="str">
        <f ca="1">IFERROR(__xludf.DUMMYFUNCTION("GOOGLETRANSLATE(B269,""en"",""gd"")"),"dona")</f>
        <v>dona</v>
      </c>
    </row>
    <row r="270" spans="1:9" ht="14.25" customHeight="1" x14ac:dyDescent="0.3">
      <c r="A270" s="2">
        <v>269</v>
      </c>
      <c r="B270" s="3" t="s">
        <v>277</v>
      </c>
      <c r="C270" s="2" t="str">
        <f ca="1">IFERROR(__xludf.DUMMYFUNCTION("GOOGLETRANSLATE(B270, ""en"",""es"")"),"ciudad")</f>
        <v>ciudad</v>
      </c>
      <c r="D270" s="2" t="str">
        <f ca="1">IFERROR(__xludf.DUMMYFUNCTION("GOOGLETRANSLATE(B270,""en"",""ig"")"),"obodo")</f>
        <v>obodo</v>
      </c>
      <c r="E270" s="2" t="str">
        <f ca="1">IFERROR(__xludf.DUMMYFUNCTION("GOOGLETRANSLATE(B270,""en"",""fr"")"),"ville")</f>
        <v>ville</v>
      </c>
      <c r="F270" s="2" t="str">
        <f ca="1">IFERROR(__xludf.DUMMYFUNCTION("GOOGLETRANSLATE(B270,""en"",""it"")"),"città")</f>
        <v>città</v>
      </c>
      <c r="G270" s="2" t="str">
        <f ca="1">IFERROR(__xludf.DUMMYFUNCTION("GOOGLETRANSLATE(B270,""en"",""de"")"),"Stadt")</f>
        <v>Stadt</v>
      </c>
      <c r="H270" s="2" t="str">
        <f ca="1">IFERROR(__xludf.DUMMYFUNCTION("GOOGLETRANSLATE(B270,""en"",""zh"")"),"城市")</f>
        <v>城市</v>
      </c>
      <c r="I270" s="2" t="str">
        <f ca="1">IFERROR(__xludf.DUMMYFUNCTION("GOOGLETRANSLATE(B270,""en"",""gd"")"),"Cathair-bhaile")</f>
        <v>Cathair-bhaile</v>
      </c>
    </row>
    <row r="271" spans="1:9" ht="14.25" customHeight="1" x14ac:dyDescent="0.3">
      <c r="A271" s="2">
        <v>270</v>
      </c>
      <c r="B271" s="3" t="s">
        <v>278</v>
      </c>
      <c r="C271" s="2" t="str">
        <f ca="1">IFERROR(__xludf.DUMMYFUNCTION("GOOGLETRANSLATE(B271, ""en"",""es"")"),"noche")</f>
        <v>noche</v>
      </c>
      <c r="D271" s="2" t="str">
        <f ca="1">IFERROR(__xludf.DUMMYFUNCTION("GOOGLETRANSLATE(B271,""en"",""ig"")"),"uchichi")</f>
        <v>uchichi</v>
      </c>
      <c r="E271" s="2" t="str">
        <f ca="1">IFERROR(__xludf.DUMMYFUNCTION("GOOGLETRANSLATE(B271,""en"",""fr"")"),"nuit")</f>
        <v>nuit</v>
      </c>
      <c r="F271" s="2" t="str">
        <f ca="1">IFERROR(__xludf.DUMMYFUNCTION("GOOGLETRANSLATE(B271,""en"",""it"")"),"notte")</f>
        <v>notte</v>
      </c>
      <c r="G271" s="2" t="str">
        <f ca="1">IFERROR(__xludf.DUMMYFUNCTION("GOOGLETRANSLATE(B271,""en"",""de"")"),"Nacht")</f>
        <v>Nacht</v>
      </c>
      <c r="H271" s="2" t="str">
        <f ca="1">IFERROR(__xludf.DUMMYFUNCTION("GOOGLETRANSLATE(B271,""en"",""zh"")"),"夜晚")</f>
        <v>夜晚</v>
      </c>
      <c r="I271" s="2" t="str">
        <f ca="1">IFERROR(__xludf.DUMMYFUNCTION("GOOGLETRANSLATE(B271,""en"",""gd"")"),"oidhche")</f>
        <v>oidhche</v>
      </c>
    </row>
    <row r="272" spans="1:9" ht="14.25" customHeight="1" x14ac:dyDescent="0.3">
      <c r="A272" s="2">
        <v>271</v>
      </c>
      <c r="B272" s="3" t="s">
        <v>279</v>
      </c>
      <c r="C272" s="2" t="str">
        <f ca="1">IFERROR(__xludf.DUMMYFUNCTION("GOOGLETRANSLATE(B272, ""en"",""es"")"),"capaz")</f>
        <v>capaz</v>
      </c>
      <c r="D272" s="2" t="str">
        <f ca="1">IFERROR(__xludf.DUMMYFUNCTION("GOOGLETRANSLATE(B272,""en"",""ig"")"),"inwe ike")</f>
        <v>inwe ike</v>
      </c>
      <c r="E272" s="2" t="str">
        <f ca="1">IFERROR(__xludf.DUMMYFUNCTION("GOOGLETRANSLATE(B272,""en"",""fr"")"),"capable")</f>
        <v>capable</v>
      </c>
      <c r="F272" s="2" t="str">
        <f ca="1">IFERROR(__xludf.DUMMYFUNCTION("GOOGLETRANSLATE(B272,""en"",""it"")"),"capace")</f>
        <v>capace</v>
      </c>
      <c r="G272" s="2" t="str">
        <f ca="1">IFERROR(__xludf.DUMMYFUNCTION("GOOGLETRANSLATE(B272,""en"",""de"")"),"fähig")</f>
        <v>fähig</v>
      </c>
      <c r="H272" s="2" t="str">
        <f ca="1">IFERROR(__xludf.DUMMYFUNCTION("GOOGLETRANSLATE(B272,""en"",""zh"")"),"有能力的")</f>
        <v>有能力的</v>
      </c>
      <c r="I272" s="2" t="str">
        <f ca="1">IFERROR(__xludf.DUMMYFUNCTION("GOOGLETRANSLATE(B272,""en"",""gd"")"),"comasach")</f>
        <v>comasach</v>
      </c>
    </row>
    <row r="273" spans="1:9" ht="14.25" customHeight="1" x14ac:dyDescent="0.3">
      <c r="A273" s="2">
        <v>272</v>
      </c>
      <c r="B273" s="3" t="s">
        <v>280</v>
      </c>
      <c r="C273" s="2" t="str">
        <f ca="1">IFERROR(__xludf.DUMMYFUNCTION("GOOGLETRANSLATE(B273, ""en"",""es"")"),"apoyo")</f>
        <v>apoyo</v>
      </c>
      <c r="D273" s="2" t="str">
        <f ca="1">IFERROR(__xludf.DUMMYFUNCTION("GOOGLETRANSLATE(B273,""en"",""ig"")"),"onyenjideaka")</f>
        <v>onyenjideaka</v>
      </c>
      <c r="E273" s="2" t="str">
        <f ca="1">IFERROR(__xludf.DUMMYFUNCTION("GOOGLETRANSLATE(B273,""en"",""fr"")"),"soutien")</f>
        <v>soutien</v>
      </c>
      <c r="F273" s="2" t="str">
        <f ca="1">IFERROR(__xludf.DUMMYFUNCTION("GOOGLETRANSLATE(B273,""en"",""it"")"),"supporto")</f>
        <v>supporto</v>
      </c>
      <c r="G273" s="2" t="str">
        <f ca="1">IFERROR(__xludf.DUMMYFUNCTION("GOOGLETRANSLATE(B273,""en"",""de"")"),"Unterstützung")</f>
        <v>Unterstützung</v>
      </c>
      <c r="H273" s="2" t="str">
        <f ca="1">IFERROR(__xludf.DUMMYFUNCTION("GOOGLETRANSLATE(B273,""en"",""zh"")"),"支持")</f>
        <v>支持</v>
      </c>
      <c r="I273" s="2" t="str">
        <f ca="1">IFERROR(__xludf.DUMMYFUNCTION("GOOGLETRANSLATE(B273,""en"",""gd"")"),"Taic")</f>
        <v>Taic</v>
      </c>
    </row>
    <row r="274" spans="1:9" ht="14.25" customHeight="1" x14ac:dyDescent="0.3">
      <c r="A274" s="2">
        <v>273</v>
      </c>
      <c r="B274" s="3" t="s">
        <v>281</v>
      </c>
      <c r="C274" s="2" t="str">
        <f ca="1">IFERROR(__xludf.DUMMYFUNCTION("GOOGLETRANSLATE(B274, ""en"",""es"")"),"si")</f>
        <v>si</v>
      </c>
      <c r="D274" s="2" t="str">
        <f ca="1">IFERROR(__xludf.DUMMYFUNCTION("GOOGLETRANSLATE(B274,""en"",""ig"")"),"ma")</f>
        <v>ma</v>
      </c>
      <c r="E274" s="2" t="str">
        <f ca="1">IFERROR(__xludf.DUMMYFUNCTION("GOOGLETRANSLATE(B274,""en"",""fr"")"),"si")</f>
        <v>si</v>
      </c>
      <c r="F274" s="2" t="str">
        <f ca="1">IFERROR(__xludf.DUMMYFUNCTION("GOOGLETRANSLATE(B274,""en"",""it"")"),"se")</f>
        <v>se</v>
      </c>
      <c r="G274" s="2" t="str">
        <f ca="1">IFERROR(__xludf.DUMMYFUNCTION("GOOGLETRANSLATE(B274,""en"",""de"")"),"ob")</f>
        <v>ob</v>
      </c>
      <c r="H274" s="2" t="str">
        <f ca="1">IFERROR(__xludf.DUMMYFUNCTION("GOOGLETRANSLATE(B274,""en"",""zh"")"),"无论")</f>
        <v>无论</v>
      </c>
      <c r="I274" s="2" t="str">
        <f ca="1">IFERROR(__xludf.DUMMYFUNCTION("GOOGLETRANSLATE(B274,""en"",""gd"")"),"Co-dhiù")</f>
        <v>Co-dhiù</v>
      </c>
    </row>
    <row r="275" spans="1:9" ht="14.25" customHeight="1" x14ac:dyDescent="0.3">
      <c r="A275" s="2">
        <v>274</v>
      </c>
      <c r="B275" s="3" t="s">
        <v>282</v>
      </c>
      <c r="C275" s="2" t="str">
        <f ca="1">IFERROR(__xludf.DUMMYFUNCTION("GOOGLETRANSLATE(B275, ""en"",""es"")"),"línea")</f>
        <v>línea</v>
      </c>
      <c r="D275" s="2" t="str">
        <f ca="1">IFERROR(__xludf.DUMMYFUNCTION("GOOGLETRANSLATE(B275,""en"",""ig"")"),"akara")</f>
        <v>akara</v>
      </c>
      <c r="E275" s="2" t="str">
        <f ca="1">IFERROR(__xludf.DUMMYFUNCTION("GOOGLETRANSLATE(B275,""en"",""fr"")"),"doubler")</f>
        <v>doubler</v>
      </c>
      <c r="F275" s="2" t="str">
        <f ca="1">IFERROR(__xludf.DUMMYFUNCTION("GOOGLETRANSLATE(B275,""en"",""it"")"),"linea")</f>
        <v>linea</v>
      </c>
      <c r="G275" s="2" t="str">
        <f ca="1">IFERROR(__xludf.DUMMYFUNCTION("GOOGLETRANSLATE(B275,""en"",""de"")"),"Linie")</f>
        <v>Linie</v>
      </c>
      <c r="H275" s="2" t="str">
        <f ca="1">IFERROR(__xludf.DUMMYFUNCTION("GOOGLETRANSLATE(B275,""en"",""zh"")"),"线")</f>
        <v>线</v>
      </c>
      <c r="I275" s="2" t="str">
        <f ca="1">IFERROR(__xludf.DUMMYFUNCTION("GOOGLETRANSLATE(B275,""en"",""gd"")"),"loidhne")</f>
        <v>loidhne</v>
      </c>
    </row>
    <row r="276" spans="1:9" ht="14.25" customHeight="1" x14ac:dyDescent="0.3">
      <c r="A276" s="2">
        <v>275</v>
      </c>
      <c r="B276" s="3" t="s">
        <v>283</v>
      </c>
      <c r="C276" s="2" t="str">
        <f ca="1">IFERROR(__xludf.DUMMYFUNCTION("GOOGLETRANSLATE(B276, ""en"",""es"")"),"presente")</f>
        <v>presente</v>
      </c>
      <c r="D276" s="2" t="str">
        <f ca="1">IFERROR(__xludf.DUMMYFUNCTION("GOOGLETRANSLATE(B276,""en"",""ig"")"),"ino mgbe ihe mere")</f>
        <v>ino mgbe ihe mere</v>
      </c>
      <c r="E276" s="2" t="str">
        <f ca="1">IFERROR(__xludf.DUMMYFUNCTION("GOOGLETRANSLATE(B276,""en"",""fr"")"),"présent")</f>
        <v>présent</v>
      </c>
      <c r="F276" s="2" t="str">
        <f ca="1">IFERROR(__xludf.DUMMYFUNCTION("GOOGLETRANSLATE(B276,""en"",""it"")"),"presente")</f>
        <v>presente</v>
      </c>
      <c r="G276" s="2" t="str">
        <f ca="1">IFERROR(__xludf.DUMMYFUNCTION("GOOGLETRANSLATE(B276,""en"",""de"")"),"gegenwärtig")</f>
        <v>gegenwärtig</v>
      </c>
      <c r="H276" s="2" t="str">
        <f ca="1">IFERROR(__xludf.DUMMYFUNCTION("GOOGLETRANSLATE(B276,""en"",""zh"")"),"展示")</f>
        <v>展示</v>
      </c>
      <c r="I276" s="2" t="str">
        <f ca="1">IFERROR(__xludf.DUMMYFUNCTION("GOOGLETRANSLATE(B276,""en"",""gd"")"),"An làthair")</f>
        <v>An làthair</v>
      </c>
    </row>
    <row r="277" spans="1:9" ht="14.25" customHeight="1" x14ac:dyDescent="0.3">
      <c r="A277" s="2">
        <v>276</v>
      </c>
      <c r="B277" s="3" t="s">
        <v>284</v>
      </c>
      <c r="C277" s="2" t="str">
        <f ca="1">IFERROR(__xludf.DUMMYFUNCTION("GOOGLETRANSLATE(B277, ""en"",""es"")"),"lado")</f>
        <v>lado</v>
      </c>
      <c r="D277" s="2" t="str">
        <f ca="1">IFERROR(__xludf.DUMMYFUNCTION("GOOGLETRANSLATE(B277,""en"",""ig"")"),"akuku")</f>
        <v>akuku</v>
      </c>
      <c r="E277" s="2" t="str">
        <f ca="1">IFERROR(__xludf.DUMMYFUNCTION("GOOGLETRANSLATE(B277,""en"",""fr"")"),"côté")</f>
        <v>côté</v>
      </c>
      <c r="F277" s="2" t="str">
        <f ca="1">IFERROR(__xludf.DUMMYFUNCTION("GOOGLETRANSLATE(B277,""en"",""it"")"),"lato")</f>
        <v>lato</v>
      </c>
      <c r="G277" s="2" t="str">
        <f ca="1">IFERROR(__xludf.DUMMYFUNCTION("GOOGLETRANSLATE(B277,""en"",""de"")"),"Seite")</f>
        <v>Seite</v>
      </c>
      <c r="H277" s="2" t="str">
        <f ca="1">IFERROR(__xludf.DUMMYFUNCTION("GOOGLETRANSLATE(B277,""en"",""zh"")"),"边")</f>
        <v>边</v>
      </c>
      <c r="I277" s="2" t="str">
        <f ca="1">IFERROR(__xludf.DUMMYFUNCTION("GOOGLETRANSLATE(B277,""en"",""gd"")"),"taobh")</f>
        <v>taobh</v>
      </c>
    </row>
    <row r="278" spans="1:9" ht="14.25" customHeight="1" x14ac:dyDescent="0.3">
      <c r="A278" s="2">
        <v>277</v>
      </c>
      <c r="B278" s="3" t="s">
        <v>285</v>
      </c>
      <c r="C278" s="2" t="str">
        <f ca="1">IFERROR(__xludf.DUMMYFUNCTION("GOOGLETRANSLATE(B278, ""en"",""es"")"),"bastante")</f>
        <v>bastante</v>
      </c>
      <c r="D278" s="2" t="str">
        <f ca="1">IFERROR(__xludf.DUMMYFUNCTION("GOOGLETRANSLATE(B278,""en"",""ig"")"),"ezi")</f>
        <v>ezi</v>
      </c>
      <c r="E278" s="2" t="str">
        <f ca="1">IFERROR(__xludf.DUMMYFUNCTION("GOOGLETRANSLATE(B278,""en"",""fr"")"),"assez")</f>
        <v>assez</v>
      </c>
      <c r="F278" s="2" t="str">
        <f ca="1">IFERROR(__xludf.DUMMYFUNCTION("GOOGLETRANSLATE(B278,""en"",""it"")"),"abbastanza")</f>
        <v>abbastanza</v>
      </c>
      <c r="G278" s="2" t="str">
        <f ca="1">IFERROR(__xludf.DUMMYFUNCTION("GOOGLETRANSLATE(B278,""en"",""de"")"),"ganz")</f>
        <v>ganz</v>
      </c>
      <c r="H278" s="2" t="str">
        <f ca="1">IFERROR(__xludf.DUMMYFUNCTION("GOOGLETRANSLATE(B278,""en"",""zh"")"),"相当")</f>
        <v>相当</v>
      </c>
      <c r="I278" s="2" t="str">
        <f ca="1">IFERROR(__xludf.DUMMYFUNCTION("GOOGLETRANSLATE(B278,""en"",""gd"")"),"Gu math")</f>
        <v>Gu math</v>
      </c>
    </row>
    <row r="279" spans="1:9" ht="14.25" customHeight="1" x14ac:dyDescent="0.3">
      <c r="A279" s="2">
        <v>278</v>
      </c>
      <c r="B279" s="3" t="s">
        <v>286</v>
      </c>
      <c r="C279" s="2" t="str">
        <f ca="1">IFERROR(__xludf.DUMMYFUNCTION("GOOGLETRANSLATE(B279, ""en"",""es"")"),"a pesar de")</f>
        <v>a pesar de</v>
      </c>
      <c r="D279" s="2" t="str">
        <f ca="1">IFERROR(__xludf.DUMMYFUNCTION("GOOGLETRANSLATE(B279,""en"",""ig"")"),"n'agbanyego")</f>
        <v>n'agbanyego</v>
      </c>
      <c r="E279" s="2" t="str">
        <f ca="1">IFERROR(__xludf.DUMMYFUNCTION("GOOGLETRANSLATE(B279,""en"",""fr"")"),"bien que")</f>
        <v>bien que</v>
      </c>
      <c r="F279" s="2" t="str">
        <f ca="1">IFERROR(__xludf.DUMMYFUNCTION("GOOGLETRANSLATE(B279,""en"",""it"")"),"Sebbene")</f>
        <v>Sebbene</v>
      </c>
      <c r="G279" s="2" t="str">
        <f ca="1">IFERROR(__xludf.DUMMYFUNCTION("GOOGLETRANSLATE(B279,""en"",""de"")"),"Obwohl")</f>
        <v>Obwohl</v>
      </c>
      <c r="H279" s="2" t="str">
        <f ca="1">IFERROR(__xludf.DUMMYFUNCTION("GOOGLETRANSLATE(B279,""en"",""zh"")"),"虽然")</f>
        <v>虽然</v>
      </c>
      <c r="I279" s="2" t="str">
        <f ca="1">IFERROR(__xludf.DUMMYFUNCTION("GOOGLETRANSLATE(B279,""en"",""gd"")"),"Ged")</f>
        <v>Ged</v>
      </c>
    </row>
    <row r="280" spans="1:9" ht="14.25" customHeight="1" x14ac:dyDescent="0.3">
      <c r="A280" s="2">
        <v>279</v>
      </c>
      <c r="B280" s="3" t="s">
        <v>287</v>
      </c>
      <c r="C280" s="2" t="str">
        <f ca="1">IFERROR(__xludf.DUMMYFUNCTION("GOOGLETRANSLATE(B280, ""en"",""es"")"),"seguro")</f>
        <v>seguro</v>
      </c>
      <c r="D280" s="2" t="str">
        <f ca="1">IFERROR(__xludf.DUMMYFUNCTION("GOOGLETRANSLATE(B280,""en"",""ig"")"),"nke ndabere")</f>
        <v>nke ndabere</v>
      </c>
      <c r="E280" s="2" t="str">
        <f ca="1">IFERROR(__xludf.DUMMYFUNCTION("GOOGLETRANSLATE(B280,""en"",""fr"")"),"bien sûr")</f>
        <v>bien sûr</v>
      </c>
      <c r="F280" s="2" t="str">
        <f ca="1">IFERROR(__xludf.DUMMYFUNCTION("GOOGLETRANSLATE(B280,""en"",""it"")"),"Sicuro")</f>
        <v>Sicuro</v>
      </c>
      <c r="G280" s="2" t="str">
        <f ca="1">IFERROR(__xludf.DUMMYFUNCTION("GOOGLETRANSLATE(B280,""en"",""de"")"),"Sicher")</f>
        <v>Sicher</v>
      </c>
      <c r="H280" s="2" t="str">
        <f ca="1">IFERROR(__xludf.DUMMYFUNCTION("GOOGLETRANSLATE(B280,""en"",""zh"")"),"当然")</f>
        <v>当然</v>
      </c>
      <c r="I280" s="2" t="str">
        <f ca="1">IFERROR(__xludf.DUMMYFUNCTION("GOOGLETRANSLATE(B280,""en"",""gd"")"),"cinnteach")</f>
        <v>cinnteach</v>
      </c>
    </row>
    <row r="281" spans="1:9" ht="14.25" customHeight="1" x14ac:dyDescent="0.3">
      <c r="A281" s="2">
        <v>280</v>
      </c>
      <c r="B281" s="3" t="s">
        <v>288</v>
      </c>
      <c r="C281" s="2" t="str">
        <f ca="1">IFERROR(__xludf.DUMMYFUNCTION("GOOGLETRANSLATE(B281, ""en"",""es"")"),"término")</f>
        <v>término</v>
      </c>
      <c r="D281" s="2" t="str">
        <f ca="1">IFERROR(__xludf.DUMMYFUNCTION("GOOGLETRANSLATE(B281,""en"",""ig"")"),"tem")</f>
        <v>tem</v>
      </c>
      <c r="E281" s="2" t="str">
        <f ca="1">IFERROR(__xludf.DUMMYFUNCTION("GOOGLETRANSLATE(B281,""en"",""fr"")"),"terme")</f>
        <v>terme</v>
      </c>
      <c r="F281" s="2" t="str">
        <f ca="1">IFERROR(__xludf.DUMMYFUNCTION("GOOGLETRANSLATE(B281,""en"",""it"")"),"termine")</f>
        <v>termine</v>
      </c>
      <c r="G281" s="2" t="str">
        <f ca="1">IFERROR(__xludf.DUMMYFUNCTION("GOOGLETRANSLATE(B281,""en"",""de"")"),"Begriff")</f>
        <v>Begriff</v>
      </c>
      <c r="H281" s="2" t="str">
        <f ca="1">IFERROR(__xludf.DUMMYFUNCTION("GOOGLETRANSLATE(B281,""en"",""zh"")"),"学期")</f>
        <v>学期</v>
      </c>
      <c r="I281" s="2" t="str">
        <f ca="1">IFERROR(__xludf.DUMMYFUNCTION("GOOGLETRANSLATE(B281,""en"",""gd"")"),"Teirm")</f>
        <v>Teirm</v>
      </c>
    </row>
    <row r="282" spans="1:9" ht="14.25" customHeight="1" x14ac:dyDescent="0.3">
      <c r="A282" s="2">
        <v>281</v>
      </c>
      <c r="B282" s="3" t="s">
        <v>289</v>
      </c>
      <c r="C282" s="2" t="str">
        <f ca="1">IFERROR(__xludf.DUMMYFUNCTION("GOOGLETRANSLATE(B282, ""en"",""es"")"),"el menos")</f>
        <v>el menos</v>
      </c>
      <c r="D282" s="2" t="str">
        <f ca="1">IFERROR(__xludf.DUMMYFUNCTION("GOOGLETRANSLATE(B282,""en"",""ig"")"),"kacha peempe")</f>
        <v>kacha peempe</v>
      </c>
      <c r="E282" s="2" t="str">
        <f ca="1">IFERROR(__xludf.DUMMYFUNCTION("GOOGLETRANSLATE(B282,""en"",""fr"")"),"moins")</f>
        <v>moins</v>
      </c>
      <c r="F282" s="2" t="str">
        <f ca="1">IFERROR(__xludf.DUMMYFUNCTION("GOOGLETRANSLATE(B282,""en"",""it"")"),"meno")</f>
        <v>meno</v>
      </c>
      <c r="G282" s="2" t="str">
        <f ca="1">IFERROR(__xludf.DUMMYFUNCTION("GOOGLETRANSLATE(B282,""en"",""de"")"),"am wenigsten")</f>
        <v>am wenigsten</v>
      </c>
      <c r="H282" s="2" t="str">
        <f ca="1">IFERROR(__xludf.DUMMYFUNCTION("GOOGLETRANSLATE(B282,""en"",""zh"")"),"至少")</f>
        <v>至少</v>
      </c>
      <c r="I282" s="2" t="str">
        <f ca="1">IFERROR(__xludf.DUMMYFUNCTION("GOOGLETRANSLATE(B282,""en"",""gd"")"),"co-dhiù")</f>
        <v>co-dhiù</v>
      </c>
    </row>
    <row r="283" spans="1:9" ht="14.25" customHeight="1" x14ac:dyDescent="0.3">
      <c r="A283" s="2">
        <v>282</v>
      </c>
      <c r="B283" s="3" t="s">
        <v>290</v>
      </c>
      <c r="C283" s="2" t="str">
        <f ca="1">IFERROR(__xludf.DUMMYFUNCTION("GOOGLETRANSLATE(B283, ""en"",""es"")"),"edad")</f>
        <v>edad</v>
      </c>
      <c r="D283" s="2" t="str">
        <f ca="1">IFERROR(__xludf.DUMMYFUNCTION("GOOGLETRANSLATE(B283,""en"",""ig"")"),"igba afo")</f>
        <v>igba afo</v>
      </c>
      <c r="E283" s="2" t="str">
        <f ca="1">IFERROR(__xludf.DUMMYFUNCTION("GOOGLETRANSLATE(B283,""en"",""fr"")"),"âge")</f>
        <v>âge</v>
      </c>
      <c r="F283" s="2" t="str">
        <f ca="1">IFERROR(__xludf.DUMMYFUNCTION("GOOGLETRANSLATE(B283,""en"",""it"")"),"età")</f>
        <v>età</v>
      </c>
      <c r="G283" s="2" t="str">
        <f ca="1">IFERROR(__xludf.DUMMYFUNCTION("GOOGLETRANSLATE(B283,""en"",""de"")"),"Alter")</f>
        <v>Alter</v>
      </c>
      <c r="H283" s="2" t="str">
        <f ca="1">IFERROR(__xludf.DUMMYFUNCTION("GOOGLETRANSLATE(B283,""en"",""zh"")"),"年龄")</f>
        <v>年龄</v>
      </c>
      <c r="I283" s="2" t="str">
        <f ca="1">IFERROR(__xludf.DUMMYFUNCTION("GOOGLETRANSLATE(B283,""en"",""gd"")"),"aois")</f>
        <v>aois</v>
      </c>
    </row>
    <row r="284" spans="1:9" ht="14.25" customHeight="1" x14ac:dyDescent="0.3">
      <c r="A284" s="2">
        <v>283</v>
      </c>
      <c r="B284" s="3" t="s">
        <v>291</v>
      </c>
      <c r="C284" s="2" t="str">
        <f ca="1">IFERROR(__xludf.DUMMYFUNCTION("GOOGLETRANSLATE(B284, ""en"",""es"")"),"bajo")</f>
        <v>bajo</v>
      </c>
      <c r="D284" s="2" t="str">
        <f ca="1">IFERROR(__xludf.DUMMYFUNCTION("GOOGLETRANSLATE(B284,""en"",""ig"")"),"kediala")</f>
        <v>kediala</v>
      </c>
      <c r="E284" s="2" t="str">
        <f ca="1">IFERROR(__xludf.DUMMYFUNCTION("GOOGLETRANSLATE(B284,""en"",""fr"")"),"faible")</f>
        <v>faible</v>
      </c>
      <c r="F284" s="2" t="str">
        <f ca="1">IFERROR(__xludf.DUMMYFUNCTION("GOOGLETRANSLATE(B284,""en"",""it"")"),"Basso")</f>
        <v>Basso</v>
      </c>
      <c r="G284" s="2" t="str">
        <f ca="1">IFERROR(__xludf.DUMMYFUNCTION("GOOGLETRANSLATE(B284,""en"",""de"")"),"niedrig")</f>
        <v>niedrig</v>
      </c>
      <c r="H284" s="2" t="str">
        <f ca="1">IFERROR(__xludf.DUMMYFUNCTION("GOOGLETRANSLATE(B284,""en"",""zh"")"),"低的")</f>
        <v>低的</v>
      </c>
      <c r="I284" s="2" t="str">
        <f ca="1">IFERROR(__xludf.DUMMYFUNCTION("GOOGLETRANSLATE(B284,""en"",""gd"")"),"ìosal")</f>
        <v>ìosal</v>
      </c>
    </row>
    <row r="285" spans="1:9" ht="14.25" customHeight="1" x14ac:dyDescent="0.3">
      <c r="A285" s="2">
        <v>284</v>
      </c>
      <c r="B285" s="3" t="s">
        <v>292</v>
      </c>
      <c r="C285" s="2" t="str">
        <f ca="1">IFERROR(__xludf.DUMMYFUNCTION("GOOGLETRANSLATE(B285, ""en"",""es"")"),"hablar")</f>
        <v>hablar</v>
      </c>
      <c r="D285" s="2" t="str">
        <f ca="1">IFERROR(__xludf.DUMMYFUNCTION("GOOGLETRANSLATE(B285,""en"",""ig"")"),"kwuo")</f>
        <v>kwuo</v>
      </c>
      <c r="E285" s="2" t="str">
        <f ca="1">IFERROR(__xludf.DUMMYFUNCTION("GOOGLETRANSLATE(B285,""en"",""fr"")"),"parler")</f>
        <v>parler</v>
      </c>
      <c r="F285" s="2" t="str">
        <f ca="1">IFERROR(__xludf.DUMMYFUNCTION("GOOGLETRANSLATE(B285,""en"",""it"")"),"parlare")</f>
        <v>parlare</v>
      </c>
      <c r="G285" s="2" t="str">
        <f ca="1">IFERROR(__xludf.DUMMYFUNCTION("GOOGLETRANSLATE(B285,""en"",""de"")"),"sprechen")</f>
        <v>sprechen</v>
      </c>
      <c r="H285" s="2" t="str">
        <f ca="1">IFERROR(__xludf.DUMMYFUNCTION("GOOGLETRANSLATE(B285,""en"",""zh"")"),"说话")</f>
        <v>说话</v>
      </c>
      <c r="I285" s="2" t="str">
        <f ca="1">IFERROR(__xludf.DUMMYFUNCTION("GOOGLETRANSLATE(B285,""en"",""gd"")"),"bruidhinn")</f>
        <v>bruidhinn</v>
      </c>
    </row>
    <row r="286" spans="1:9" ht="14.25" customHeight="1" x14ac:dyDescent="0.3">
      <c r="A286" s="2">
        <v>285</v>
      </c>
      <c r="B286" s="3" t="s">
        <v>293</v>
      </c>
      <c r="C286" s="2" t="str">
        <f ca="1">IFERROR(__xludf.DUMMYFUNCTION("GOOGLETRANSLATE(B286, ""en"",""es"")"),"dentro")</f>
        <v>dentro</v>
      </c>
      <c r="D286" s="2" t="str">
        <f ca="1">IFERROR(__xludf.DUMMYFUNCTION("GOOGLETRANSLATE(B286,""en"",""ig"")"),"nime")</f>
        <v>nime</v>
      </c>
      <c r="E286" s="2" t="str">
        <f ca="1">IFERROR(__xludf.DUMMYFUNCTION("GOOGLETRANSLATE(B286,""en"",""fr"")"),"dans")</f>
        <v>dans</v>
      </c>
      <c r="F286" s="2" t="str">
        <f ca="1">IFERROR(__xludf.DUMMYFUNCTION("GOOGLETRANSLATE(B286,""en"",""it"")"),"entro")</f>
        <v>entro</v>
      </c>
      <c r="G286" s="2" t="str">
        <f ca="1">IFERROR(__xludf.DUMMYFUNCTION("GOOGLETRANSLATE(B286,""en"",""de"")"),"innerhalb")</f>
        <v>innerhalb</v>
      </c>
      <c r="H286" s="2" t="str">
        <f ca="1">IFERROR(__xludf.DUMMYFUNCTION("GOOGLETRANSLATE(B286,""en"",""zh"")"),"之内")</f>
        <v>之内</v>
      </c>
      <c r="I286" s="2" t="str">
        <f ca="1">IFERROR(__xludf.DUMMYFUNCTION("GOOGLETRANSLATE(B286,""en"",""gd"")"),"Taobh a-staigh")</f>
        <v>Taobh a-staigh</v>
      </c>
    </row>
    <row r="287" spans="1:9" ht="14.25" customHeight="1" x14ac:dyDescent="0.3">
      <c r="A287" s="2">
        <v>286</v>
      </c>
      <c r="B287" s="3" t="s">
        <v>294</v>
      </c>
      <c r="C287" s="2" t="str">
        <f ca="1">IFERROR(__xludf.DUMMYFUNCTION("GOOGLETRANSLATE(B287, ""en"",""es"")"),"proceso")</f>
        <v>proceso</v>
      </c>
      <c r="D287" s="2" t="str">
        <f ca="1">IFERROR(__xludf.DUMMYFUNCTION("GOOGLETRANSLATE(B287,""en"",""ig"")"),"otu esi emeputa ihe")</f>
        <v>otu esi emeputa ihe</v>
      </c>
      <c r="E287" s="2" t="str">
        <f ca="1">IFERROR(__xludf.DUMMYFUNCTION("GOOGLETRANSLATE(B287,""en"",""fr"")"),"processus")</f>
        <v>processus</v>
      </c>
      <c r="F287" s="2" t="str">
        <f ca="1">IFERROR(__xludf.DUMMYFUNCTION("GOOGLETRANSLATE(B287,""en"",""it"")"),"processi")</f>
        <v>processi</v>
      </c>
      <c r="G287" s="2" t="str">
        <f ca="1">IFERROR(__xludf.DUMMYFUNCTION("GOOGLETRANSLATE(B287,""en"",""de"")"),"Verfahren")</f>
        <v>Verfahren</v>
      </c>
      <c r="H287" s="2" t="str">
        <f ca="1">IFERROR(__xludf.DUMMYFUNCTION("GOOGLETRANSLATE(B287,""en"",""zh"")"),"过程")</f>
        <v>过程</v>
      </c>
      <c r="I287" s="2" t="str">
        <f ca="1">IFERROR(__xludf.DUMMYFUNCTION("GOOGLETRANSLATE(B287,""en"",""gd"")"),"Pròiseas")</f>
        <v>Pròiseas</v>
      </c>
    </row>
    <row r="288" spans="1:9" ht="14.25" customHeight="1" x14ac:dyDescent="0.3">
      <c r="A288" s="2">
        <v>287</v>
      </c>
      <c r="B288" s="3" t="s">
        <v>295</v>
      </c>
      <c r="C288" s="2" t="str">
        <f ca="1">IFERROR(__xludf.DUMMYFUNCTION("GOOGLETRANSLATE(B288, ""en"",""es"")"),"público")</f>
        <v>público</v>
      </c>
      <c r="D288" s="2" t="str">
        <f ca="1">IFERROR(__xludf.DUMMYFUNCTION("GOOGLETRANSLATE(B288,""en"",""ig"")"),"nke oha")</f>
        <v>nke oha</v>
      </c>
      <c r="E288" s="2" t="str">
        <f ca="1">IFERROR(__xludf.DUMMYFUNCTION("GOOGLETRANSLATE(B288,""en"",""fr"")"),"publique")</f>
        <v>publique</v>
      </c>
      <c r="F288" s="2" t="str">
        <f ca="1">IFERROR(__xludf.DUMMYFUNCTION("GOOGLETRANSLATE(B288,""en"",""it"")"),"pubblico")</f>
        <v>pubblico</v>
      </c>
      <c r="G288" s="2" t="str">
        <f ca="1">IFERROR(__xludf.DUMMYFUNCTION("GOOGLETRANSLATE(B288,""en"",""de"")"),"öffentlich")</f>
        <v>öffentlich</v>
      </c>
      <c r="H288" s="2" t="str">
        <f ca="1">IFERROR(__xludf.DUMMYFUNCTION("GOOGLETRANSLATE(B288,""en"",""zh"")"),"民众")</f>
        <v>民众</v>
      </c>
      <c r="I288" s="2" t="str">
        <f ca="1">IFERROR(__xludf.DUMMYFUNCTION("GOOGLETRANSLATE(B288,""en"",""gd"")"),"poblach")</f>
        <v>poblach</v>
      </c>
    </row>
    <row r="289" spans="1:9" ht="14.25" customHeight="1" x14ac:dyDescent="0.3">
      <c r="A289" s="2">
        <v>288</v>
      </c>
      <c r="B289" s="3" t="s">
        <v>296</v>
      </c>
      <c r="C289" s="2" t="str">
        <f ca="1">IFERROR(__xludf.DUMMYFUNCTION("GOOGLETRANSLATE(B289, ""en"",""es"")"),"a menudo")</f>
        <v>a menudo</v>
      </c>
      <c r="D289" s="2" t="str">
        <f ca="1">IFERROR(__xludf.DUMMYFUNCTION("GOOGLETRANSLATE(B289,""en"",""ig"")"),"otutu mgbe")</f>
        <v>otutu mgbe</v>
      </c>
      <c r="E289" s="2" t="str">
        <f ca="1">IFERROR(__xludf.DUMMYFUNCTION("GOOGLETRANSLATE(B289,""en"",""fr"")"),"souvent")</f>
        <v>souvent</v>
      </c>
      <c r="F289" s="2" t="str">
        <f ca="1">IFERROR(__xludf.DUMMYFUNCTION("GOOGLETRANSLATE(B289,""en"",""it"")"),"Spesso")</f>
        <v>Spesso</v>
      </c>
      <c r="G289" s="2" t="str">
        <f ca="1">IFERROR(__xludf.DUMMYFUNCTION("GOOGLETRANSLATE(B289,""en"",""de"")"),"oft")</f>
        <v>oft</v>
      </c>
      <c r="H289" s="2" t="str">
        <f ca="1">IFERROR(__xludf.DUMMYFUNCTION("GOOGLETRANSLATE(B289,""en"",""zh"")"),"经常")</f>
        <v>经常</v>
      </c>
      <c r="I289" s="2" t="str">
        <f ca="1">IFERROR(__xludf.DUMMYFUNCTION("GOOGLETRANSLATE(B289,""en"",""gd"")"),"gu tric")</f>
        <v>gu tric</v>
      </c>
    </row>
    <row r="290" spans="1:9" ht="14.25" customHeight="1" x14ac:dyDescent="0.3">
      <c r="A290" s="2">
        <v>289</v>
      </c>
      <c r="B290" s="3" t="s">
        <v>297</v>
      </c>
      <c r="C290" s="2" t="str">
        <f ca="1">IFERROR(__xludf.DUMMYFUNCTION("GOOGLETRANSLATE(B290, ""en"",""es"")"),"tren")</f>
        <v>tren</v>
      </c>
      <c r="D290" s="2" t="str">
        <f ca="1">IFERROR(__xludf.DUMMYFUNCTION("GOOGLETRANSLATE(B290,""en"",""ig"")"),"tren")</f>
        <v>tren</v>
      </c>
      <c r="E290" s="2" t="str">
        <f ca="1">IFERROR(__xludf.DUMMYFUNCTION("GOOGLETRANSLATE(B290,""en"",""fr"")"),"former")</f>
        <v>former</v>
      </c>
      <c r="F290" s="2" t="str">
        <f ca="1">IFERROR(__xludf.DUMMYFUNCTION("GOOGLETRANSLATE(B290,""en"",""it"")"),"treno")</f>
        <v>treno</v>
      </c>
      <c r="G290" s="2" t="str">
        <f ca="1">IFERROR(__xludf.DUMMYFUNCTION("GOOGLETRANSLATE(B290,""en"",""de"")"),"Zug")</f>
        <v>Zug</v>
      </c>
      <c r="H290" s="2" t="str">
        <f ca="1">IFERROR(__xludf.DUMMYFUNCTION("GOOGLETRANSLATE(B290,""en"",""zh"")"),"火车")</f>
        <v>火车</v>
      </c>
      <c r="I290" s="2" t="str">
        <f ca="1">IFERROR(__xludf.DUMMYFUNCTION("GOOGLETRANSLATE(B290,""en"",""gd"")"),"Trèana")</f>
        <v>Trèana</v>
      </c>
    </row>
    <row r="291" spans="1:9" ht="14.25" customHeight="1" x14ac:dyDescent="0.3">
      <c r="A291" s="2">
        <v>290</v>
      </c>
      <c r="B291" s="3" t="s">
        <v>298</v>
      </c>
      <c r="C291" s="2" t="str">
        <f ca="1">IFERROR(__xludf.DUMMYFUNCTION("GOOGLETRANSLATE(B291, ""en"",""es"")"),"posible")</f>
        <v>posible</v>
      </c>
      <c r="D291" s="2" t="str">
        <f ca="1">IFERROR(__xludf.DUMMYFUNCTION("GOOGLETRANSLATE(B291,""en"",""ig"")"),"ipu omume")</f>
        <v>ipu omume</v>
      </c>
      <c r="E291" s="2" t="str">
        <f ca="1">IFERROR(__xludf.DUMMYFUNCTION("GOOGLETRANSLATE(B291,""en"",""fr"")"),"possible")</f>
        <v>possible</v>
      </c>
      <c r="F291" s="2" t="str">
        <f ca="1">IFERROR(__xludf.DUMMYFUNCTION("GOOGLETRANSLATE(B291,""en"",""it"")"),"possibile")</f>
        <v>possibile</v>
      </c>
      <c r="G291" s="2" t="str">
        <f ca="1">IFERROR(__xludf.DUMMYFUNCTION("GOOGLETRANSLATE(B291,""en"",""de"")"),"möglich")</f>
        <v>möglich</v>
      </c>
      <c r="H291" s="2" t="str">
        <f ca="1">IFERROR(__xludf.DUMMYFUNCTION("GOOGLETRANSLATE(B291,""en"",""zh"")"),"可能的")</f>
        <v>可能的</v>
      </c>
      <c r="I291" s="2" t="str">
        <f ca="1">IFERROR(__xludf.DUMMYFUNCTION("GOOGLETRANSLATE(B291,""en"",""gd"")"),"comasach")</f>
        <v>comasach</v>
      </c>
    </row>
    <row r="292" spans="1:9" ht="14.25" customHeight="1" x14ac:dyDescent="0.3">
      <c r="A292" s="2">
        <v>291</v>
      </c>
      <c r="B292" s="3" t="s">
        <v>299</v>
      </c>
      <c r="C292" s="2" t="str">
        <f ca="1">IFERROR(__xludf.DUMMYFUNCTION("GOOGLETRANSLATE(B292, ""en"",""es"")"),"de hecho")</f>
        <v>de hecho</v>
      </c>
      <c r="D292" s="2" t="str">
        <f ca="1">IFERROR(__xludf.DUMMYFUNCTION("GOOGLETRANSLATE(B292,""en"",""ig"")"),"n'eziokwu")</f>
        <v>n'eziokwu</v>
      </c>
      <c r="E292" s="2" t="str">
        <f ca="1">IFERROR(__xludf.DUMMYFUNCTION("GOOGLETRANSLATE(B292,""en"",""fr"")"),"en fait")</f>
        <v>en fait</v>
      </c>
      <c r="F292" s="2" t="str">
        <f ca="1">IFERROR(__xludf.DUMMYFUNCTION("GOOGLETRANSLATE(B292,""en"",""it"")"),"In realtà")</f>
        <v>In realtà</v>
      </c>
      <c r="G292" s="2" t="str">
        <f ca="1">IFERROR(__xludf.DUMMYFUNCTION("GOOGLETRANSLATE(B292,""en"",""de"")"),"Genau genommen")</f>
        <v>Genau genommen</v>
      </c>
      <c r="H292" s="2" t="str">
        <f ca="1">IFERROR(__xludf.DUMMYFUNCTION("GOOGLETRANSLATE(B292,""en"",""zh"")"),"实际上")</f>
        <v>实际上</v>
      </c>
      <c r="I292" s="2" t="str">
        <f ca="1">IFERROR(__xludf.DUMMYFUNCTION("GOOGLETRANSLATE(B292,""en"",""gd"")"),"gu dearbh")</f>
        <v>gu dearbh</v>
      </c>
    </row>
    <row r="293" spans="1:9" ht="14.25" customHeight="1" x14ac:dyDescent="0.3">
      <c r="A293" s="2">
        <v>292</v>
      </c>
      <c r="B293" s="3" t="s">
        <v>300</v>
      </c>
      <c r="C293" s="2" t="str">
        <f ca="1">IFERROR(__xludf.DUMMYFUNCTION("GOOGLETRANSLATE(B293, ""en"",""es"")"),"bastante")</f>
        <v>bastante</v>
      </c>
      <c r="D293" s="2" t="str">
        <f ca="1">IFERROR(__xludf.DUMMYFUNCTION("GOOGLETRANSLATE(B293,""en"",""ig"")"),"msorobi")</f>
        <v>msorobi</v>
      </c>
      <c r="E293" s="2" t="str">
        <f ca="1">IFERROR(__xludf.DUMMYFUNCTION("GOOGLETRANSLATE(B293,""en"",""fr"")"),"plutôt")</f>
        <v>plutôt</v>
      </c>
      <c r="F293" s="2" t="str">
        <f ca="1">IFERROR(__xludf.DUMMYFUNCTION("GOOGLETRANSLATE(B293,""en"",""it"")"),"Piuttosto")</f>
        <v>Piuttosto</v>
      </c>
      <c r="G293" s="2" t="str">
        <f ca="1">IFERROR(__xludf.DUMMYFUNCTION("GOOGLETRANSLATE(B293,""en"",""de"")"),"eher")</f>
        <v>eher</v>
      </c>
      <c r="H293" s="2" t="str">
        <f ca="1">IFERROR(__xludf.DUMMYFUNCTION("GOOGLETRANSLATE(B293,""en"",""zh"")"),"相当")</f>
        <v>相当</v>
      </c>
      <c r="I293" s="2" t="str">
        <f ca="1">IFERROR(__xludf.DUMMYFUNCTION("GOOGLETRANSLATE(B293,""en"",""gd"")"),"An àite sin")</f>
        <v>An àite sin</v>
      </c>
    </row>
    <row r="294" spans="1:9" ht="14.25" customHeight="1" x14ac:dyDescent="0.3">
      <c r="A294" s="2">
        <v>293</v>
      </c>
      <c r="B294" s="3" t="s">
        <v>301</v>
      </c>
      <c r="C294" s="2" t="str">
        <f ca="1">IFERROR(__xludf.DUMMYFUNCTION("GOOGLETRANSLATE(B294, ""en"",""es"")"),"vista")</f>
        <v>vista</v>
      </c>
      <c r="D294" s="2" t="str">
        <f ca="1">IFERROR(__xludf.DUMMYFUNCTION("GOOGLETRANSLATE(B294,""en"",""ig"")"),"ucheobi")</f>
        <v>ucheobi</v>
      </c>
      <c r="E294" s="2" t="str">
        <f ca="1">IFERROR(__xludf.DUMMYFUNCTION("GOOGLETRANSLATE(B294,""en"",""fr"")"),"voir")</f>
        <v>voir</v>
      </c>
      <c r="F294" s="2" t="str">
        <f ca="1">IFERROR(__xludf.DUMMYFUNCTION("GOOGLETRANSLATE(B294,""en"",""it"")"),"visualizzazione")</f>
        <v>visualizzazione</v>
      </c>
      <c r="G294" s="2" t="str">
        <f ca="1">IFERROR(__xludf.DUMMYFUNCTION("GOOGLETRANSLATE(B294,""en"",""de"")"),"Sicht")</f>
        <v>Sicht</v>
      </c>
      <c r="H294" s="2" t="str">
        <f ca="1">IFERROR(__xludf.DUMMYFUNCTION("GOOGLETRANSLATE(B294,""en"",""zh"")"),"看法")</f>
        <v>看法</v>
      </c>
      <c r="I294" s="2" t="str">
        <f ca="1">IFERROR(__xludf.DUMMYFUNCTION("GOOGLETRANSLATE(B294,""en"",""gd"")"),"sealladh")</f>
        <v>sealladh</v>
      </c>
    </row>
    <row r="295" spans="1:9" ht="14.25" customHeight="1" x14ac:dyDescent="0.3">
      <c r="A295" s="2">
        <v>294</v>
      </c>
      <c r="B295" s="3" t="s">
        <v>302</v>
      </c>
      <c r="C295" s="2" t="str">
        <f ca="1">IFERROR(__xludf.DUMMYFUNCTION("GOOGLETRANSLATE(B295, ""en"",""es"")"),"juntos")</f>
        <v>juntos</v>
      </c>
      <c r="D295" s="2" t="str">
        <f ca="1">IFERROR(__xludf.DUMMYFUNCTION("GOOGLETRANSLATE(B295,""en"",""ig"")"),"otuebe")</f>
        <v>otuebe</v>
      </c>
      <c r="E295" s="2" t="str">
        <f ca="1">IFERROR(__xludf.DUMMYFUNCTION("GOOGLETRANSLATE(B295,""en"",""fr"")"),"ensemble")</f>
        <v>ensemble</v>
      </c>
      <c r="F295" s="2" t="str">
        <f ca="1">IFERROR(__xludf.DUMMYFUNCTION("GOOGLETRANSLATE(B295,""en"",""it"")"),"insieme")</f>
        <v>insieme</v>
      </c>
      <c r="G295" s="2" t="str">
        <f ca="1">IFERROR(__xludf.DUMMYFUNCTION("GOOGLETRANSLATE(B295,""en"",""de"")"),"zusammen")</f>
        <v>zusammen</v>
      </c>
      <c r="H295" s="2" t="str">
        <f ca="1">IFERROR(__xludf.DUMMYFUNCTION("GOOGLETRANSLATE(B295,""en"",""zh"")"),"一起")</f>
        <v>一起</v>
      </c>
      <c r="I295" s="2" t="str">
        <f ca="1">IFERROR(__xludf.DUMMYFUNCTION("GOOGLETRANSLATE(B295,""en"",""gd"")"),"còmhla")</f>
        <v>còmhla</v>
      </c>
    </row>
    <row r="296" spans="1:9" ht="14.25" customHeight="1" x14ac:dyDescent="0.3">
      <c r="A296" s="2">
        <v>295</v>
      </c>
      <c r="B296" s="3" t="s">
        <v>303</v>
      </c>
      <c r="C296" s="2" t="str">
        <f ca="1">IFERROR(__xludf.DUMMYFUNCTION("GOOGLETRANSLATE(B296, ""en"",""es"")"),"considerar")</f>
        <v>considerar</v>
      </c>
      <c r="D296" s="2" t="str">
        <f ca="1">IFERROR(__xludf.DUMMYFUNCTION("GOOGLETRANSLATE(B296,""en"",""ig"")"),"itule")</f>
        <v>itule</v>
      </c>
      <c r="E296" s="2" t="str">
        <f ca="1">IFERROR(__xludf.DUMMYFUNCTION("GOOGLETRANSLATE(B296,""en"",""fr"")"),"considérer")</f>
        <v>considérer</v>
      </c>
      <c r="F296" s="2" t="str">
        <f ca="1">IFERROR(__xludf.DUMMYFUNCTION("GOOGLETRANSLATE(B296,""en"",""it"")"),"prendere in considerazione")</f>
        <v>prendere in considerazione</v>
      </c>
      <c r="G296" s="2" t="str">
        <f ca="1">IFERROR(__xludf.DUMMYFUNCTION("GOOGLETRANSLATE(B296,""en"",""de"")"),"halten")</f>
        <v>halten</v>
      </c>
      <c r="H296" s="2" t="str">
        <f ca="1">IFERROR(__xludf.DUMMYFUNCTION("GOOGLETRANSLATE(B296,""en"",""zh"")"),"考虑")</f>
        <v>考虑</v>
      </c>
      <c r="I296" s="2" t="str">
        <f ca="1">IFERROR(__xludf.DUMMYFUNCTION("GOOGLETRANSLATE(B296,""en"",""gd"")"),"beachdaich air")</f>
        <v>beachdaich air</v>
      </c>
    </row>
    <row r="297" spans="1:9" ht="14.25" customHeight="1" x14ac:dyDescent="0.3">
      <c r="A297" s="2">
        <v>296</v>
      </c>
      <c r="B297" s="3" t="s">
        <v>304</v>
      </c>
      <c r="C297" s="2" t="str">
        <f ca="1">IFERROR(__xludf.DUMMYFUNCTION("GOOGLETRANSLATE(B297, ""en"",""es"")"),"precio")</f>
        <v>precio</v>
      </c>
      <c r="D297" s="2" t="str">
        <f ca="1">IFERROR(__xludf.DUMMYFUNCTION("GOOGLETRANSLATE(B297,""en"",""ig"")"),"ego ozuzu")</f>
        <v>ego ozuzu</v>
      </c>
      <c r="E297" s="2" t="str">
        <f ca="1">IFERROR(__xludf.DUMMYFUNCTION("GOOGLETRANSLATE(B297,""en"",""fr"")"),"prix")</f>
        <v>prix</v>
      </c>
      <c r="F297" s="2" t="str">
        <f ca="1">IFERROR(__xludf.DUMMYFUNCTION("GOOGLETRANSLATE(B297,""en"",""it"")"),"prezzo")</f>
        <v>prezzo</v>
      </c>
      <c r="G297" s="2" t="str">
        <f ca="1">IFERROR(__xludf.DUMMYFUNCTION("GOOGLETRANSLATE(B297,""en"",""de"")"),"Preis")</f>
        <v>Preis</v>
      </c>
      <c r="H297" s="2" t="str">
        <f ca="1">IFERROR(__xludf.DUMMYFUNCTION("GOOGLETRANSLATE(B297,""en"",""zh"")"),"价格")</f>
        <v>价格</v>
      </c>
      <c r="I297" s="2" t="str">
        <f ca="1">IFERROR(__xludf.DUMMYFUNCTION("GOOGLETRANSLATE(B297,""en"",""gd"")"),"prìs")</f>
        <v>prìs</v>
      </c>
    </row>
    <row r="298" spans="1:9" ht="14.25" customHeight="1" x14ac:dyDescent="0.3">
      <c r="A298" s="2">
        <v>297</v>
      </c>
      <c r="B298" s="3" t="s">
        <v>305</v>
      </c>
      <c r="C298" s="2" t="str">
        <f ca="1">IFERROR(__xludf.DUMMYFUNCTION("GOOGLETRANSLATE(B298, ""en"",""es"")"),"padre")</f>
        <v>padre</v>
      </c>
      <c r="D298" s="2" t="str">
        <f ca="1">IFERROR(__xludf.DUMMYFUNCTION("GOOGLETRANSLATE(B298,""en"",""ig"")"),"nne na nna")</f>
        <v>nne na nna</v>
      </c>
      <c r="E298" s="2" t="str">
        <f ca="1">IFERROR(__xludf.DUMMYFUNCTION("GOOGLETRANSLATE(B298,""en"",""fr"")"),"parent")</f>
        <v>parent</v>
      </c>
      <c r="F298" s="2" t="str">
        <f ca="1">IFERROR(__xludf.DUMMYFUNCTION("GOOGLETRANSLATE(B298,""en"",""it"")"),"genitore")</f>
        <v>genitore</v>
      </c>
      <c r="G298" s="2" t="str">
        <f ca="1">IFERROR(__xludf.DUMMYFUNCTION("GOOGLETRANSLATE(B298,""en"",""de"")"),"Elternteil")</f>
        <v>Elternteil</v>
      </c>
      <c r="H298" s="2" t="str">
        <f ca="1">IFERROR(__xludf.DUMMYFUNCTION("GOOGLETRANSLATE(B298,""en"",""zh"")"),"父母")</f>
        <v>父母</v>
      </c>
      <c r="I298" s="2" t="str">
        <f ca="1">IFERROR(__xludf.DUMMYFUNCTION("GOOGLETRANSLATE(B298,""en"",""gd"")"),"Pàrant")</f>
        <v>Pàrant</v>
      </c>
    </row>
    <row r="299" spans="1:9" ht="14.25" customHeight="1" x14ac:dyDescent="0.3">
      <c r="A299" s="2">
        <v>298</v>
      </c>
      <c r="B299" s="3" t="s">
        <v>306</v>
      </c>
      <c r="C299" s="2" t="str">
        <f ca="1">IFERROR(__xludf.DUMMYFUNCTION("GOOGLETRANSLATE(B299, ""en"",""es"")"),"duro")</f>
        <v>duro</v>
      </c>
      <c r="D299" s="2" t="str">
        <f ca="1">IFERROR(__xludf.DUMMYFUNCTION("GOOGLETRANSLATE(B299,""en"",""ig"")"),"siri ike")</f>
        <v>siri ike</v>
      </c>
      <c r="E299" s="2" t="str">
        <f ca="1">IFERROR(__xludf.DUMMYFUNCTION("GOOGLETRANSLATE(B299,""en"",""fr"")"),"dur")</f>
        <v>dur</v>
      </c>
      <c r="F299" s="2" t="str">
        <f ca="1">IFERROR(__xludf.DUMMYFUNCTION("GOOGLETRANSLATE(B299,""en"",""it"")"),"difficile")</f>
        <v>difficile</v>
      </c>
      <c r="G299" s="2" t="str">
        <f ca="1">IFERROR(__xludf.DUMMYFUNCTION("GOOGLETRANSLATE(B299,""en"",""de"")"),"hart")</f>
        <v>hart</v>
      </c>
      <c r="H299" s="2" t="str">
        <f ca="1">IFERROR(__xludf.DUMMYFUNCTION("GOOGLETRANSLATE(B299,""en"",""zh"")"),"难的")</f>
        <v>难的</v>
      </c>
      <c r="I299" s="2" t="str">
        <f ca="1">IFERROR(__xludf.DUMMYFUNCTION("GOOGLETRANSLATE(B299,""en"",""gd"")"),"cruaidh")</f>
        <v>cruaidh</v>
      </c>
    </row>
    <row r="300" spans="1:9" ht="14.25" customHeight="1" x14ac:dyDescent="0.3">
      <c r="A300" s="2">
        <v>299</v>
      </c>
      <c r="B300" s="3" t="s">
        <v>307</v>
      </c>
      <c r="C300" s="2" t="str">
        <f ca="1">IFERROR(__xludf.DUMMYFUNCTION("GOOGLETRANSLATE(B300, ""en"",""es"")"),"fiesta")</f>
        <v>fiesta</v>
      </c>
      <c r="D300" s="2" t="str">
        <f ca="1">IFERROR(__xludf.DUMMYFUNCTION("GOOGLETRANSLATE(B300,""en"",""ig"")"),"otu")</f>
        <v>otu</v>
      </c>
      <c r="E300" s="2" t="str">
        <f ca="1">IFERROR(__xludf.DUMMYFUNCTION("GOOGLETRANSLATE(B300,""en"",""fr"")"),"faire la fête")</f>
        <v>faire la fête</v>
      </c>
      <c r="F300" s="2" t="str">
        <f ca="1">IFERROR(__xludf.DUMMYFUNCTION("GOOGLETRANSLATE(B300,""en"",""it"")"),"festa")</f>
        <v>festa</v>
      </c>
      <c r="G300" s="2" t="str">
        <f ca="1">IFERROR(__xludf.DUMMYFUNCTION("GOOGLETRANSLATE(B300,""en"",""de"")"),"Party")</f>
        <v>Party</v>
      </c>
      <c r="H300" s="2" t="str">
        <f ca="1">IFERROR(__xludf.DUMMYFUNCTION("GOOGLETRANSLATE(B300,""en"",""zh"")"),"派对")</f>
        <v>派对</v>
      </c>
      <c r="I300" s="2" t="str">
        <f ca="1">IFERROR(__xludf.DUMMYFUNCTION("GOOGLETRANSLATE(B300,""en"",""gd"")"),"Pàrtaidh")</f>
        <v>Pàrtaidh</v>
      </c>
    </row>
    <row r="301" spans="1:9" ht="14.25" customHeight="1" x14ac:dyDescent="0.3">
      <c r="A301" s="2">
        <v>300</v>
      </c>
      <c r="B301" s="3" t="s">
        <v>308</v>
      </c>
      <c r="C301" s="2" t="str">
        <f ca="1">IFERROR(__xludf.DUMMYFUNCTION("GOOGLETRANSLATE(B301, ""en"",""es"")"),"local")</f>
        <v>local</v>
      </c>
      <c r="D301" s="2" t="str">
        <f ca="1">IFERROR(__xludf.DUMMYFUNCTION("GOOGLETRANSLATE(B301,""en"",""ig"")"),"ebeulo")</f>
        <v>ebeulo</v>
      </c>
      <c r="E301" s="2" t="str">
        <f ca="1">IFERROR(__xludf.DUMMYFUNCTION("GOOGLETRANSLATE(B301,""en"",""fr"")"),"locale")</f>
        <v>locale</v>
      </c>
      <c r="F301" s="2" t="str">
        <f ca="1">IFERROR(__xludf.DUMMYFUNCTION("GOOGLETRANSLATE(B301,""en"",""it"")"),"Locale")</f>
        <v>Locale</v>
      </c>
      <c r="G301" s="2" t="str">
        <f ca="1">IFERROR(__xludf.DUMMYFUNCTION("GOOGLETRANSLATE(B301,""en"",""de"")"),"lokal")</f>
        <v>lokal</v>
      </c>
      <c r="H301" s="2" t="str">
        <f ca="1">IFERROR(__xludf.DUMMYFUNCTION("GOOGLETRANSLATE(B301,""en"",""zh"")"),"当地的")</f>
        <v>当地的</v>
      </c>
      <c r="I301" s="2" t="str">
        <f ca="1">IFERROR(__xludf.DUMMYFUNCTION("GOOGLETRANSLATE(B301,""en"",""gd"")"),"ionadail")</f>
        <v>ionadail</v>
      </c>
    </row>
    <row r="302" spans="1:9" ht="14.25" customHeight="1" x14ac:dyDescent="0.3">
      <c r="A302" s="2">
        <v>301</v>
      </c>
      <c r="B302" s="3" t="s">
        <v>309</v>
      </c>
      <c r="C302" s="2" t="str">
        <f ca="1">IFERROR(__xludf.DUMMYFUNCTION("GOOGLETRANSLATE(B302, ""en"",""es"")"),"control")</f>
        <v>control</v>
      </c>
      <c r="D302" s="2" t="str">
        <f ca="1">IFERROR(__xludf.DUMMYFUNCTION("GOOGLETRANSLATE(B302,""en"",""ig"")"),"ike nchikota")</f>
        <v>ike nchikota</v>
      </c>
      <c r="E302" s="2" t="str">
        <f ca="1">IFERROR(__xludf.DUMMYFUNCTION("GOOGLETRANSLATE(B302,""en"",""fr"")"),"contrôle")</f>
        <v>contrôle</v>
      </c>
      <c r="F302" s="2" t="str">
        <f ca="1">IFERROR(__xludf.DUMMYFUNCTION("GOOGLETRANSLATE(B302,""en"",""it"")"),"controllo")</f>
        <v>controllo</v>
      </c>
      <c r="G302" s="2" t="str">
        <f ca="1">IFERROR(__xludf.DUMMYFUNCTION("GOOGLETRANSLATE(B302,""en"",""de"")"),"Kontrolle")</f>
        <v>Kontrolle</v>
      </c>
      <c r="H302" s="2" t="str">
        <f ca="1">IFERROR(__xludf.DUMMYFUNCTION("GOOGLETRANSLATE(B302,""en"",""zh"")"),"控制")</f>
        <v>控制</v>
      </c>
      <c r="I302" s="2" t="str">
        <f ca="1">IFERROR(__xludf.DUMMYFUNCTION("GOOGLETRANSLATE(B302,""en"",""gd"")"),"Smachd")</f>
        <v>Smachd</v>
      </c>
    </row>
    <row r="303" spans="1:9" ht="14.25" customHeight="1" x14ac:dyDescent="0.3">
      <c r="A303" s="2">
        <v>302</v>
      </c>
      <c r="B303" s="3" t="s">
        <v>310</v>
      </c>
      <c r="C303" s="2" t="str">
        <f ca="1">IFERROR(__xludf.DUMMYFUNCTION("GOOGLETRANSLATE(B303, ""en"",""es"")"),"ya")</f>
        <v>ya</v>
      </c>
      <c r="D303" s="2" t="str">
        <f ca="1">IFERROR(__xludf.DUMMYFUNCTION("GOOGLETRANSLATE(B303,""en"",""ig"")"),"ugbua")</f>
        <v>ugbua</v>
      </c>
      <c r="E303" s="2" t="str">
        <f ca="1">IFERROR(__xludf.DUMMYFUNCTION("GOOGLETRANSLATE(B303,""en"",""fr"")"),"déjà")</f>
        <v>déjà</v>
      </c>
      <c r="F303" s="2" t="str">
        <f ca="1">IFERROR(__xludf.DUMMYFUNCTION("GOOGLETRANSLATE(B303,""en"",""it"")"),"Già")</f>
        <v>Già</v>
      </c>
      <c r="G303" s="2" t="str">
        <f ca="1">IFERROR(__xludf.DUMMYFUNCTION("GOOGLETRANSLATE(B303,""en"",""de"")"),"bereits")</f>
        <v>bereits</v>
      </c>
      <c r="H303" s="2" t="str">
        <f ca="1">IFERROR(__xludf.DUMMYFUNCTION("GOOGLETRANSLATE(B303,""en"",""zh"")"),"已经")</f>
        <v>已经</v>
      </c>
      <c r="I303" s="2" t="str">
        <f ca="1">IFERROR(__xludf.DUMMYFUNCTION("GOOGLETRANSLATE(B303,""en"",""gd"")"),"mu thràth")</f>
        <v>mu thràth</v>
      </c>
    </row>
    <row r="304" spans="1:9" ht="14.25" customHeight="1" x14ac:dyDescent="0.3">
      <c r="A304" s="2">
        <v>303</v>
      </c>
      <c r="B304" s="3" t="s">
        <v>311</v>
      </c>
      <c r="C304" s="2" t="str">
        <f ca="1">IFERROR(__xludf.DUMMYFUNCTION("GOOGLETRANSLATE(B304, ""en"",""es"")"),"inquietud")</f>
        <v>inquietud</v>
      </c>
      <c r="D304" s="2" t="str">
        <f ca="1">IFERROR(__xludf.DUMMYFUNCTION("GOOGLETRANSLATE(B304,""en"",""ig"")"),"mgbasa")</f>
        <v>mgbasa</v>
      </c>
      <c r="E304" s="2" t="str">
        <f ca="1">IFERROR(__xludf.DUMMYFUNCTION("GOOGLETRANSLATE(B304,""en"",""fr"")"),"préoccupation")</f>
        <v>préoccupation</v>
      </c>
      <c r="F304" s="2" t="str">
        <f ca="1">IFERROR(__xludf.DUMMYFUNCTION("GOOGLETRANSLATE(B304,""en"",""it"")"),"preoccupazione")</f>
        <v>preoccupazione</v>
      </c>
      <c r="G304" s="2" t="str">
        <f ca="1">IFERROR(__xludf.DUMMYFUNCTION("GOOGLETRANSLATE(B304,""en"",""de"")"),"Sorge")</f>
        <v>Sorge</v>
      </c>
      <c r="H304" s="2" t="str">
        <f ca="1">IFERROR(__xludf.DUMMYFUNCTION("GOOGLETRANSLATE(B304,""en"",""zh"")"),"忧虑")</f>
        <v>忧虑</v>
      </c>
      <c r="I304" s="2" t="str">
        <f ca="1">IFERROR(__xludf.DUMMYFUNCTION("GOOGLETRANSLATE(B304,""en"",""gd"")"),"Draghan")</f>
        <v>Draghan</v>
      </c>
    </row>
    <row r="305" spans="1:9" ht="14.25" customHeight="1" x14ac:dyDescent="0.3">
      <c r="A305" s="2">
        <v>304</v>
      </c>
      <c r="B305" s="3" t="s">
        <v>312</v>
      </c>
      <c r="C305" s="2" t="str">
        <f ca="1">IFERROR(__xludf.DUMMYFUNCTION("GOOGLETRANSLATE(B305, ""en"",""es"")"),"producto")</f>
        <v>producto</v>
      </c>
      <c r="D305" s="2" t="str">
        <f ca="1">IFERROR(__xludf.DUMMYFUNCTION("GOOGLETRANSLATE(B305,""en"",""ig"")"),"ihe emeputara ohuru")</f>
        <v>ihe emeputara ohuru</v>
      </c>
      <c r="E305" s="2" t="str">
        <f ca="1">IFERROR(__xludf.DUMMYFUNCTION("GOOGLETRANSLATE(B305,""en"",""fr"")"),"produit")</f>
        <v>produit</v>
      </c>
      <c r="F305" s="2" t="str">
        <f ca="1">IFERROR(__xludf.DUMMYFUNCTION("GOOGLETRANSLATE(B305,""en"",""it"")"),"Prodotto")</f>
        <v>Prodotto</v>
      </c>
      <c r="G305" s="2" t="str">
        <f ca="1">IFERROR(__xludf.DUMMYFUNCTION("GOOGLETRANSLATE(B305,""en"",""de"")"),"Produkt")</f>
        <v>Produkt</v>
      </c>
      <c r="H305" s="2" t="str">
        <f ca="1">IFERROR(__xludf.DUMMYFUNCTION("GOOGLETRANSLATE(B305,""en"",""zh"")"),"产品")</f>
        <v>产品</v>
      </c>
      <c r="I305" s="2" t="str">
        <f ca="1">IFERROR(__xludf.DUMMYFUNCTION("GOOGLETRANSLATE(B305,""en"",""gd"")"),"toradh")</f>
        <v>toradh</v>
      </c>
    </row>
    <row r="306" spans="1:9" ht="14.25" customHeight="1" x14ac:dyDescent="0.3">
      <c r="A306" s="2">
        <v>305</v>
      </c>
      <c r="B306" s="3" t="s">
        <v>313</v>
      </c>
      <c r="C306" s="2" t="str">
        <f ca="1">IFERROR(__xludf.DUMMYFUNCTION("GOOGLETRANSLATE(B306, ""en"",""es"")"),"perder")</f>
        <v>perder</v>
      </c>
      <c r="D306" s="2" t="str">
        <f ca="1">IFERROR(__xludf.DUMMYFUNCTION("GOOGLETRANSLATE(B306,""en"",""ig"")"),"ida")</f>
        <v>ida</v>
      </c>
      <c r="E306" s="2" t="str">
        <f ca="1">IFERROR(__xludf.DUMMYFUNCTION("GOOGLETRANSLATE(B306,""en"",""fr"")"),"perdre")</f>
        <v>perdre</v>
      </c>
      <c r="F306" s="2" t="str">
        <f ca="1">IFERROR(__xludf.DUMMYFUNCTION("GOOGLETRANSLATE(B306,""en"",""it"")"),"perdere")</f>
        <v>perdere</v>
      </c>
      <c r="G306" s="2" t="str">
        <f ca="1">IFERROR(__xludf.DUMMYFUNCTION("GOOGLETRANSLATE(B306,""en"",""de"")"),"verlieren")</f>
        <v>verlieren</v>
      </c>
      <c r="H306" s="2" t="str">
        <f ca="1">IFERROR(__xludf.DUMMYFUNCTION("GOOGLETRANSLATE(B306,""en"",""zh"")"),"失去")</f>
        <v>失去</v>
      </c>
      <c r="I306" s="2" t="str">
        <f ca="1">IFERROR(__xludf.DUMMYFUNCTION("GOOGLETRANSLATE(B306,""en"",""gd"")"),"call")</f>
        <v>call</v>
      </c>
    </row>
    <row r="307" spans="1:9" ht="14.25" customHeight="1" x14ac:dyDescent="0.3">
      <c r="A307" s="2">
        <v>306</v>
      </c>
      <c r="B307" s="3" t="s">
        <v>314</v>
      </c>
      <c r="C307" s="2" t="str">
        <f ca="1">IFERROR(__xludf.DUMMYFUNCTION("GOOGLETRANSLATE(B307, ""en"",""es"")"),"historia")</f>
        <v>historia</v>
      </c>
      <c r="D307" s="2" t="str">
        <f ca="1">IFERROR(__xludf.DUMMYFUNCTION("GOOGLETRANSLATE(B307,""en"",""ig"")"),"akukoifo")</f>
        <v>akukoifo</v>
      </c>
      <c r="E307" s="2" t="str">
        <f ca="1">IFERROR(__xludf.DUMMYFUNCTION("GOOGLETRANSLATE(B307,""en"",""fr"")"),"histoire")</f>
        <v>histoire</v>
      </c>
      <c r="F307" s="2" t="str">
        <f ca="1">IFERROR(__xludf.DUMMYFUNCTION("GOOGLETRANSLATE(B307,""en"",""it"")"),"storia")</f>
        <v>storia</v>
      </c>
      <c r="G307" s="2" t="str">
        <f ca="1">IFERROR(__xludf.DUMMYFUNCTION("GOOGLETRANSLATE(B307,""en"",""de"")"),"Geschichte")</f>
        <v>Geschichte</v>
      </c>
      <c r="H307" s="2" t="str">
        <f ca="1">IFERROR(__xludf.DUMMYFUNCTION("GOOGLETRANSLATE(B307,""en"",""zh"")"),"故事")</f>
        <v>故事</v>
      </c>
      <c r="I307" s="2" t="str">
        <f ca="1">IFERROR(__xludf.DUMMYFUNCTION("GOOGLETRANSLATE(B307,""en"",""gd"")"),"sgeulachd")</f>
        <v>sgeulachd</v>
      </c>
    </row>
    <row r="308" spans="1:9" ht="14.25" customHeight="1" x14ac:dyDescent="0.3">
      <c r="A308" s="2">
        <v>307</v>
      </c>
      <c r="B308" s="3" t="s">
        <v>315</v>
      </c>
      <c r="C308" s="2" t="str">
        <f ca="1">IFERROR(__xludf.DUMMYFUNCTION("GOOGLETRANSLATE(B308, ""en"",""es"")"),"casi")</f>
        <v>casi</v>
      </c>
      <c r="D308" s="2" t="str">
        <f ca="1">IFERROR(__xludf.DUMMYFUNCTION("GOOGLETRANSLATE(B308,""en"",""ig"")"),"ofokwa")</f>
        <v>ofokwa</v>
      </c>
      <c r="E308" s="2" t="str">
        <f ca="1">IFERROR(__xludf.DUMMYFUNCTION("GOOGLETRANSLATE(B308,""en"",""fr"")"),"presque")</f>
        <v>presque</v>
      </c>
      <c r="F308" s="2" t="str">
        <f ca="1">IFERROR(__xludf.DUMMYFUNCTION("GOOGLETRANSLATE(B308,""en"",""it"")"),"Quasi")</f>
        <v>Quasi</v>
      </c>
      <c r="G308" s="2" t="str">
        <f ca="1">IFERROR(__xludf.DUMMYFUNCTION("GOOGLETRANSLATE(B308,""en"",""de"")"),"fast")</f>
        <v>fast</v>
      </c>
      <c r="H308" s="2" t="str">
        <f ca="1">IFERROR(__xludf.DUMMYFUNCTION("GOOGLETRANSLATE(B308,""en"",""zh"")"),"几乎")</f>
        <v>几乎</v>
      </c>
      <c r="I308" s="2" t="str">
        <f ca="1">IFERROR(__xludf.DUMMYFUNCTION("GOOGLETRANSLATE(B308,""en"",""gd"")"),"cha mhòr")</f>
        <v>cha mhòr</v>
      </c>
    </row>
    <row r="309" spans="1:9" ht="14.25" customHeight="1" x14ac:dyDescent="0.3">
      <c r="A309" s="2">
        <v>308</v>
      </c>
      <c r="B309" s="3" t="s">
        <v>316</v>
      </c>
      <c r="C309" s="2" t="str">
        <f ca="1">IFERROR(__xludf.DUMMYFUNCTION("GOOGLETRANSLATE(B309, ""en"",""es"")"),"continuar")</f>
        <v>continuar</v>
      </c>
      <c r="D309" s="2" t="str">
        <f ca="1">IFERROR(__xludf.DUMMYFUNCTION("GOOGLETRANSLATE(B309,""en"",""ig"")"),"isochi")</f>
        <v>isochi</v>
      </c>
      <c r="E309" s="2" t="str">
        <f ca="1">IFERROR(__xludf.DUMMYFUNCTION("GOOGLETRANSLATE(B309,""en"",""fr"")"),"continuer")</f>
        <v>continuer</v>
      </c>
      <c r="F309" s="2" t="str">
        <f ca="1">IFERROR(__xludf.DUMMYFUNCTION("GOOGLETRANSLATE(B309,""en"",""it"")"),"Continua")</f>
        <v>Continua</v>
      </c>
      <c r="G309" s="2" t="str">
        <f ca="1">IFERROR(__xludf.DUMMYFUNCTION("GOOGLETRANSLATE(B309,""en"",""de"")"),"weitermachen")</f>
        <v>weitermachen</v>
      </c>
      <c r="H309" s="2" t="str">
        <f ca="1">IFERROR(__xludf.DUMMYFUNCTION("GOOGLETRANSLATE(B309,""en"",""zh"")"),"继续")</f>
        <v>继续</v>
      </c>
      <c r="I309" s="2" t="str">
        <f ca="1">IFERROR(__xludf.DUMMYFUNCTION("GOOGLETRANSLATE(B309,""en"",""gd"")"),"Lean air adhart")</f>
        <v>Lean air adhart</v>
      </c>
    </row>
    <row r="310" spans="1:9" ht="14.25" customHeight="1" x14ac:dyDescent="0.3">
      <c r="A310" s="2">
        <v>309</v>
      </c>
      <c r="B310" s="3" t="s">
        <v>317</v>
      </c>
      <c r="C310" s="2" t="str">
        <f ca="1">IFERROR(__xludf.DUMMYFUNCTION("GOOGLETRANSLATE(B310, ""en"",""es"")"),"pararse")</f>
        <v>pararse</v>
      </c>
      <c r="D310" s="2" t="str">
        <f ca="1">IFERROR(__xludf.DUMMYFUNCTION("GOOGLETRANSLATE(B310,""en"",""ig"")"),"guzo")</f>
        <v>guzo</v>
      </c>
      <c r="E310" s="2" t="str">
        <f ca="1">IFERROR(__xludf.DUMMYFUNCTION("GOOGLETRANSLATE(B310,""en"",""fr"")"),"rester")</f>
        <v>rester</v>
      </c>
      <c r="F310" s="2" t="str">
        <f ca="1">IFERROR(__xludf.DUMMYFUNCTION("GOOGLETRANSLATE(B310,""en"",""it"")"),"in piedi")</f>
        <v>in piedi</v>
      </c>
      <c r="G310" s="2" t="str">
        <f ca="1">IFERROR(__xludf.DUMMYFUNCTION("GOOGLETRANSLATE(B310,""en"",""de"")"),"Stand")</f>
        <v>Stand</v>
      </c>
      <c r="H310" s="2" t="str">
        <f ca="1">IFERROR(__xludf.DUMMYFUNCTION("GOOGLETRANSLATE(B310,""en"",""zh"")"),"站立")</f>
        <v>站立</v>
      </c>
      <c r="I310" s="2" t="str">
        <f ca="1">IFERROR(__xludf.DUMMYFUNCTION("GOOGLETRANSLATE(B310,""en"",""gd"")"),"seas")</f>
        <v>seas</v>
      </c>
    </row>
    <row r="311" spans="1:9" ht="14.25" customHeight="1" x14ac:dyDescent="0.3">
      <c r="A311" s="2">
        <v>310</v>
      </c>
      <c r="B311" s="3" t="s">
        <v>318</v>
      </c>
      <c r="C311" s="2" t="str">
        <f ca="1">IFERROR(__xludf.DUMMYFUNCTION("GOOGLETRANSLATE(B311, ""en"",""es"")"),"entero")</f>
        <v>entero</v>
      </c>
      <c r="D311" s="2" t="str">
        <f ca="1">IFERROR(__xludf.DUMMYFUNCTION("GOOGLETRANSLATE(B311,""en"",""ig"")"),"keuju")</f>
        <v>keuju</v>
      </c>
      <c r="E311" s="2" t="str">
        <f ca="1">IFERROR(__xludf.DUMMYFUNCTION("GOOGLETRANSLATE(B311,""en"",""fr"")"),"entier")</f>
        <v>entier</v>
      </c>
      <c r="F311" s="2" t="str">
        <f ca="1">IFERROR(__xludf.DUMMYFUNCTION("GOOGLETRANSLATE(B311,""en"",""it"")"),"Totale")</f>
        <v>Totale</v>
      </c>
      <c r="G311" s="2" t="str">
        <f ca="1">IFERROR(__xludf.DUMMYFUNCTION("GOOGLETRANSLATE(B311,""en"",""de"")"),"ganz")</f>
        <v>ganz</v>
      </c>
      <c r="H311" s="2" t="str">
        <f ca="1">IFERROR(__xludf.DUMMYFUNCTION("GOOGLETRANSLATE(B311,""en"",""zh"")"),"所有的")</f>
        <v>所有的</v>
      </c>
      <c r="I311" s="2" t="str">
        <f ca="1">IFERROR(__xludf.DUMMYFUNCTION("GOOGLETRANSLATE(B311,""en"",""gd"")"),"slàn")</f>
        <v>slàn</v>
      </c>
    </row>
    <row r="312" spans="1:9" ht="14.25" customHeight="1" x14ac:dyDescent="0.3">
      <c r="A312" s="2">
        <v>311</v>
      </c>
      <c r="B312" s="3" t="s">
        <v>319</v>
      </c>
      <c r="C312" s="2" t="str">
        <f ca="1">IFERROR(__xludf.DUMMYFUNCTION("GOOGLETRANSLATE(B312, ""en"",""es"")"),"todavía")</f>
        <v>todavía</v>
      </c>
      <c r="D312" s="2" t="str">
        <f ca="1">IFERROR(__xludf.DUMMYFUNCTION("GOOGLETRANSLATE(B312,""en"",""ig"")"),"ma")</f>
        <v>ma</v>
      </c>
      <c r="E312" s="2" t="str">
        <f ca="1">IFERROR(__xludf.DUMMYFUNCTION("GOOGLETRANSLATE(B312,""en"",""fr"")"),"encore")</f>
        <v>encore</v>
      </c>
      <c r="F312" s="2" t="str">
        <f ca="1">IFERROR(__xludf.DUMMYFUNCTION("GOOGLETRANSLATE(B312,""en"",""it"")"),"Ancora")</f>
        <v>Ancora</v>
      </c>
      <c r="G312" s="2" t="str">
        <f ca="1">IFERROR(__xludf.DUMMYFUNCTION("GOOGLETRANSLATE(B312,""en"",""de"")"),"noch")</f>
        <v>noch</v>
      </c>
      <c r="H312" s="2" t="str">
        <f ca="1">IFERROR(__xludf.DUMMYFUNCTION("GOOGLETRANSLATE(B312,""en"",""zh"")"),"然而")</f>
        <v>然而</v>
      </c>
      <c r="I312" s="2" t="str">
        <f ca="1">IFERROR(__xludf.DUMMYFUNCTION("GOOGLETRANSLATE(B312,""en"",""gd"")"),"Ach")</f>
        <v>Ach</v>
      </c>
    </row>
    <row r="313" spans="1:9" ht="14.25" customHeight="1" x14ac:dyDescent="0.3">
      <c r="A313" s="2">
        <v>312</v>
      </c>
      <c r="B313" s="3" t="s">
        <v>320</v>
      </c>
      <c r="C313" s="2" t="str">
        <f ca="1">IFERROR(__xludf.DUMMYFUNCTION("GOOGLETRANSLATE(B313, ""en"",""es"")"),"tasa")</f>
        <v>tasa</v>
      </c>
      <c r="D313" s="2" t="str">
        <f ca="1">IFERROR(__xludf.DUMMYFUNCTION("GOOGLETRANSLATE(B313,""en"",""ig"")"),"egoahia")</f>
        <v>egoahia</v>
      </c>
      <c r="E313" s="2" t="str">
        <f ca="1">IFERROR(__xludf.DUMMYFUNCTION("GOOGLETRANSLATE(B313,""en"",""fr"")"),"taux")</f>
        <v>taux</v>
      </c>
      <c r="F313" s="2" t="str">
        <f ca="1">IFERROR(__xludf.DUMMYFUNCTION("GOOGLETRANSLATE(B313,""en"",""it"")"),"valutare")</f>
        <v>valutare</v>
      </c>
      <c r="G313" s="2" t="str">
        <f ca="1">IFERROR(__xludf.DUMMYFUNCTION("GOOGLETRANSLATE(B313,""en"",""de"")"),"Rate")</f>
        <v>Rate</v>
      </c>
      <c r="H313" s="2" t="str">
        <f ca="1">IFERROR(__xludf.DUMMYFUNCTION("GOOGLETRANSLATE(B313,""en"",""zh"")"),"速度")</f>
        <v>速度</v>
      </c>
      <c r="I313" s="2" t="str">
        <f ca="1">IFERROR(__xludf.DUMMYFUNCTION("GOOGLETRANSLATE(B313,""en"",""gd"")"),"Ìre")</f>
        <v>Ìre</v>
      </c>
    </row>
    <row r="314" spans="1:9" ht="14.25" customHeight="1" x14ac:dyDescent="0.3">
      <c r="A314" s="2">
        <v>313</v>
      </c>
      <c r="B314" s="3" t="s">
        <v>321</v>
      </c>
      <c r="C314" s="2" t="str">
        <f ca="1">IFERROR(__xludf.DUMMYFUNCTION("GOOGLETRANSLATE(B314, ""en"",""es"")"),"cuidado")</f>
        <v>cuidado</v>
      </c>
      <c r="D314" s="2" t="str">
        <f ca="1">IFERROR(__xludf.DUMMYFUNCTION("GOOGLETRANSLATE(B314,""en"",""ig"")"),"nlezi")</f>
        <v>nlezi</v>
      </c>
      <c r="E314" s="2" t="str">
        <f ca="1">IFERROR(__xludf.DUMMYFUNCTION("GOOGLETRANSLATE(B314,""en"",""fr"")"),"se soucier")</f>
        <v>se soucier</v>
      </c>
      <c r="F314" s="2" t="str">
        <f ca="1">IFERROR(__xludf.DUMMYFUNCTION("GOOGLETRANSLATE(B314,""en"",""it"")"),"cura")</f>
        <v>cura</v>
      </c>
      <c r="G314" s="2" t="str">
        <f ca="1">IFERROR(__xludf.DUMMYFUNCTION("GOOGLETRANSLATE(B314,""en"",""de"")"),"Pflege")</f>
        <v>Pflege</v>
      </c>
      <c r="H314" s="2" t="str">
        <f ca="1">IFERROR(__xludf.DUMMYFUNCTION("GOOGLETRANSLATE(B314,""en"",""zh"")"),"关心")</f>
        <v>关心</v>
      </c>
      <c r="I314" s="2" t="str">
        <f ca="1">IFERROR(__xludf.DUMMYFUNCTION("GOOGLETRANSLATE(B314,""en"",""gd"")"),"Cùram")</f>
        <v>Cùram</v>
      </c>
    </row>
    <row r="315" spans="1:9" ht="14.25" customHeight="1" x14ac:dyDescent="0.3">
      <c r="A315" s="2">
        <v>314</v>
      </c>
      <c r="B315" s="3" t="s">
        <v>322</v>
      </c>
      <c r="C315" s="2" t="str">
        <f ca="1">IFERROR(__xludf.DUMMYFUNCTION("GOOGLETRANSLATE(B315, ""en"",""es"")"),"esperar")</f>
        <v>esperar</v>
      </c>
      <c r="D315" s="2" t="str">
        <f ca="1">IFERROR(__xludf.DUMMYFUNCTION("GOOGLETRANSLATE(B315,""en"",""ig"")"),"n'obi")</f>
        <v>n'obi</v>
      </c>
      <c r="E315" s="2" t="str">
        <f ca="1">IFERROR(__xludf.DUMMYFUNCTION("GOOGLETRANSLATE(B315,""en"",""fr"")"),"attendre")</f>
        <v>attendre</v>
      </c>
      <c r="F315" s="2" t="str">
        <f ca="1">IFERROR(__xludf.DUMMYFUNCTION("GOOGLETRANSLATE(B315,""en"",""it"")"),"aspettarsi")</f>
        <v>aspettarsi</v>
      </c>
      <c r="G315" s="2" t="str">
        <f ca="1">IFERROR(__xludf.DUMMYFUNCTION("GOOGLETRANSLATE(B315,""en"",""de"")"),"erwarten")</f>
        <v>erwarten</v>
      </c>
      <c r="H315" s="2" t="str">
        <f ca="1">IFERROR(__xludf.DUMMYFUNCTION("GOOGLETRANSLATE(B315,""en"",""zh"")"),"预计")</f>
        <v>预计</v>
      </c>
      <c r="I315" s="2" t="str">
        <f ca="1">IFERROR(__xludf.DUMMYFUNCTION("GOOGLETRANSLATE(B315,""en"",""gd"")"),"an dùil")</f>
        <v>an dùil</v>
      </c>
    </row>
    <row r="316" spans="1:9" ht="14.25" customHeight="1" x14ac:dyDescent="0.3">
      <c r="A316" s="2">
        <v>315</v>
      </c>
      <c r="B316" s="3" t="s">
        <v>323</v>
      </c>
      <c r="C316" s="2" t="str">
        <f ca="1">IFERROR(__xludf.DUMMYFUNCTION("GOOGLETRANSLATE(B316, ""en"",""es"")"),"efecto")</f>
        <v>efecto</v>
      </c>
      <c r="D316" s="2" t="str">
        <f ca="1">IFERROR(__xludf.DUMMYFUNCTION("GOOGLETRANSLATE(B316,""en"",""ig"")"),"mputara")</f>
        <v>mputara</v>
      </c>
      <c r="E316" s="2" t="str">
        <f ca="1">IFERROR(__xludf.DUMMYFUNCTION("GOOGLETRANSLATE(B316,""en"",""fr"")"),"effet")</f>
        <v>effet</v>
      </c>
      <c r="F316" s="2" t="str">
        <f ca="1">IFERROR(__xludf.DUMMYFUNCTION("GOOGLETRANSLATE(B316,""en"",""it"")"),"effetto")</f>
        <v>effetto</v>
      </c>
      <c r="G316" s="2" t="str">
        <f ca="1">IFERROR(__xludf.DUMMYFUNCTION("GOOGLETRANSLATE(B316,""en"",""de"")"),"Wirkung")</f>
        <v>Wirkung</v>
      </c>
      <c r="H316" s="2" t="str">
        <f ca="1">IFERROR(__xludf.DUMMYFUNCTION("GOOGLETRANSLATE(B316,""en"",""zh"")"),"影响")</f>
        <v>影响</v>
      </c>
      <c r="I316" s="2" t="str">
        <f ca="1">IFERROR(__xludf.DUMMYFUNCTION("GOOGLETRANSLATE(B316,""en"",""gd"")"),"Buaidh")</f>
        <v>Buaidh</v>
      </c>
    </row>
    <row r="317" spans="1:9" ht="14.25" customHeight="1" x14ac:dyDescent="0.3">
      <c r="A317" s="2">
        <v>316</v>
      </c>
      <c r="B317" s="3" t="s">
        <v>324</v>
      </c>
      <c r="C317" s="2" t="str">
        <f ca="1">IFERROR(__xludf.DUMMYFUNCTION("GOOGLETRANSLATE(B317, ""en"",""es"")"),"clasificar")</f>
        <v>clasificar</v>
      </c>
      <c r="D317" s="2" t="str">
        <f ca="1">IFERROR(__xludf.DUMMYFUNCTION("GOOGLETRANSLATE(B317,""en"",""ig"")"),"sot")</f>
        <v>sot</v>
      </c>
      <c r="E317" s="2" t="str">
        <f ca="1">IFERROR(__xludf.DUMMYFUNCTION("GOOGLETRANSLATE(B317,""en"",""fr"")"),"trier")</f>
        <v>trier</v>
      </c>
      <c r="F317" s="2" t="str">
        <f ca="1">IFERROR(__xludf.DUMMYFUNCTION("GOOGLETRANSLATE(B317,""en"",""it"")"),"ordinare")</f>
        <v>ordinare</v>
      </c>
      <c r="G317" s="2" t="str">
        <f ca="1">IFERROR(__xludf.DUMMYFUNCTION("GOOGLETRANSLATE(B317,""en"",""de"")"),"Sortieren")</f>
        <v>Sortieren</v>
      </c>
      <c r="H317" s="2" t="str">
        <f ca="1">IFERROR(__xludf.DUMMYFUNCTION("GOOGLETRANSLATE(B317,""en"",""zh"")"),"种类")</f>
        <v>种类</v>
      </c>
      <c r="I317" s="2" t="str">
        <f ca="1">IFERROR(__xludf.DUMMYFUNCTION("GOOGLETRANSLATE(B317,""en"",""gd"")"),"Deasaich")</f>
        <v>Deasaich</v>
      </c>
    </row>
    <row r="318" spans="1:9" ht="14.25" customHeight="1" x14ac:dyDescent="0.3">
      <c r="A318" s="2">
        <v>317</v>
      </c>
      <c r="B318" s="3" t="s">
        <v>325</v>
      </c>
      <c r="C318" s="2" t="str">
        <f ca="1">IFERROR(__xludf.DUMMYFUNCTION("GOOGLETRANSLATE(B318, ""en"",""es"")"),"alguna vez")</f>
        <v>alguna vez</v>
      </c>
      <c r="D318" s="2" t="str">
        <f ca="1">IFERROR(__xludf.DUMMYFUNCTION("GOOGLETRANSLATE(B318,""en"",""ig"")"),"mgbedum")</f>
        <v>mgbedum</v>
      </c>
      <c r="E318" s="2" t="str">
        <f ca="1">IFERROR(__xludf.DUMMYFUNCTION("GOOGLETRANSLATE(B318,""en"",""fr"")"),"jamais")</f>
        <v>jamais</v>
      </c>
      <c r="F318" s="2" t="str">
        <f ca="1">IFERROR(__xludf.DUMMYFUNCTION("GOOGLETRANSLATE(B318,""en"",""it"")"),"mai")</f>
        <v>mai</v>
      </c>
      <c r="G318" s="2" t="str">
        <f ca="1">IFERROR(__xludf.DUMMYFUNCTION("GOOGLETRANSLATE(B318,""en"",""de"")"),"immer")</f>
        <v>immer</v>
      </c>
      <c r="H318" s="2" t="str">
        <f ca="1">IFERROR(__xludf.DUMMYFUNCTION("GOOGLETRANSLATE(B318,""en"",""zh"")"),"曾经")</f>
        <v>曾经</v>
      </c>
      <c r="I318" s="2" t="str">
        <f ca="1">IFERROR(__xludf.DUMMYFUNCTION("GOOGLETRANSLATE(B318,""en"",""gd"")"),"a-riamh")</f>
        <v>a-riamh</v>
      </c>
    </row>
    <row r="319" spans="1:9" ht="14.25" customHeight="1" x14ac:dyDescent="0.3">
      <c r="A319" s="2">
        <v>318</v>
      </c>
      <c r="B319" s="3" t="s">
        <v>326</v>
      </c>
      <c r="C319" s="2" t="str">
        <f ca="1">IFERROR(__xludf.DUMMYFUNCTION("GOOGLETRANSLATE(B319, ""en"",""es"")"),"cualquier cosa")</f>
        <v>cualquier cosa</v>
      </c>
      <c r="D319" s="2" t="str">
        <f ca="1">IFERROR(__xludf.DUMMYFUNCTION("GOOGLETRANSLATE(B319,""en"",""ig"")"),"ihe obula")</f>
        <v>ihe obula</v>
      </c>
      <c r="E319" s="2" t="str">
        <f ca="1">IFERROR(__xludf.DUMMYFUNCTION("GOOGLETRANSLATE(B319,""en"",""fr"")"),"rien")</f>
        <v>rien</v>
      </c>
      <c r="F319" s="2" t="str">
        <f ca="1">IFERROR(__xludf.DUMMYFUNCTION("GOOGLETRANSLATE(B319,""en"",""it"")"),"nulla")</f>
        <v>nulla</v>
      </c>
      <c r="G319" s="2" t="str">
        <f ca="1">IFERROR(__xludf.DUMMYFUNCTION("GOOGLETRANSLATE(B319,""en"",""de"")"),"irgendetwas")</f>
        <v>irgendetwas</v>
      </c>
      <c r="H319" s="2" t="str">
        <f ca="1">IFERROR(__xludf.DUMMYFUNCTION("GOOGLETRANSLATE(B319,""en"",""zh"")"),"任何事物")</f>
        <v>任何事物</v>
      </c>
      <c r="I319" s="2" t="str">
        <f ca="1">IFERROR(__xludf.DUMMYFUNCTION("GOOGLETRANSLATE(B319,""en"",""gd"")"),"rud sam bith")</f>
        <v>rud sam bith</v>
      </c>
    </row>
    <row r="320" spans="1:9" ht="14.25" customHeight="1" x14ac:dyDescent="0.3">
      <c r="A320" s="2">
        <v>319</v>
      </c>
      <c r="B320" s="3" t="s">
        <v>327</v>
      </c>
      <c r="C320" s="2" t="str">
        <f ca="1">IFERROR(__xludf.DUMMYFUNCTION("GOOGLETRANSLATE(B320, ""en"",""es"")"),"causa")</f>
        <v>causa</v>
      </c>
      <c r="D320" s="2" t="str">
        <f ca="1">IFERROR(__xludf.DUMMYFUNCTION("GOOGLETRANSLATE(B320,""en"",""ig"")"),"mkpatara")</f>
        <v>mkpatara</v>
      </c>
      <c r="E320" s="2" t="str">
        <f ca="1">IFERROR(__xludf.DUMMYFUNCTION("GOOGLETRANSLATE(B320,""en"",""fr"")"),"cause")</f>
        <v>cause</v>
      </c>
      <c r="F320" s="2" t="str">
        <f ca="1">IFERROR(__xludf.DUMMYFUNCTION("GOOGLETRANSLATE(B320,""en"",""it"")"),"causa")</f>
        <v>causa</v>
      </c>
      <c r="G320" s="2" t="str">
        <f ca="1">IFERROR(__xludf.DUMMYFUNCTION("GOOGLETRANSLATE(B320,""en"",""de"")"),"Ursache")</f>
        <v>Ursache</v>
      </c>
      <c r="H320" s="2" t="str">
        <f ca="1">IFERROR(__xludf.DUMMYFUNCTION("GOOGLETRANSLATE(B320,""en"",""zh"")"),"原因")</f>
        <v>原因</v>
      </c>
      <c r="I320" s="2" t="str">
        <f ca="1">IFERROR(__xludf.DUMMYFUNCTION("GOOGLETRANSLATE(B320,""en"",""gd"")"),"adhbhar")</f>
        <v>adhbhar</v>
      </c>
    </row>
    <row r="321" spans="1:9" ht="14.25" customHeight="1" x14ac:dyDescent="0.3">
      <c r="A321" s="2">
        <v>320</v>
      </c>
      <c r="B321" s="3" t="s">
        <v>328</v>
      </c>
      <c r="C321" s="2" t="str">
        <f ca="1">IFERROR(__xludf.DUMMYFUNCTION("GOOGLETRANSLATE(B321, ""en"",""es"")"),"caer")</f>
        <v>caer</v>
      </c>
      <c r="D321" s="2" t="str">
        <f ca="1">IFERROR(__xludf.DUMMYFUNCTION("GOOGLETRANSLATE(B321,""en"",""ig"")"),"ida ada")</f>
        <v>ida ada</v>
      </c>
      <c r="E321" s="2" t="str">
        <f ca="1">IFERROR(__xludf.DUMMYFUNCTION("GOOGLETRANSLATE(B321,""en"",""fr"")"),"automne")</f>
        <v>automne</v>
      </c>
      <c r="F321" s="2" t="str">
        <f ca="1">IFERROR(__xludf.DUMMYFUNCTION("GOOGLETRANSLATE(B321,""en"",""it"")"),"autunno")</f>
        <v>autunno</v>
      </c>
      <c r="G321" s="2" t="str">
        <f ca="1">IFERROR(__xludf.DUMMYFUNCTION("GOOGLETRANSLATE(B321,""en"",""de"")"),"fallen")</f>
        <v>fallen</v>
      </c>
      <c r="H321" s="2" t="str">
        <f ca="1">IFERROR(__xludf.DUMMYFUNCTION("GOOGLETRANSLATE(B321,""en"",""zh"")"),"落下")</f>
        <v>落下</v>
      </c>
      <c r="I321" s="2" t="str">
        <f ca="1">IFERROR(__xludf.DUMMYFUNCTION("GOOGLETRANSLATE(B321,""en"",""gd"")"),"tuiteam")</f>
        <v>tuiteam</v>
      </c>
    </row>
    <row r="322" spans="1:9" ht="14.25" customHeight="1" x14ac:dyDescent="0.3">
      <c r="A322" s="2">
        <v>321</v>
      </c>
      <c r="B322" s="3" t="s">
        <v>329</v>
      </c>
      <c r="C322" s="2" t="str">
        <f ca="1">IFERROR(__xludf.DUMMYFUNCTION("GOOGLETRANSLATE(B322, ""en"",""es"")"),"trato")</f>
        <v>trato</v>
      </c>
      <c r="D322" s="2" t="str">
        <f ca="1">IFERROR(__xludf.DUMMYFUNCTION("GOOGLETRANSLATE(B322,""en"",""ig"")"),"mmesiike")</f>
        <v>mmesiike</v>
      </c>
      <c r="E322" s="2" t="str">
        <f ca="1">IFERROR(__xludf.DUMMYFUNCTION("GOOGLETRANSLATE(B322,""en"",""fr"")"),"accord")</f>
        <v>accord</v>
      </c>
      <c r="F322" s="2" t="str">
        <f ca="1">IFERROR(__xludf.DUMMYFUNCTION("GOOGLETRANSLATE(B322,""en"",""it"")"),"Affare")</f>
        <v>Affare</v>
      </c>
      <c r="G322" s="2" t="str">
        <f ca="1">IFERROR(__xludf.DUMMYFUNCTION("GOOGLETRANSLATE(B322,""en"",""de"")"),"handeln")</f>
        <v>handeln</v>
      </c>
      <c r="H322" s="2" t="str">
        <f ca="1">IFERROR(__xludf.DUMMYFUNCTION("GOOGLETRANSLATE(B322,""en"",""zh"")"),"交易")</f>
        <v>交易</v>
      </c>
      <c r="I322" s="2" t="str">
        <f ca="1">IFERROR(__xludf.DUMMYFUNCTION("GOOGLETRANSLATE(B322,""en"",""gd"")"),"Dèilig")</f>
        <v>Dèilig</v>
      </c>
    </row>
    <row r="323" spans="1:9" ht="14.25" customHeight="1" x14ac:dyDescent="0.3">
      <c r="A323" s="2">
        <v>322</v>
      </c>
      <c r="B323" s="3" t="s">
        <v>330</v>
      </c>
      <c r="C323" s="2" t="str">
        <f ca="1">IFERROR(__xludf.DUMMYFUNCTION("GOOGLETRANSLATE(B323, ""en"",""es"")"),"agua")</f>
        <v>agua</v>
      </c>
      <c r="D323" s="2" t="str">
        <f ca="1">IFERROR(__xludf.DUMMYFUNCTION("GOOGLETRANSLATE(B323,""en"",""ig"")"),"mmiri")</f>
        <v>mmiri</v>
      </c>
      <c r="E323" s="2" t="str">
        <f ca="1">IFERROR(__xludf.DUMMYFUNCTION("GOOGLETRANSLATE(B323,""en"",""fr"")"),"eau")</f>
        <v>eau</v>
      </c>
      <c r="F323" s="2" t="str">
        <f ca="1">IFERROR(__xludf.DUMMYFUNCTION("GOOGLETRANSLATE(B323,""en"",""it"")"),"acqua")</f>
        <v>acqua</v>
      </c>
      <c r="G323" s="2" t="str">
        <f ca="1">IFERROR(__xludf.DUMMYFUNCTION("GOOGLETRANSLATE(B323,""en"",""de"")"),"Wasser")</f>
        <v>Wasser</v>
      </c>
      <c r="H323" s="2" t="str">
        <f ca="1">IFERROR(__xludf.DUMMYFUNCTION("GOOGLETRANSLATE(B323,""en"",""zh"")"),"水")</f>
        <v>水</v>
      </c>
      <c r="I323" s="2" t="str">
        <f ca="1">IFERROR(__xludf.DUMMYFUNCTION("GOOGLETRANSLATE(B323,""en"",""gd"")"),"uisge")</f>
        <v>uisge</v>
      </c>
    </row>
    <row r="324" spans="1:9" ht="14.25" customHeight="1" x14ac:dyDescent="0.3">
      <c r="A324" s="2">
        <v>323</v>
      </c>
      <c r="B324" s="3" t="s">
        <v>331</v>
      </c>
      <c r="C324" s="2" t="str">
        <f ca="1">IFERROR(__xludf.DUMMYFUNCTION("GOOGLETRANSLATE(B324, ""en"",""es"")"),"enviar")</f>
        <v>enviar</v>
      </c>
      <c r="D324" s="2" t="str">
        <f ca="1">IFERROR(__xludf.DUMMYFUNCTION("GOOGLETRANSLATE(B324,""en"",""ig"")"),"zipu")</f>
        <v>zipu</v>
      </c>
      <c r="E324" s="2" t="str">
        <f ca="1">IFERROR(__xludf.DUMMYFUNCTION("GOOGLETRANSLATE(B324,""en"",""fr"")"),"envoyer")</f>
        <v>envoyer</v>
      </c>
      <c r="F324" s="2" t="str">
        <f ca="1">IFERROR(__xludf.DUMMYFUNCTION("GOOGLETRANSLATE(B324,""en"",""it"")"),"Inviare")</f>
        <v>Inviare</v>
      </c>
      <c r="G324" s="2" t="str">
        <f ca="1">IFERROR(__xludf.DUMMYFUNCTION("GOOGLETRANSLATE(B324,""en"",""de"")"),"schicken")</f>
        <v>schicken</v>
      </c>
      <c r="H324" s="2" t="str">
        <f ca="1">IFERROR(__xludf.DUMMYFUNCTION("GOOGLETRANSLATE(B324,""en"",""zh"")"),"发送")</f>
        <v>发送</v>
      </c>
      <c r="I324" s="2" t="str">
        <f ca="1">IFERROR(__xludf.DUMMYFUNCTION("GOOGLETRANSLATE(B324,""en"",""gd"")"),"cuir")</f>
        <v>cuir</v>
      </c>
    </row>
    <row r="325" spans="1:9" ht="14.25" customHeight="1" x14ac:dyDescent="0.3">
      <c r="A325" s="2">
        <v>324</v>
      </c>
      <c r="B325" s="3" t="s">
        <v>332</v>
      </c>
      <c r="C325" s="2" t="str">
        <f ca="1">IFERROR(__xludf.DUMMYFUNCTION("GOOGLETRANSLATE(B325, ""en"",""es"")"),"permitir")</f>
        <v>permitir</v>
      </c>
      <c r="D325" s="2" t="str">
        <f ca="1">IFERROR(__xludf.DUMMYFUNCTION("GOOGLETRANSLATE(B325,""en"",""ig"")"),"ikwere")</f>
        <v>ikwere</v>
      </c>
      <c r="E325" s="2" t="str">
        <f ca="1">IFERROR(__xludf.DUMMYFUNCTION("GOOGLETRANSLATE(B325,""en"",""fr"")"),"permettre")</f>
        <v>permettre</v>
      </c>
      <c r="F325" s="2" t="str">
        <f ca="1">IFERROR(__xludf.DUMMYFUNCTION("GOOGLETRANSLATE(B325,""en"",""it"")"),"permettere")</f>
        <v>permettere</v>
      </c>
      <c r="G325" s="2" t="str">
        <f ca="1">IFERROR(__xludf.DUMMYFUNCTION("GOOGLETRANSLATE(B325,""en"",""de"")"),"erlauben")</f>
        <v>erlauben</v>
      </c>
      <c r="H325" s="2" t="str">
        <f ca="1">IFERROR(__xludf.DUMMYFUNCTION("GOOGLETRANSLATE(B325,""en"",""zh"")"),"允许")</f>
        <v>允许</v>
      </c>
      <c r="I325" s="2" t="str">
        <f ca="1">IFERROR(__xludf.DUMMYFUNCTION("GOOGLETRANSLATE(B325,""en"",""gd"")"),"Ceadaich")</f>
        <v>Ceadaich</v>
      </c>
    </row>
    <row r="326" spans="1:9" ht="14.25" customHeight="1" x14ac:dyDescent="0.3">
      <c r="A326" s="2">
        <v>325</v>
      </c>
      <c r="B326" s="3" t="s">
        <v>333</v>
      </c>
      <c r="C326" s="2" t="str">
        <f ca="1">IFERROR(__xludf.DUMMYFUNCTION("GOOGLETRANSLATE(B326, ""en"",""es"")"),"pronto")</f>
        <v>pronto</v>
      </c>
      <c r="D326" s="2" t="str">
        <f ca="1">IFERROR(__xludf.DUMMYFUNCTION("GOOGLETRANSLATE(B326,""en"",""ig"")"),"ogeeteghianya")</f>
        <v>ogeeteghianya</v>
      </c>
      <c r="E326" s="2" t="str">
        <f ca="1">IFERROR(__xludf.DUMMYFUNCTION("GOOGLETRANSLATE(B326,""en"",""fr"")"),"bientôt")</f>
        <v>bientôt</v>
      </c>
      <c r="F326" s="2" t="str">
        <f ca="1">IFERROR(__xludf.DUMMYFUNCTION("GOOGLETRANSLATE(B326,""en"",""it"")"),"Presto")</f>
        <v>Presto</v>
      </c>
      <c r="G326" s="2" t="str">
        <f ca="1">IFERROR(__xludf.DUMMYFUNCTION("GOOGLETRANSLATE(B326,""en"",""de"")"),"bald")</f>
        <v>bald</v>
      </c>
      <c r="H326" s="2" t="str">
        <f ca="1">IFERROR(__xludf.DUMMYFUNCTION("GOOGLETRANSLATE(B326,""en"",""zh"")"),"很快")</f>
        <v>很快</v>
      </c>
      <c r="I326" s="2" t="str">
        <f ca="1">IFERROR(__xludf.DUMMYFUNCTION("GOOGLETRANSLATE(B326,""en"",""gd"")"),"a dh'aithghearr")</f>
        <v>a dh'aithghearr</v>
      </c>
    </row>
    <row r="327" spans="1:9" ht="14.25" customHeight="1" x14ac:dyDescent="0.3">
      <c r="A327" s="2">
        <v>326</v>
      </c>
      <c r="B327" s="3" t="s">
        <v>334</v>
      </c>
      <c r="C327" s="2" t="str">
        <f ca="1">IFERROR(__xludf.DUMMYFUNCTION("GOOGLETRANSLATE(B327, ""en"",""es"")"),"mirar")</f>
        <v>mirar</v>
      </c>
      <c r="D327" s="2" t="str">
        <f ca="1">IFERROR(__xludf.DUMMYFUNCTION("GOOGLETRANSLATE(B327,""en"",""ig"")"),"mgbe")</f>
        <v>mgbe</v>
      </c>
      <c r="E327" s="2" t="str">
        <f ca="1">IFERROR(__xludf.DUMMYFUNCTION("GOOGLETRANSLATE(B327,""en"",""fr"")"),"montre")</f>
        <v>montre</v>
      </c>
      <c r="F327" s="2" t="str">
        <f ca="1">IFERROR(__xludf.DUMMYFUNCTION("GOOGLETRANSLATE(B327,""en"",""it"")"),"orologio")</f>
        <v>orologio</v>
      </c>
      <c r="G327" s="2" t="str">
        <f ca="1">IFERROR(__xludf.DUMMYFUNCTION("GOOGLETRANSLATE(B327,""en"",""de"")"),"betrachten")</f>
        <v>betrachten</v>
      </c>
      <c r="H327" s="2" t="str">
        <f ca="1">IFERROR(__xludf.DUMMYFUNCTION("GOOGLETRANSLATE(B327,""en"",""zh"")"),"手表")</f>
        <v>手表</v>
      </c>
      <c r="I327" s="2" t="str">
        <f ca="1">IFERROR(__xludf.DUMMYFUNCTION("GOOGLETRANSLATE(B327,""en"",""gd"")"),"Coimhead")</f>
        <v>Coimhead</v>
      </c>
    </row>
    <row r="328" spans="1:9" ht="14.25" customHeight="1" x14ac:dyDescent="0.3">
      <c r="A328" s="2">
        <v>327</v>
      </c>
      <c r="B328" s="3" t="s">
        <v>335</v>
      </c>
      <c r="C328" s="2" t="str">
        <f ca="1">IFERROR(__xludf.DUMMYFUNCTION("GOOGLETRANSLATE(B328, ""en"",""es"")"),"base")</f>
        <v>base</v>
      </c>
      <c r="D328" s="2" t="str">
        <f ca="1">IFERROR(__xludf.DUMMYFUNCTION("GOOGLETRANSLATE(B328,""en"",""ig"")"),"isi")</f>
        <v>isi</v>
      </c>
      <c r="E328" s="2" t="str">
        <f ca="1">IFERROR(__xludf.DUMMYFUNCTION("GOOGLETRANSLATE(B328,""en"",""fr"")"),"base")</f>
        <v>base</v>
      </c>
      <c r="F328" s="2" t="str">
        <f ca="1">IFERROR(__xludf.DUMMYFUNCTION("GOOGLETRANSLATE(B328,""en"",""it"")"),"base")</f>
        <v>base</v>
      </c>
      <c r="G328" s="2" t="str">
        <f ca="1">IFERROR(__xludf.DUMMYFUNCTION("GOOGLETRANSLATE(B328,""en"",""de"")"),"Base")</f>
        <v>Base</v>
      </c>
      <c r="H328" s="2" t="str">
        <f ca="1">IFERROR(__xludf.DUMMYFUNCTION("GOOGLETRANSLATE(B328,""en"",""zh"")"),"根据")</f>
        <v>根据</v>
      </c>
      <c r="I328" s="2" t="str">
        <f ca="1">IFERROR(__xludf.DUMMYFUNCTION("GOOGLETRANSLATE(B328,""en"",""gd"")"),"Bunait")</f>
        <v>Bunait</v>
      </c>
    </row>
    <row r="329" spans="1:9" ht="14.25" customHeight="1" x14ac:dyDescent="0.3">
      <c r="A329" s="2">
        <v>328</v>
      </c>
      <c r="B329" s="3" t="s">
        <v>336</v>
      </c>
      <c r="C329" s="2" t="str">
        <f ca="1">IFERROR(__xludf.DUMMYFUNCTION("GOOGLETRANSLATE(B329, ""en"",""es"")"),"probablemente")</f>
        <v>probablemente</v>
      </c>
      <c r="D329" s="2" t="str">
        <f ca="1">IFERROR(__xludf.DUMMYFUNCTION("GOOGLETRANSLATE(B329,""en"",""ig"")"),"inwe ike ime")</f>
        <v>inwe ike ime</v>
      </c>
      <c r="E329" s="2" t="str">
        <f ca="1">IFERROR(__xludf.DUMMYFUNCTION("GOOGLETRANSLATE(B329,""en"",""fr"")"),"probablement")</f>
        <v>probablement</v>
      </c>
      <c r="F329" s="2" t="str">
        <f ca="1">IFERROR(__xludf.DUMMYFUNCTION("GOOGLETRANSLATE(B329,""en"",""it"")"),"probabilmente")</f>
        <v>probabilmente</v>
      </c>
      <c r="G329" s="2" t="str">
        <f ca="1">IFERROR(__xludf.DUMMYFUNCTION("GOOGLETRANSLATE(B329,""en"",""de"")"),"wahrscheinlich")</f>
        <v>wahrscheinlich</v>
      </c>
      <c r="H329" s="2" t="str">
        <f ca="1">IFERROR(__xludf.DUMMYFUNCTION("GOOGLETRANSLATE(B329,""en"",""zh"")"),"大概")</f>
        <v>大概</v>
      </c>
      <c r="I329" s="2" t="str">
        <f ca="1">IFERROR(__xludf.DUMMYFUNCTION("GOOGLETRANSLATE(B329,""en"",""gd"")"),"is dòcha")</f>
        <v>is dòcha</v>
      </c>
    </row>
    <row r="330" spans="1:9" ht="14.25" customHeight="1" x14ac:dyDescent="0.3">
      <c r="A330" s="2">
        <v>329</v>
      </c>
      <c r="B330" s="3" t="s">
        <v>337</v>
      </c>
      <c r="C330" s="2" t="str">
        <f ca="1">IFERROR(__xludf.DUMMYFUNCTION("GOOGLETRANSLATE(B330, ""en"",""es"")"),"sugerir")</f>
        <v>sugerir</v>
      </c>
      <c r="D330" s="2" t="str">
        <f ca="1">IFERROR(__xludf.DUMMYFUNCTION("GOOGLETRANSLATE(B330,""en"",""ig"")"),"ịkwaego")</f>
        <v>ịkwaego</v>
      </c>
      <c r="E330" s="2" t="str">
        <f ca="1">IFERROR(__xludf.DUMMYFUNCTION("GOOGLETRANSLATE(B330,""en"",""fr"")"),"suggérer")</f>
        <v>suggérer</v>
      </c>
      <c r="F330" s="2" t="str">
        <f ca="1">IFERROR(__xludf.DUMMYFUNCTION("GOOGLETRANSLATE(B330,""en"",""it"")"),"suggerire")</f>
        <v>suggerire</v>
      </c>
      <c r="G330" s="2" t="str">
        <f ca="1">IFERROR(__xludf.DUMMYFUNCTION("GOOGLETRANSLATE(B330,""en"",""de"")"),"vorschlagen")</f>
        <v>vorschlagen</v>
      </c>
      <c r="H330" s="2" t="str">
        <f ca="1">IFERROR(__xludf.DUMMYFUNCTION("GOOGLETRANSLATE(B330,""en"",""zh"")"),"建议")</f>
        <v>建议</v>
      </c>
      <c r="I330" s="2" t="str">
        <f ca="1">IFERROR(__xludf.DUMMYFUNCTION("GOOGLETRANSLATE(B330,""en"",""gd"")"),"moladh")</f>
        <v>moladh</v>
      </c>
    </row>
    <row r="331" spans="1:9" ht="14.25" customHeight="1" x14ac:dyDescent="0.3">
      <c r="A331" s="2">
        <v>330</v>
      </c>
      <c r="B331" s="3" t="s">
        <v>338</v>
      </c>
      <c r="C331" s="2" t="str">
        <f ca="1">IFERROR(__xludf.DUMMYFUNCTION("GOOGLETRANSLATE(B331, ""en"",""es"")"),"pasado")</f>
        <v>pasado</v>
      </c>
      <c r="D331" s="2" t="str">
        <f ca="1">IFERROR(__xludf.DUMMYFUNCTION("GOOGLETRANSLATE(B331,""en"",""ig"")"),"agafego")</f>
        <v>agafego</v>
      </c>
      <c r="E331" s="2" t="str">
        <f ca="1">IFERROR(__xludf.DUMMYFUNCTION("GOOGLETRANSLATE(B331,""en"",""fr"")"),"passé")</f>
        <v>passé</v>
      </c>
      <c r="F331" s="2" t="str">
        <f ca="1">IFERROR(__xludf.DUMMYFUNCTION("GOOGLETRANSLATE(B331,""en"",""it"")"),"passato")</f>
        <v>passato</v>
      </c>
      <c r="G331" s="2" t="str">
        <f ca="1">IFERROR(__xludf.DUMMYFUNCTION("GOOGLETRANSLATE(B331,""en"",""de"")"),"Vergangenheit")</f>
        <v>Vergangenheit</v>
      </c>
      <c r="H331" s="2" t="str">
        <f ca="1">IFERROR(__xludf.DUMMYFUNCTION("GOOGLETRANSLATE(B331,""en"",""zh"")"),"过去的")</f>
        <v>过去的</v>
      </c>
      <c r="I331" s="2" t="str">
        <f ca="1">IFERROR(__xludf.DUMMYFUNCTION("GOOGLETRANSLATE(B331,""en"",""gd"")"),"seachad")</f>
        <v>seachad</v>
      </c>
    </row>
    <row r="332" spans="1:9" ht="14.25" customHeight="1" x14ac:dyDescent="0.3">
      <c r="A332" s="2">
        <v>331</v>
      </c>
      <c r="B332" s="3" t="s">
        <v>339</v>
      </c>
      <c r="C332" s="2" t="str">
        <f ca="1">IFERROR(__xludf.DUMMYFUNCTION("GOOGLETRANSLATE(B332, ""en"",""es"")"),"fuerza")</f>
        <v>fuerza</v>
      </c>
      <c r="D332" s="2" t="str">
        <f ca="1">IFERROR(__xludf.DUMMYFUNCTION("GOOGLETRANSLATE(B332,""en"",""ig"")"),"ike")</f>
        <v>ike</v>
      </c>
      <c r="E332" s="2" t="str">
        <f ca="1">IFERROR(__xludf.DUMMYFUNCTION("GOOGLETRANSLATE(B332,""en"",""fr"")"),"pouvoir")</f>
        <v>pouvoir</v>
      </c>
      <c r="F332" s="2" t="str">
        <f ca="1">IFERROR(__xludf.DUMMYFUNCTION("GOOGLETRANSLATE(B332,""en"",""it"")"),"energia")</f>
        <v>energia</v>
      </c>
      <c r="G332" s="2" t="str">
        <f ca="1">IFERROR(__xludf.DUMMYFUNCTION("GOOGLETRANSLATE(B332,""en"",""de"")"),"Leistung")</f>
        <v>Leistung</v>
      </c>
      <c r="H332" s="2" t="str">
        <f ca="1">IFERROR(__xludf.DUMMYFUNCTION("GOOGLETRANSLATE(B332,""en"",""zh"")"),"力量")</f>
        <v>力量</v>
      </c>
      <c r="I332" s="2" t="str">
        <f ca="1">IFERROR(__xludf.DUMMYFUNCTION("GOOGLETRANSLATE(B332,""en"",""gd"")"),"Cumhachd")</f>
        <v>Cumhachd</v>
      </c>
    </row>
    <row r="333" spans="1:9" ht="14.25" customHeight="1" x14ac:dyDescent="0.3">
      <c r="A333" s="2">
        <v>332</v>
      </c>
      <c r="B333" s="3" t="s">
        <v>340</v>
      </c>
      <c r="C333" s="2" t="str">
        <f ca="1">IFERROR(__xludf.DUMMYFUNCTION("GOOGLETRANSLATE(B333, ""en"",""es"")"),"prueba")</f>
        <v>prueba</v>
      </c>
      <c r="D333" s="2" t="str">
        <f ca="1">IFERROR(__xludf.DUMMYFUNCTION("GOOGLETRANSLATE(B333,""en"",""ig"")"),"inwa")</f>
        <v>inwa</v>
      </c>
      <c r="E333" s="2" t="str">
        <f ca="1">IFERROR(__xludf.DUMMYFUNCTION("GOOGLETRANSLATE(B333,""en"",""fr"")"),"test")</f>
        <v>test</v>
      </c>
      <c r="F333" s="2" t="str">
        <f ca="1">IFERROR(__xludf.DUMMYFUNCTION("GOOGLETRANSLATE(B333,""en"",""it"")"),"test")</f>
        <v>test</v>
      </c>
      <c r="G333" s="2" t="str">
        <f ca="1">IFERROR(__xludf.DUMMYFUNCTION("GOOGLETRANSLATE(B333,""en"",""de"")"),"prüfen")</f>
        <v>prüfen</v>
      </c>
      <c r="H333" s="2" t="str">
        <f ca="1">IFERROR(__xludf.DUMMYFUNCTION("GOOGLETRANSLATE(B333,""en"",""zh"")"),"测试")</f>
        <v>测试</v>
      </c>
      <c r="I333" s="2" t="str">
        <f ca="1">IFERROR(__xludf.DUMMYFUNCTION("GOOGLETRANSLATE(B333,""en"",""gd"")"),"Deuchainn")</f>
        <v>Deuchainn</v>
      </c>
    </row>
    <row r="334" spans="1:9" ht="14.25" customHeight="1" x14ac:dyDescent="0.3">
      <c r="A334" s="2">
        <v>333</v>
      </c>
      <c r="B334" s="3" t="s">
        <v>341</v>
      </c>
      <c r="C334" s="2" t="str">
        <f ca="1">IFERROR(__xludf.DUMMYFUNCTION("GOOGLETRANSLATE(B334, ""en"",""es"")"),"visita")</f>
        <v>visita</v>
      </c>
      <c r="D334" s="2" t="str">
        <f ca="1">IFERROR(__xludf.DUMMYFUNCTION("GOOGLETRANSLATE(B334,""en"",""ig"")"),"obia")</f>
        <v>obia</v>
      </c>
      <c r="E334" s="2" t="str">
        <f ca="1">IFERROR(__xludf.DUMMYFUNCTION("GOOGLETRANSLATE(B334,""en"",""fr"")"),"visite")</f>
        <v>visite</v>
      </c>
      <c r="F334" s="2" t="str">
        <f ca="1">IFERROR(__xludf.DUMMYFUNCTION("GOOGLETRANSLATE(B334,""en"",""it"")"),"visita")</f>
        <v>visita</v>
      </c>
      <c r="G334" s="2" t="str">
        <f ca="1">IFERROR(__xludf.DUMMYFUNCTION("GOOGLETRANSLATE(B334,""en"",""de"")"),"besuchen")</f>
        <v>besuchen</v>
      </c>
      <c r="H334" s="2" t="str">
        <f ca="1">IFERROR(__xludf.DUMMYFUNCTION("GOOGLETRANSLATE(B334,""en"",""zh"")"),"访问")</f>
        <v>访问</v>
      </c>
      <c r="I334" s="2" t="str">
        <f ca="1">IFERROR(__xludf.DUMMYFUNCTION("GOOGLETRANSLATE(B334,""en"",""gd"")"),"Tadhal air")</f>
        <v>Tadhal air</v>
      </c>
    </row>
    <row r="335" spans="1:9" ht="14.25" customHeight="1" x14ac:dyDescent="0.3">
      <c r="A335" s="2">
        <v>334</v>
      </c>
      <c r="B335" s="3" t="s">
        <v>342</v>
      </c>
      <c r="C335" s="2" t="str">
        <f ca="1">IFERROR(__xludf.DUMMYFUNCTION("GOOGLETRANSLATE(B335, ""en"",""es"")"),"centro")</f>
        <v>centro</v>
      </c>
      <c r="D335" s="2" t="str">
        <f ca="1">IFERROR(__xludf.DUMMYFUNCTION("GOOGLETRANSLATE(B335,""en"",""ig"")"),"etiti")</f>
        <v>etiti</v>
      </c>
      <c r="E335" s="2" t="str">
        <f ca="1">IFERROR(__xludf.DUMMYFUNCTION("GOOGLETRANSLATE(B335,""en"",""fr"")"),"centre")</f>
        <v>centre</v>
      </c>
      <c r="F335" s="2" t="str">
        <f ca="1">IFERROR(__xludf.DUMMYFUNCTION("GOOGLETRANSLATE(B335,""en"",""it"")"),"centro")</f>
        <v>centro</v>
      </c>
      <c r="G335" s="2" t="str">
        <f ca="1">IFERROR(__xludf.DUMMYFUNCTION("GOOGLETRANSLATE(B335,""en"",""de"")"),"Center")</f>
        <v>Center</v>
      </c>
      <c r="H335" s="2" t="str">
        <f ca="1">IFERROR(__xludf.DUMMYFUNCTION("GOOGLETRANSLATE(B335,""en"",""zh"")"),"中心")</f>
        <v>中心</v>
      </c>
      <c r="I335" s="2" t="str">
        <f ca="1">IFERROR(__xludf.DUMMYFUNCTION("GOOGLETRANSLATE(B335,""en"",""gd"")"),"Ionad")</f>
        <v>Ionad</v>
      </c>
    </row>
    <row r="336" spans="1:9" ht="14.25" customHeight="1" x14ac:dyDescent="0.3">
      <c r="A336" s="2">
        <v>335</v>
      </c>
      <c r="B336" s="3" t="s">
        <v>343</v>
      </c>
      <c r="C336" s="2" t="str">
        <f ca="1">IFERROR(__xludf.DUMMYFUNCTION("GOOGLETRANSLATE(B336, ""en"",""es"")"),"crecer")</f>
        <v>crecer</v>
      </c>
      <c r="D336" s="2" t="str">
        <f ca="1">IFERROR(__xludf.DUMMYFUNCTION("GOOGLETRANSLATE(B336,""en"",""ig"")"),"ibu ibu")</f>
        <v>ibu ibu</v>
      </c>
      <c r="E336" s="2" t="str">
        <f ca="1">IFERROR(__xludf.DUMMYFUNCTION("GOOGLETRANSLATE(B336,""en"",""fr"")"),"grandir")</f>
        <v>grandir</v>
      </c>
      <c r="F336" s="2" t="str">
        <f ca="1">IFERROR(__xludf.DUMMYFUNCTION("GOOGLETRANSLATE(B336,""en"",""it"")"),"crescere")</f>
        <v>crescere</v>
      </c>
      <c r="G336" s="2" t="str">
        <f ca="1">IFERROR(__xludf.DUMMYFUNCTION("GOOGLETRANSLATE(B336,""en"",""de"")"),"wachsen")</f>
        <v>wachsen</v>
      </c>
      <c r="H336" s="2" t="str">
        <f ca="1">IFERROR(__xludf.DUMMYFUNCTION("GOOGLETRANSLATE(B336,""en"",""zh"")"),"生长")</f>
        <v>生长</v>
      </c>
      <c r="I336" s="2" t="str">
        <f ca="1">IFERROR(__xludf.DUMMYFUNCTION("GOOGLETRANSLATE(B336,""en"",""gd"")"),"fàs")</f>
        <v>fàs</v>
      </c>
    </row>
    <row r="337" spans="1:9" ht="14.25" customHeight="1" x14ac:dyDescent="0.3">
      <c r="A337" s="2">
        <v>336</v>
      </c>
      <c r="B337" s="3" t="s">
        <v>344</v>
      </c>
      <c r="C337" s="2" t="str">
        <f ca="1">IFERROR(__xludf.DUMMYFUNCTION("GOOGLETRANSLATE(B337, ""en"",""es"")"),"nada")</f>
        <v>nada</v>
      </c>
      <c r="D337" s="2" t="str">
        <f ca="1">IFERROR(__xludf.DUMMYFUNCTION("GOOGLETRANSLATE(B337,""en"",""ig"")"),"ihe efu")</f>
        <v>ihe efu</v>
      </c>
      <c r="E337" s="2" t="str">
        <f ca="1">IFERROR(__xludf.DUMMYFUNCTION("GOOGLETRANSLATE(B337,""en"",""fr"")"),"rien")</f>
        <v>rien</v>
      </c>
      <c r="F337" s="2" t="str">
        <f ca="1">IFERROR(__xludf.DUMMYFUNCTION("GOOGLETRANSLATE(B337,""en"",""it"")"),"Niente")</f>
        <v>Niente</v>
      </c>
      <c r="G337" s="2" t="str">
        <f ca="1">IFERROR(__xludf.DUMMYFUNCTION("GOOGLETRANSLATE(B337,""en"",""de"")"),"Nichts")</f>
        <v>Nichts</v>
      </c>
      <c r="H337" s="2" t="str">
        <f ca="1">IFERROR(__xludf.DUMMYFUNCTION("GOOGLETRANSLATE(B337,""en"",""zh"")"),"没有什么")</f>
        <v>没有什么</v>
      </c>
      <c r="I337" s="2" t="str">
        <f ca="1">IFERROR(__xludf.DUMMYFUNCTION("GOOGLETRANSLATE(B337,""en"",""gd"")"),"dad")</f>
        <v>dad</v>
      </c>
    </row>
    <row r="338" spans="1:9" ht="14.25" customHeight="1" x14ac:dyDescent="0.3">
      <c r="A338" s="2">
        <v>337</v>
      </c>
      <c r="B338" s="3" t="s">
        <v>345</v>
      </c>
      <c r="C338" s="2" t="str">
        <f ca="1">IFERROR(__xludf.DUMMYFUNCTION("GOOGLETRANSLATE(B338, ""en"",""es"")"),"devolver")</f>
        <v>devolver</v>
      </c>
      <c r="D338" s="2" t="str">
        <f ca="1">IFERROR(__xludf.DUMMYFUNCTION("GOOGLETRANSLATE(B338,""en"",""ig"")"),"ibia")</f>
        <v>ibia</v>
      </c>
      <c r="E338" s="2" t="str">
        <f ca="1">IFERROR(__xludf.DUMMYFUNCTION("GOOGLETRANSLATE(B338,""en"",""fr"")"),"retour")</f>
        <v>retour</v>
      </c>
      <c r="F338" s="2" t="str">
        <f ca="1">IFERROR(__xludf.DUMMYFUNCTION("GOOGLETRANSLATE(B338,""en"",""it"")"),"ritorno")</f>
        <v>ritorno</v>
      </c>
      <c r="G338" s="2" t="str">
        <f ca="1">IFERROR(__xludf.DUMMYFUNCTION("GOOGLETRANSLATE(B338,""en"",""de"")"),"zurückkehren")</f>
        <v>zurückkehren</v>
      </c>
      <c r="H338" s="2" t="str">
        <f ca="1">IFERROR(__xludf.DUMMYFUNCTION("GOOGLETRANSLATE(B338,""en"",""zh"")"),"返回")</f>
        <v>返回</v>
      </c>
      <c r="I338" s="2" t="str">
        <f ca="1">IFERROR(__xludf.DUMMYFUNCTION("GOOGLETRANSLATE(B338,""en"",""gd"")"),"till")</f>
        <v>till</v>
      </c>
    </row>
    <row r="339" spans="1:9" ht="14.25" customHeight="1" x14ac:dyDescent="0.3">
      <c r="A339" s="2">
        <v>338</v>
      </c>
      <c r="B339" s="3" t="s">
        <v>346</v>
      </c>
      <c r="C339" s="2" t="str">
        <f ca="1">IFERROR(__xludf.DUMMYFUNCTION("GOOGLETRANSLATE(B339, ""en"",""es"")"),"madre")</f>
        <v>madre</v>
      </c>
      <c r="D339" s="2" t="str">
        <f ca="1">IFERROR(__xludf.DUMMYFUNCTION("GOOGLETRANSLATE(B339,""en"",""ig"")"),"nne")</f>
        <v>nne</v>
      </c>
      <c r="E339" s="2" t="str">
        <f ca="1">IFERROR(__xludf.DUMMYFUNCTION("GOOGLETRANSLATE(B339,""en"",""fr"")"),"mère")</f>
        <v>mère</v>
      </c>
      <c r="F339" s="2" t="str">
        <f ca="1">IFERROR(__xludf.DUMMYFUNCTION("GOOGLETRANSLATE(B339,""en"",""it"")"),"madre")</f>
        <v>madre</v>
      </c>
      <c r="G339" s="2" t="str">
        <f ca="1">IFERROR(__xludf.DUMMYFUNCTION("GOOGLETRANSLATE(B339,""en"",""de"")"),"Mutter")</f>
        <v>Mutter</v>
      </c>
      <c r="H339" s="2" t="str">
        <f ca="1">IFERROR(__xludf.DUMMYFUNCTION("GOOGLETRANSLATE(B339,""en"",""zh"")"),"母亲")</f>
        <v>母亲</v>
      </c>
      <c r="I339" s="2" t="str">
        <f ca="1">IFERROR(__xludf.DUMMYFUNCTION("GOOGLETRANSLATE(B339,""en"",""gd"")"),"màthair")</f>
        <v>màthair</v>
      </c>
    </row>
    <row r="340" spans="1:9" ht="14.25" customHeight="1" x14ac:dyDescent="0.3">
      <c r="A340" s="2">
        <v>339</v>
      </c>
      <c r="B340" s="3" t="s">
        <v>347</v>
      </c>
      <c r="C340" s="2" t="str">
        <f ca="1">IFERROR(__xludf.DUMMYFUNCTION("GOOGLETRANSLATE(B340, ""en"",""es"")"),"caminar")</f>
        <v>caminar</v>
      </c>
      <c r="D340" s="2" t="str">
        <f ca="1">IFERROR(__xludf.DUMMYFUNCTION("GOOGLETRANSLATE(B340,""en"",""ig"")"),"iga")</f>
        <v>iga</v>
      </c>
      <c r="E340" s="2" t="str">
        <f ca="1">IFERROR(__xludf.DUMMYFUNCTION("GOOGLETRANSLATE(B340,""en"",""fr"")"),"marcher")</f>
        <v>marcher</v>
      </c>
      <c r="F340" s="2" t="str">
        <f ca="1">IFERROR(__xludf.DUMMYFUNCTION("GOOGLETRANSLATE(B340,""en"",""it"")"),"camminare")</f>
        <v>camminare</v>
      </c>
      <c r="G340" s="2" t="str">
        <f ca="1">IFERROR(__xludf.DUMMYFUNCTION("GOOGLETRANSLATE(B340,""en"",""de"")"),"gehen")</f>
        <v>gehen</v>
      </c>
      <c r="H340" s="2" t="str">
        <f ca="1">IFERROR(__xludf.DUMMYFUNCTION("GOOGLETRANSLATE(B340,""en"",""zh"")"),"走")</f>
        <v>走</v>
      </c>
      <c r="I340" s="2" t="str">
        <f ca="1">IFERROR(__xludf.DUMMYFUNCTION("GOOGLETRANSLATE(B340,""en"",""gd"")"),"coiseachd")</f>
        <v>coiseachd</v>
      </c>
    </row>
    <row r="341" spans="1:9" ht="14.25" customHeight="1" x14ac:dyDescent="0.3">
      <c r="A341" s="2">
        <v>340</v>
      </c>
      <c r="B341" s="3" t="s">
        <v>348</v>
      </c>
      <c r="C341" s="2" t="str">
        <f ca="1">IFERROR(__xludf.DUMMYFUNCTION("GOOGLETRANSLATE(B341, ""en"",""es"")"),"asunto")</f>
        <v>asunto</v>
      </c>
      <c r="D341" s="2" t="str">
        <f ca="1">IFERROR(__xludf.DUMMYFUNCTION("GOOGLETRANSLATE(B341,""en"",""ig"")"),"okwu")</f>
        <v>okwu</v>
      </c>
      <c r="E341" s="2" t="str">
        <f ca="1">IFERROR(__xludf.DUMMYFUNCTION("GOOGLETRANSLATE(B341,""en"",""fr"")"),"matière")</f>
        <v>matière</v>
      </c>
      <c r="F341" s="2" t="str">
        <f ca="1">IFERROR(__xludf.DUMMYFUNCTION("GOOGLETRANSLATE(B341,""en"",""it"")"),"questione")</f>
        <v>questione</v>
      </c>
      <c r="G341" s="2" t="str">
        <f ca="1">IFERROR(__xludf.DUMMYFUNCTION("GOOGLETRANSLATE(B341,""en"",""de"")"),"Gegenstand")</f>
        <v>Gegenstand</v>
      </c>
      <c r="H341" s="2" t="str">
        <f ca="1">IFERROR(__xludf.DUMMYFUNCTION("GOOGLETRANSLATE(B341,""en"",""zh"")"),"事情")</f>
        <v>事情</v>
      </c>
      <c r="I341" s="2" t="str">
        <f ca="1">IFERROR(__xludf.DUMMYFUNCTION("GOOGLETRANSLATE(B341,""en"",""gd"")"),"Cùis")</f>
        <v>Cùis</v>
      </c>
    </row>
    <row r="342" spans="1:9" ht="14.25" customHeight="1" x14ac:dyDescent="0.3">
      <c r="A342" s="2">
        <v>341</v>
      </c>
      <c r="B342" s="3" t="s">
        <v>349</v>
      </c>
      <c r="C342" s="2" t="str">
        <f ca="1">IFERROR(__xludf.DUMMYFUNCTION("GOOGLETRANSLATE(B342, ""en"",""es"")"),"mente")</f>
        <v>mente</v>
      </c>
      <c r="D342" s="2" t="str">
        <f ca="1">IFERROR(__xludf.DUMMYFUNCTION("GOOGLETRANSLATE(B342,""en"",""ig"")"),"uche")</f>
        <v>uche</v>
      </c>
      <c r="E342" s="2" t="str">
        <f ca="1">IFERROR(__xludf.DUMMYFUNCTION("GOOGLETRANSLATE(B342,""en"",""fr"")"),"esprit")</f>
        <v>esprit</v>
      </c>
      <c r="F342" s="2" t="str">
        <f ca="1">IFERROR(__xludf.DUMMYFUNCTION("GOOGLETRANSLATE(B342,""en"",""it"")"),"mente")</f>
        <v>mente</v>
      </c>
      <c r="G342" s="2" t="str">
        <f ca="1">IFERROR(__xludf.DUMMYFUNCTION("GOOGLETRANSLATE(B342,""en"",""de"")"),"Geist")</f>
        <v>Geist</v>
      </c>
      <c r="H342" s="2" t="str">
        <f ca="1">IFERROR(__xludf.DUMMYFUNCTION("GOOGLETRANSLATE(B342,""en"",""zh"")"),"头脑")</f>
        <v>头脑</v>
      </c>
      <c r="I342" s="2" t="str">
        <f ca="1">IFERROR(__xludf.DUMMYFUNCTION("GOOGLETRANSLATE(B342,""en"",""gd"")"),"inntinn")</f>
        <v>inntinn</v>
      </c>
    </row>
    <row r="343" spans="1:9" ht="14.25" customHeight="1" x14ac:dyDescent="0.3">
      <c r="A343" s="2">
        <v>342</v>
      </c>
      <c r="B343" s="3" t="s">
        <v>350</v>
      </c>
      <c r="C343" s="2" t="str">
        <f ca="1">IFERROR(__xludf.DUMMYFUNCTION("GOOGLETRANSLATE(B343, ""en"",""es"")"),"valor")</f>
        <v>valor</v>
      </c>
      <c r="D343" s="2" t="str">
        <f ca="1">IFERROR(__xludf.DUMMYFUNCTION("GOOGLETRANSLATE(B343,""en"",""ig"")"),"baa uru")</f>
        <v>baa uru</v>
      </c>
      <c r="E343" s="2" t="str">
        <f ca="1">IFERROR(__xludf.DUMMYFUNCTION("GOOGLETRANSLATE(B343,""en"",""fr"")"),"valeur")</f>
        <v>valeur</v>
      </c>
      <c r="F343" s="2" t="str">
        <f ca="1">IFERROR(__xludf.DUMMYFUNCTION("GOOGLETRANSLATE(B343,""en"",""it"")"),"valore")</f>
        <v>valore</v>
      </c>
      <c r="G343" s="2" t="str">
        <f ca="1">IFERROR(__xludf.DUMMYFUNCTION("GOOGLETRANSLATE(B343,""en"",""de"")"),"Wert")</f>
        <v>Wert</v>
      </c>
      <c r="H343" s="2" t="str">
        <f ca="1">IFERROR(__xludf.DUMMYFUNCTION("GOOGLETRANSLATE(B343,""en"",""zh"")"),"价值")</f>
        <v>价值</v>
      </c>
      <c r="I343" s="2" t="str">
        <f ca="1">IFERROR(__xludf.DUMMYFUNCTION("GOOGLETRANSLATE(B343,""en"",""gd"")"),"Luach")</f>
        <v>Luach</v>
      </c>
    </row>
    <row r="344" spans="1:9" ht="14.25" customHeight="1" x14ac:dyDescent="0.3">
      <c r="A344" s="2">
        <v>343</v>
      </c>
      <c r="B344" s="3" t="s">
        <v>351</v>
      </c>
      <c r="C344" s="2" t="str">
        <f ca="1">IFERROR(__xludf.DUMMYFUNCTION("GOOGLETRANSLATE(B344, ""en"",""es"")"),"oficina")</f>
        <v>oficina</v>
      </c>
      <c r="D344" s="2" t="str">
        <f ca="1">IFERROR(__xludf.DUMMYFUNCTION("GOOGLETRANSLATE(B344,""en"",""ig"")"),"onodu")</f>
        <v>onodu</v>
      </c>
      <c r="E344" s="2" t="str">
        <f ca="1">IFERROR(__xludf.DUMMYFUNCTION("GOOGLETRANSLATE(B344,""en"",""fr"")"),"bureau")</f>
        <v>bureau</v>
      </c>
      <c r="F344" s="2" t="str">
        <f ca="1">IFERROR(__xludf.DUMMYFUNCTION("GOOGLETRANSLATE(B344,""en"",""it"")"),"ufficio")</f>
        <v>ufficio</v>
      </c>
      <c r="G344" s="2" t="str">
        <f ca="1">IFERROR(__xludf.DUMMYFUNCTION("GOOGLETRANSLATE(B344,""en"",""de"")"),"Büro")</f>
        <v>Büro</v>
      </c>
      <c r="H344" s="2" t="str">
        <f ca="1">IFERROR(__xludf.DUMMYFUNCTION("GOOGLETRANSLATE(B344,""en"",""zh"")"),"办公室")</f>
        <v>办公室</v>
      </c>
      <c r="I344" s="2" t="str">
        <f ca="1">IFERROR(__xludf.DUMMYFUNCTION("GOOGLETRANSLATE(B344,""en"",""gd"")"),"Oifis")</f>
        <v>Oifis</v>
      </c>
    </row>
    <row r="345" spans="1:9" ht="14.25" customHeight="1" x14ac:dyDescent="0.3">
      <c r="A345" s="2">
        <v>344</v>
      </c>
      <c r="B345" s="3" t="s">
        <v>352</v>
      </c>
      <c r="C345" s="2" t="str">
        <f ca="1">IFERROR(__xludf.DUMMYFUNCTION("GOOGLETRANSLATE(B345, ""en"",""es"")"),"registro")</f>
        <v>registro</v>
      </c>
      <c r="D345" s="2" t="str">
        <f ca="1">IFERROR(__xludf.DUMMYFUNCTION("GOOGLETRANSLATE(B345,""en"",""ig"")"),"ndeko ego")</f>
        <v>ndeko ego</v>
      </c>
      <c r="E345" s="2" t="str">
        <f ca="1">IFERROR(__xludf.DUMMYFUNCTION("GOOGLETRANSLATE(B345,""en"",""fr"")"),"enregistrer")</f>
        <v>enregistrer</v>
      </c>
      <c r="F345" s="2" t="str">
        <f ca="1">IFERROR(__xludf.DUMMYFUNCTION("GOOGLETRANSLATE(B345,""en"",""it"")"),"documentazione")</f>
        <v>documentazione</v>
      </c>
      <c r="G345" s="2" t="str">
        <f ca="1">IFERROR(__xludf.DUMMYFUNCTION("GOOGLETRANSLATE(B345,""en"",""de"")"),"aufzeichnen")</f>
        <v>aufzeichnen</v>
      </c>
      <c r="H345" s="2" t="str">
        <f ca="1">IFERROR(__xludf.DUMMYFUNCTION("GOOGLETRANSLATE(B345,""en"",""zh"")"),"记录")</f>
        <v>记录</v>
      </c>
      <c r="I345" s="2" t="str">
        <f ca="1">IFERROR(__xludf.DUMMYFUNCTION("GOOGLETRANSLATE(B345,""en"",""gd"")"),"clàr")</f>
        <v>clàr</v>
      </c>
    </row>
    <row r="346" spans="1:9" ht="14.25" customHeight="1" x14ac:dyDescent="0.3">
      <c r="A346" s="2">
        <v>345</v>
      </c>
      <c r="B346" s="3" t="s">
        <v>353</v>
      </c>
      <c r="C346" s="2" t="str">
        <f ca="1">IFERROR(__xludf.DUMMYFUNCTION("GOOGLETRANSLATE(B346, ""en"",""es"")"),"permanecer")</f>
        <v>permanecer</v>
      </c>
      <c r="D346" s="2" t="str">
        <f ca="1">IFERROR(__xludf.DUMMYFUNCTION("GOOGLETRANSLATE(B346,""en"",""ig"")"),"nodu")</f>
        <v>nodu</v>
      </c>
      <c r="E346" s="2" t="str">
        <f ca="1">IFERROR(__xludf.DUMMYFUNCTION("GOOGLETRANSLATE(B346,""en"",""fr"")"),"rester")</f>
        <v>rester</v>
      </c>
      <c r="F346" s="2" t="str">
        <f ca="1">IFERROR(__xludf.DUMMYFUNCTION("GOOGLETRANSLATE(B346,""en"",""it"")"),"rimanere")</f>
        <v>rimanere</v>
      </c>
      <c r="G346" s="2" t="str">
        <f ca="1">IFERROR(__xludf.DUMMYFUNCTION("GOOGLETRANSLATE(B346,""en"",""de"")"),"bleiben")</f>
        <v>bleiben</v>
      </c>
      <c r="H346" s="2" t="str">
        <f ca="1">IFERROR(__xludf.DUMMYFUNCTION("GOOGLETRANSLATE(B346,""en"",""zh"")"),"停留")</f>
        <v>停留</v>
      </c>
      <c r="I346" s="2" t="str">
        <f ca="1">IFERROR(__xludf.DUMMYFUNCTION("GOOGLETRANSLATE(B346,""en"",""gd"")"),"Fuirich")</f>
        <v>Fuirich</v>
      </c>
    </row>
    <row r="347" spans="1:9" ht="14.25" customHeight="1" x14ac:dyDescent="0.3">
      <c r="A347" s="2">
        <v>346</v>
      </c>
      <c r="B347" s="3" t="s">
        <v>354</v>
      </c>
      <c r="C347" s="2" t="str">
        <f ca="1">IFERROR(__xludf.DUMMYFUNCTION("GOOGLETRANSLATE(B347, ""en"",""es"")"),"fuerza")</f>
        <v>fuerza</v>
      </c>
      <c r="D347" s="2" t="str">
        <f ca="1">IFERROR(__xludf.DUMMYFUNCTION("GOOGLETRANSLATE(B347,""en"",""ig"")"),"ike ike")</f>
        <v>ike ike</v>
      </c>
      <c r="E347" s="2" t="str">
        <f ca="1">IFERROR(__xludf.DUMMYFUNCTION("GOOGLETRANSLATE(B347,""en"",""fr"")"),"forcer")</f>
        <v>forcer</v>
      </c>
      <c r="F347" s="2" t="str">
        <f ca="1">IFERROR(__xludf.DUMMYFUNCTION("GOOGLETRANSLATE(B347,""en"",""it"")"),"forza")</f>
        <v>forza</v>
      </c>
      <c r="G347" s="2" t="str">
        <f ca="1">IFERROR(__xludf.DUMMYFUNCTION("GOOGLETRANSLATE(B347,""en"",""de"")"),"Gewalt")</f>
        <v>Gewalt</v>
      </c>
      <c r="H347" s="2" t="str">
        <f ca="1">IFERROR(__xludf.DUMMYFUNCTION("GOOGLETRANSLATE(B347,""en"",""zh"")"),"力量")</f>
        <v>力量</v>
      </c>
      <c r="I347" s="2" t="str">
        <f ca="1">IFERROR(__xludf.DUMMYFUNCTION("GOOGLETRANSLATE(B347,""en"",""gd"")"),"feachd")</f>
        <v>feachd</v>
      </c>
    </row>
    <row r="348" spans="1:9" ht="14.25" customHeight="1" x14ac:dyDescent="0.3">
      <c r="A348" s="2">
        <v>347</v>
      </c>
      <c r="B348" s="3" t="s">
        <v>355</v>
      </c>
      <c r="C348" s="2" t="str">
        <f ca="1">IFERROR(__xludf.DUMMYFUNCTION("GOOGLETRANSLATE(B348, ""en"",""es"")"),"detener")</f>
        <v>detener</v>
      </c>
      <c r="D348" s="2" t="str">
        <f ca="1">IFERROR(__xludf.DUMMYFUNCTION("GOOGLETRANSLATE(B348,""en"",""ig"")"),"Kwụsị")</f>
        <v>Kwụsị</v>
      </c>
      <c r="E348" s="2" t="str">
        <f ca="1">IFERROR(__xludf.DUMMYFUNCTION("GOOGLETRANSLATE(B348,""en"",""fr"")"),"arrêt")</f>
        <v>arrêt</v>
      </c>
      <c r="F348" s="2" t="str">
        <f ca="1">IFERROR(__xludf.DUMMYFUNCTION("GOOGLETRANSLATE(B348,""en"",""it"")"),"fermare")</f>
        <v>fermare</v>
      </c>
      <c r="G348" s="2" t="str">
        <f ca="1">IFERROR(__xludf.DUMMYFUNCTION("GOOGLETRANSLATE(B348,""en"",""de"")"),"stoppen")</f>
        <v>stoppen</v>
      </c>
      <c r="H348" s="2" t="str">
        <f ca="1">IFERROR(__xludf.DUMMYFUNCTION("GOOGLETRANSLATE(B348,""en"",""zh"")"),"停止")</f>
        <v>停止</v>
      </c>
      <c r="I348" s="2" t="str">
        <f ca="1">IFERROR(__xludf.DUMMYFUNCTION("GOOGLETRANSLATE(B348,""en"",""gd"")"),"stad")</f>
        <v>stad</v>
      </c>
    </row>
    <row r="349" spans="1:9" ht="14.25" customHeight="1" x14ac:dyDescent="0.3">
      <c r="A349" s="2">
        <v>348</v>
      </c>
      <c r="B349" s="3" t="s">
        <v>356</v>
      </c>
      <c r="C349" s="2" t="str">
        <f ca="1">IFERROR(__xludf.DUMMYFUNCTION("GOOGLETRANSLATE(B349, ""en"",""es"")"),"varios")</f>
        <v>varios</v>
      </c>
      <c r="D349" s="2" t="str">
        <f ca="1">IFERROR(__xludf.DUMMYFUNCTION("GOOGLETRANSLATE(B349,""en"",""ig"")"),"otutu")</f>
        <v>otutu</v>
      </c>
      <c r="E349" s="2" t="str">
        <f ca="1">IFERROR(__xludf.DUMMYFUNCTION("GOOGLETRANSLATE(B349,""en"",""fr"")"),"plusieurs")</f>
        <v>plusieurs</v>
      </c>
      <c r="F349" s="2" t="str">
        <f ca="1">IFERROR(__xludf.DUMMYFUNCTION("GOOGLETRANSLATE(B349,""en"",""it"")"),"parecchi")</f>
        <v>parecchi</v>
      </c>
      <c r="G349" s="2" t="str">
        <f ca="1">IFERROR(__xludf.DUMMYFUNCTION("GOOGLETRANSLATE(B349,""en"",""de"")"),"mehrere")</f>
        <v>mehrere</v>
      </c>
      <c r="H349" s="2" t="str">
        <f ca="1">IFERROR(__xludf.DUMMYFUNCTION("GOOGLETRANSLATE(B349,""en"",""zh"")"),"一些")</f>
        <v>一些</v>
      </c>
      <c r="I349" s="2" t="str">
        <f ca="1">IFERROR(__xludf.DUMMYFUNCTION("GOOGLETRANSLATE(B349,""en"",""gd"")"),"grunn")</f>
        <v>grunn</v>
      </c>
    </row>
    <row r="350" spans="1:9" ht="14.25" customHeight="1" x14ac:dyDescent="0.3">
      <c r="A350" s="2">
        <v>349</v>
      </c>
      <c r="B350" s="3" t="s">
        <v>357</v>
      </c>
      <c r="C350" s="2" t="str">
        <f ca="1">IFERROR(__xludf.DUMMYFUNCTION("GOOGLETRANSLATE(B350, ""en"",""es"")"),"luz")</f>
        <v>luz</v>
      </c>
      <c r="D350" s="2" t="str">
        <f ca="1">IFERROR(__xludf.DUMMYFUNCTION("GOOGLETRANSLATE(B350,""en"",""ig"")"),"kemfe")</f>
        <v>kemfe</v>
      </c>
      <c r="E350" s="2" t="str">
        <f ca="1">IFERROR(__xludf.DUMMYFUNCTION("GOOGLETRANSLATE(B350,""en"",""fr"")"),"lumière")</f>
        <v>lumière</v>
      </c>
      <c r="F350" s="2" t="str">
        <f ca="1">IFERROR(__xludf.DUMMYFUNCTION("GOOGLETRANSLATE(B350,""en"",""it"")"),"leggero")</f>
        <v>leggero</v>
      </c>
      <c r="G350" s="2" t="str">
        <f ca="1">IFERROR(__xludf.DUMMYFUNCTION("GOOGLETRANSLATE(B350,""en"",""de"")"),"Licht")</f>
        <v>Licht</v>
      </c>
      <c r="H350" s="2" t="str">
        <f ca="1">IFERROR(__xludf.DUMMYFUNCTION("GOOGLETRANSLATE(B350,""en"",""zh"")"),"光")</f>
        <v>光</v>
      </c>
      <c r="I350" s="2" t="str">
        <f ca="1">IFERROR(__xludf.DUMMYFUNCTION("GOOGLETRANSLATE(B350,""en"",""gd"")"),"Solas")</f>
        <v>Solas</v>
      </c>
    </row>
    <row r="351" spans="1:9" ht="14.25" customHeight="1" x14ac:dyDescent="0.3">
      <c r="A351" s="2">
        <v>350</v>
      </c>
      <c r="B351" s="3" t="s">
        <v>358</v>
      </c>
      <c r="C351" s="2" t="str">
        <f ca="1">IFERROR(__xludf.DUMMYFUNCTION("GOOGLETRANSLATE(B351, ""en"",""es"")"),"desarrollar")</f>
        <v>desarrollar</v>
      </c>
      <c r="D351" s="2" t="str">
        <f ca="1">IFERROR(__xludf.DUMMYFUNCTION("GOOGLETRANSLATE(B351,""en"",""ig"")"),"imepe")</f>
        <v>imepe</v>
      </c>
      <c r="E351" s="2" t="str">
        <f ca="1">IFERROR(__xludf.DUMMYFUNCTION("GOOGLETRANSLATE(B351,""en"",""fr"")"),"développer")</f>
        <v>développer</v>
      </c>
      <c r="F351" s="2" t="str">
        <f ca="1">IFERROR(__xludf.DUMMYFUNCTION("GOOGLETRANSLATE(B351,""en"",""it"")"),"sviluppare")</f>
        <v>sviluppare</v>
      </c>
      <c r="G351" s="2" t="str">
        <f ca="1">IFERROR(__xludf.DUMMYFUNCTION("GOOGLETRANSLATE(B351,""en"",""de"")"),"entwickeln")</f>
        <v>entwickeln</v>
      </c>
      <c r="H351" s="2" t="str">
        <f ca="1">IFERROR(__xludf.DUMMYFUNCTION("GOOGLETRANSLATE(B351,""en"",""zh"")"),"发展")</f>
        <v>发展</v>
      </c>
      <c r="I351" s="2" t="str">
        <f ca="1">IFERROR(__xludf.DUMMYFUNCTION("GOOGLETRANSLATE(B351,""en"",""gd"")"),"Leasaich")</f>
        <v>Leasaich</v>
      </c>
    </row>
    <row r="352" spans="1:9" ht="14.25" customHeight="1" x14ac:dyDescent="0.3">
      <c r="A352" s="2">
        <v>351</v>
      </c>
      <c r="B352" s="3" t="s">
        <v>359</v>
      </c>
      <c r="C352" s="2" t="str">
        <f ca="1">IFERROR(__xludf.DUMMYFUNCTION("GOOGLETRANSLATE(B352, ""en"",""es"")"),"recordar")</f>
        <v>recordar</v>
      </c>
      <c r="D352" s="2" t="str">
        <f ca="1">IFERROR(__xludf.DUMMYFUNCTION("GOOGLETRANSLATE(B352,""en"",""ig"")"),"icheta")</f>
        <v>icheta</v>
      </c>
      <c r="E352" s="2" t="str">
        <f ca="1">IFERROR(__xludf.DUMMYFUNCTION("GOOGLETRANSLATE(B352,""en"",""fr"")"),"souviens-toi")</f>
        <v>souviens-toi</v>
      </c>
      <c r="F352" s="2" t="str">
        <f ca="1">IFERROR(__xludf.DUMMYFUNCTION("GOOGLETRANSLATE(B352,""en"",""it"")"),"Ricordare")</f>
        <v>Ricordare</v>
      </c>
      <c r="G352" s="2" t="str">
        <f ca="1">IFERROR(__xludf.DUMMYFUNCTION("GOOGLETRANSLATE(B352,""en"",""de"")"),"erinnern")</f>
        <v>erinnern</v>
      </c>
      <c r="H352" s="2" t="str">
        <f ca="1">IFERROR(__xludf.DUMMYFUNCTION("GOOGLETRANSLATE(B352,""en"",""zh"")"),"记住")</f>
        <v>记住</v>
      </c>
      <c r="I352" s="2" t="str">
        <f ca="1">IFERROR(__xludf.DUMMYFUNCTION("GOOGLETRANSLATE(B352,""en"",""gd"")"),"Cuimhnich")</f>
        <v>Cuimhnich</v>
      </c>
    </row>
    <row r="353" spans="1:9" ht="14.25" customHeight="1" x14ac:dyDescent="0.3">
      <c r="A353" s="2">
        <v>352</v>
      </c>
      <c r="B353" s="3" t="s">
        <v>360</v>
      </c>
      <c r="C353" s="2" t="str">
        <f ca="1">IFERROR(__xludf.DUMMYFUNCTION("GOOGLETRANSLATE(B353, ""en"",""es"")"),"poco")</f>
        <v>poco</v>
      </c>
      <c r="D353" s="2" t="str">
        <f ca="1">IFERROR(__xludf.DUMMYFUNCTION("GOOGLETRANSLATE(B353,""en"",""ig"")"),"igwe inyinya")</f>
        <v>igwe inyinya</v>
      </c>
      <c r="E353" s="2" t="str">
        <f ca="1">IFERROR(__xludf.DUMMYFUNCTION("GOOGLETRANSLATE(B353,""en"",""fr"")"),"peu")</f>
        <v>peu</v>
      </c>
      <c r="F353" s="2" t="str">
        <f ca="1">IFERROR(__xludf.DUMMYFUNCTION("GOOGLETRANSLATE(B353,""en"",""it"")"),"morso")</f>
        <v>morso</v>
      </c>
      <c r="G353" s="2" t="str">
        <f ca="1">IFERROR(__xludf.DUMMYFUNCTION("GOOGLETRANSLATE(B353,""en"",""de"")"),"bisschen")</f>
        <v>bisschen</v>
      </c>
      <c r="H353" s="2" t="str">
        <f ca="1">IFERROR(__xludf.DUMMYFUNCTION("GOOGLETRANSLATE(B353,""en"",""zh"")"),"少量")</f>
        <v>少量</v>
      </c>
      <c r="I353" s="2" t="str">
        <f ca="1">IFERROR(__xludf.DUMMYFUNCTION("GOOGLETRANSLATE(B353,""en"",""gd"")"),"bit")</f>
        <v>bit</v>
      </c>
    </row>
    <row r="354" spans="1:9" ht="14.25" customHeight="1" x14ac:dyDescent="0.3">
      <c r="A354" s="2">
        <v>353</v>
      </c>
      <c r="B354" s="3" t="s">
        <v>361</v>
      </c>
      <c r="C354" s="2" t="str">
        <f ca="1">IFERROR(__xludf.DUMMYFUNCTION("GOOGLETRANSLATE(B354, ""en"",""es"")"),"compartir")</f>
        <v>compartir</v>
      </c>
      <c r="D354" s="2" t="str">
        <f ca="1">IFERROR(__xludf.DUMMYFUNCTION("GOOGLETRANSLATE(B354,""en"",""ig"")"),"ike")</f>
        <v>ike</v>
      </c>
      <c r="E354" s="2" t="str">
        <f ca="1">IFERROR(__xludf.DUMMYFUNCTION("GOOGLETRANSLATE(B354,""en"",""fr"")"),"partager")</f>
        <v>partager</v>
      </c>
      <c r="F354" s="2" t="str">
        <f ca="1">IFERROR(__xludf.DUMMYFUNCTION("GOOGLETRANSLATE(B354,""en"",""it"")"),"condividere")</f>
        <v>condividere</v>
      </c>
      <c r="G354" s="2" t="str">
        <f ca="1">IFERROR(__xludf.DUMMYFUNCTION("GOOGLETRANSLATE(B354,""en"",""de"")"),"Aktie")</f>
        <v>Aktie</v>
      </c>
      <c r="H354" s="2" t="str">
        <f ca="1">IFERROR(__xludf.DUMMYFUNCTION("GOOGLETRANSLATE(B354,""en"",""zh"")"),"分享")</f>
        <v>分享</v>
      </c>
      <c r="I354" s="2" t="str">
        <f ca="1">IFERROR(__xludf.DUMMYFUNCTION("GOOGLETRANSLATE(B354,""en"",""gd"")"),"Co-roinn")</f>
        <v>Co-roinn</v>
      </c>
    </row>
    <row r="355" spans="1:9" ht="14.25" customHeight="1" x14ac:dyDescent="0.3">
      <c r="A355" s="2">
        <v>354</v>
      </c>
      <c r="B355" s="3" t="s">
        <v>362</v>
      </c>
      <c r="C355" s="2" t="str">
        <f ca="1">IFERROR(__xludf.DUMMYFUNCTION("GOOGLETRANSLATE(B355, ""en"",""es"")"),"real")</f>
        <v>real</v>
      </c>
      <c r="D355" s="2" t="str">
        <f ca="1">IFERROR(__xludf.DUMMYFUNCTION("GOOGLETRANSLATE(B355,""en"",""ig"")"),"nke anyahuru")</f>
        <v>nke anyahuru</v>
      </c>
      <c r="E355" s="2" t="str">
        <f ca="1">IFERROR(__xludf.DUMMYFUNCTION("GOOGLETRANSLATE(B355,""en"",""fr"")"),"réel")</f>
        <v>réel</v>
      </c>
      <c r="F355" s="2" t="str">
        <f ca="1">IFERROR(__xludf.DUMMYFUNCTION("GOOGLETRANSLATE(B355,""en"",""it"")"),"vero")</f>
        <v>vero</v>
      </c>
      <c r="G355" s="2" t="str">
        <f ca="1">IFERROR(__xludf.DUMMYFUNCTION("GOOGLETRANSLATE(B355,""en"",""de"")"),"real")</f>
        <v>real</v>
      </c>
      <c r="H355" s="2" t="str">
        <f ca="1">IFERROR(__xludf.DUMMYFUNCTION("GOOGLETRANSLATE(B355,""en"",""zh"")"),"真实的")</f>
        <v>真实的</v>
      </c>
      <c r="I355" s="2" t="str">
        <f ca="1">IFERROR(__xludf.DUMMYFUNCTION("GOOGLETRANSLATE(B355,""en"",""gd"")"),"fìor")</f>
        <v>fìor</v>
      </c>
    </row>
    <row r="356" spans="1:9" ht="14.25" customHeight="1" x14ac:dyDescent="0.3">
      <c r="A356" s="2">
        <v>355</v>
      </c>
      <c r="B356" s="3" t="s">
        <v>363</v>
      </c>
      <c r="C356" s="2" t="str">
        <f ca="1">IFERROR(__xludf.DUMMYFUNCTION("GOOGLETRANSLATE(B356, ""en"",""es"")"),"respuesta")</f>
        <v>respuesta</v>
      </c>
      <c r="D356" s="2" t="str">
        <f ca="1">IFERROR(__xludf.DUMMYFUNCTION("GOOGLETRANSLATE(B356,""en"",""ig"")"),"iza")</f>
        <v>iza</v>
      </c>
      <c r="E356" s="2" t="str">
        <f ca="1">IFERROR(__xludf.DUMMYFUNCTION("GOOGLETRANSLATE(B356,""en"",""fr"")"),"répondre")</f>
        <v>répondre</v>
      </c>
      <c r="F356" s="2" t="str">
        <f ca="1">IFERROR(__xludf.DUMMYFUNCTION("GOOGLETRANSLATE(B356,""en"",""it"")"),"risposta")</f>
        <v>risposta</v>
      </c>
      <c r="G356" s="2" t="str">
        <f ca="1">IFERROR(__xludf.DUMMYFUNCTION("GOOGLETRANSLATE(B356,""en"",""de"")"),"Antwort")</f>
        <v>Antwort</v>
      </c>
      <c r="H356" s="2" t="str">
        <f ca="1">IFERROR(__xludf.DUMMYFUNCTION("GOOGLETRANSLATE(B356,""en"",""zh"")"),"回答")</f>
        <v>回答</v>
      </c>
      <c r="I356" s="2" t="str">
        <f ca="1">IFERROR(__xludf.DUMMYFUNCTION("GOOGLETRANSLATE(B356,""en"",""gd"")"),"Freagairt")</f>
        <v>Freagairt</v>
      </c>
    </row>
    <row r="357" spans="1:9" ht="14.25" customHeight="1" x14ac:dyDescent="0.3">
      <c r="A357" s="2">
        <v>356</v>
      </c>
      <c r="B357" s="3" t="s">
        <v>364</v>
      </c>
      <c r="C357" s="2" t="str">
        <f ca="1">IFERROR(__xludf.DUMMYFUNCTION("GOOGLETRANSLATE(B357, ""en"",""es"")"),"sentarse")</f>
        <v>sentarse</v>
      </c>
      <c r="D357" s="2" t="str">
        <f ca="1">IFERROR(__xludf.DUMMYFUNCTION("GOOGLETRANSLATE(B357,""en"",""ig"")"),"inodu")</f>
        <v>inodu</v>
      </c>
      <c r="E357" s="2" t="str">
        <f ca="1">IFERROR(__xludf.DUMMYFUNCTION("GOOGLETRANSLATE(B357,""en"",""fr"")"),"s'asseoir")</f>
        <v>s'asseoir</v>
      </c>
      <c r="F357" s="2" t="str">
        <f ca="1">IFERROR(__xludf.DUMMYFUNCTION("GOOGLETRANSLATE(B357,""en"",""it"")"),"sedersi")</f>
        <v>sedersi</v>
      </c>
      <c r="G357" s="2" t="str">
        <f ca="1">IFERROR(__xludf.DUMMYFUNCTION("GOOGLETRANSLATE(B357,""en"",""de"")"),"sitzen")</f>
        <v>sitzen</v>
      </c>
      <c r="H357" s="2" t="str">
        <f ca="1">IFERROR(__xludf.DUMMYFUNCTION("GOOGLETRANSLATE(B357,""en"",""zh"")"),"坐")</f>
        <v>坐</v>
      </c>
      <c r="I357" s="2" t="str">
        <f ca="1">IFERROR(__xludf.DUMMYFUNCTION("GOOGLETRANSLATE(B357,""en"",""gd"")"),"Suidh")</f>
        <v>Suidh</v>
      </c>
    </row>
    <row r="358" spans="1:9" ht="14.25" customHeight="1" x14ac:dyDescent="0.3">
      <c r="A358" s="2">
        <v>357</v>
      </c>
      <c r="B358" s="3" t="s">
        <v>365</v>
      </c>
      <c r="C358" s="2" t="str">
        <f ca="1">IFERROR(__xludf.DUMMYFUNCTION("GOOGLETRANSLATE(B358, ""en"",""es"")"),"cifra")</f>
        <v>cifra</v>
      </c>
      <c r="D358" s="2" t="str">
        <f ca="1">IFERROR(__xludf.DUMMYFUNCTION("GOOGLETRANSLATE(B358,""en"",""ig"")"),"odidi ahu")</f>
        <v>odidi ahu</v>
      </c>
      <c r="E358" s="2" t="str">
        <f ca="1">IFERROR(__xludf.DUMMYFUNCTION("GOOGLETRANSLATE(B358,""en"",""fr"")"),"chiffre")</f>
        <v>chiffre</v>
      </c>
      <c r="F358" s="2" t="str">
        <f ca="1">IFERROR(__xludf.DUMMYFUNCTION("GOOGLETRANSLATE(B358,""en"",""it"")"),"figura")</f>
        <v>figura</v>
      </c>
      <c r="G358" s="2" t="str">
        <f ca="1">IFERROR(__xludf.DUMMYFUNCTION("GOOGLETRANSLATE(B358,""en"",""de"")"),"Figur")</f>
        <v>Figur</v>
      </c>
      <c r="H358" s="2" t="str">
        <f ca="1">IFERROR(__xludf.DUMMYFUNCTION("GOOGLETRANSLATE(B358,""en"",""zh"")"),"数字")</f>
        <v>数字</v>
      </c>
      <c r="I358" s="2" t="str">
        <f ca="1">IFERROR(__xludf.DUMMYFUNCTION("GOOGLETRANSLATE(B358,""en"",""gd"")"),"figear")</f>
        <v>figear</v>
      </c>
    </row>
    <row r="359" spans="1:9" ht="14.25" customHeight="1" x14ac:dyDescent="0.3">
      <c r="A359" s="2">
        <v>358</v>
      </c>
      <c r="B359" s="3" t="s">
        <v>366</v>
      </c>
      <c r="C359" s="2" t="str">
        <f ca="1">IFERROR(__xludf.DUMMYFUNCTION("GOOGLETRANSLATE(B359, ""en"",""es"")"),"carta")</f>
        <v>carta</v>
      </c>
      <c r="D359" s="2" t="str">
        <f ca="1">IFERROR(__xludf.DUMMYFUNCTION("GOOGLETRANSLATE(B359,""en"",""ig"")"),"leta")</f>
        <v>leta</v>
      </c>
      <c r="E359" s="2" t="str">
        <f ca="1">IFERROR(__xludf.DUMMYFUNCTION("GOOGLETRANSLATE(B359,""en"",""fr"")"),"lettre")</f>
        <v>lettre</v>
      </c>
      <c r="F359" s="2" t="str">
        <f ca="1">IFERROR(__xludf.DUMMYFUNCTION("GOOGLETRANSLATE(B359,""en"",""it"")"),"lettera")</f>
        <v>lettera</v>
      </c>
      <c r="G359" s="2" t="str">
        <f ca="1">IFERROR(__xludf.DUMMYFUNCTION("GOOGLETRANSLATE(B359,""en"",""de"")"),"Brief")</f>
        <v>Brief</v>
      </c>
      <c r="H359" s="2" t="str">
        <f ca="1">IFERROR(__xludf.DUMMYFUNCTION("GOOGLETRANSLATE(B359,""en"",""zh"")"),"信")</f>
        <v>信</v>
      </c>
      <c r="I359" s="2" t="str">
        <f ca="1">IFERROR(__xludf.DUMMYFUNCTION("GOOGLETRANSLATE(B359,""en"",""gd"")"),"Litir")</f>
        <v>Litir</v>
      </c>
    </row>
    <row r="360" spans="1:9" ht="14.25" customHeight="1" x14ac:dyDescent="0.3">
      <c r="A360" s="2">
        <v>359</v>
      </c>
      <c r="B360" s="3" t="s">
        <v>367</v>
      </c>
      <c r="C360" s="2" t="str">
        <f ca="1">IFERROR(__xludf.DUMMYFUNCTION("GOOGLETRANSLATE(B360, ""en"",""es"")"),"decidir")</f>
        <v>decidir</v>
      </c>
      <c r="D360" s="2" t="str">
        <f ca="1">IFERROR(__xludf.DUMMYFUNCTION("GOOGLETRANSLATE(B360,""en"",""ig"")"),"ikpebi")</f>
        <v>ikpebi</v>
      </c>
      <c r="E360" s="2" t="str">
        <f ca="1">IFERROR(__xludf.DUMMYFUNCTION("GOOGLETRANSLATE(B360,""en"",""fr"")"),"décider")</f>
        <v>décider</v>
      </c>
      <c r="F360" s="2" t="str">
        <f ca="1">IFERROR(__xludf.DUMMYFUNCTION("GOOGLETRANSLATE(B360,""en"",""it"")"),"decidere")</f>
        <v>decidere</v>
      </c>
      <c r="G360" s="2" t="str">
        <f ca="1">IFERROR(__xludf.DUMMYFUNCTION("GOOGLETRANSLATE(B360,""en"",""de"")"),"entscheiden")</f>
        <v>entscheiden</v>
      </c>
      <c r="H360" s="2" t="str">
        <f ca="1">IFERROR(__xludf.DUMMYFUNCTION("GOOGLETRANSLATE(B360,""en"",""zh"")"),"决定")</f>
        <v>决定</v>
      </c>
      <c r="I360" s="2" t="str">
        <f ca="1">IFERROR(__xludf.DUMMYFUNCTION("GOOGLETRANSLATE(B360,""en"",""gd"")"),"co-dhùnadh")</f>
        <v>co-dhùnadh</v>
      </c>
    </row>
    <row r="361" spans="1:9" ht="14.25" customHeight="1" x14ac:dyDescent="0.3">
      <c r="A361" s="2">
        <v>360</v>
      </c>
      <c r="B361" s="3" t="s">
        <v>368</v>
      </c>
      <c r="C361" s="2" t="str">
        <f ca="1">IFERROR(__xludf.DUMMYFUNCTION("GOOGLETRANSLATE(B361, ""en"",""es"")"),"idioma")</f>
        <v>idioma</v>
      </c>
      <c r="D361" s="2" t="str">
        <f ca="1">IFERROR(__xludf.DUMMYFUNCTION("GOOGLETRANSLATE(B361,""en"",""ig"")"),"asusu")</f>
        <v>asusu</v>
      </c>
      <c r="E361" s="2" t="str">
        <f ca="1">IFERROR(__xludf.DUMMYFUNCTION("GOOGLETRANSLATE(B361,""en"",""fr"")"),"langue")</f>
        <v>langue</v>
      </c>
      <c r="F361" s="2" t="str">
        <f ca="1">IFERROR(__xludf.DUMMYFUNCTION("GOOGLETRANSLATE(B361,""en"",""it"")"),"lingua")</f>
        <v>lingua</v>
      </c>
      <c r="G361" s="2" t="str">
        <f ca="1">IFERROR(__xludf.DUMMYFUNCTION("GOOGLETRANSLATE(B361,""en"",""de"")"),"Sprache")</f>
        <v>Sprache</v>
      </c>
      <c r="H361" s="2" t="str">
        <f ca="1">IFERROR(__xludf.DUMMYFUNCTION("GOOGLETRANSLATE(B361,""en"",""zh"")"),"语言")</f>
        <v>语言</v>
      </c>
      <c r="I361" s="2" t="str">
        <f ca="1">IFERROR(__xludf.DUMMYFUNCTION("GOOGLETRANSLATE(B361,""en"",""gd"")"),"Cànan")</f>
        <v>Cànan</v>
      </c>
    </row>
    <row r="362" spans="1:9" ht="14.25" customHeight="1" x14ac:dyDescent="0.3">
      <c r="A362" s="2">
        <v>361</v>
      </c>
      <c r="B362" s="3" t="s">
        <v>369</v>
      </c>
      <c r="C362" s="2" t="str">
        <f ca="1">IFERROR(__xludf.DUMMYFUNCTION("GOOGLETRANSLATE(B362, ""en"",""es"")"),"sujeto")</f>
        <v>sujeto</v>
      </c>
      <c r="D362" s="2" t="str">
        <f ca="1">IFERROR(__xludf.DUMMYFUNCTION("GOOGLETRANSLATE(B362,""en"",""ig"")"),"sobjekiti")</f>
        <v>sobjekiti</v>
      </c>
      <c r="E362" s="2" t="str">
        <f ca="1">IFERROR(__xludf.DUMMYFUNCTION("GOOGLETRANSLATE(B362,""en"",""fr"")"),"sujet")</f>
        <v>sujet</v>
      </c>
      <c r="F362" s="2" t="str">
        <f ca="1">IFERROR(__xludf.DUMMYFUNCTION("GOOGLETRANSLATE(B362,""en"",""it"")"),"soggetto")</f>
        <v>soggetto</v>
      </c>
      <c r="G362" s="2" t="str">
        <f ca="1">IFERROR(__xludf.DUMMYFUNCTION("GOOGLETRANSLATE(B362,""en"",""de"")"),"Thema")</f>
        <v>Thema</v>
      </c>
      <c r="H362" s="2" t="str">
        <f ca="1">IFERROR(__xludf.DUMMYFUNCTION("GOOGLETRANSLATE(B362,""en"",""zh"")"),"主题")</f>
        <v>主题</v>
      </c>
      <c r="I362" s="2" t="str">
        <f ca="1">IFERROR(__xludf.DUMMYFUNCTION("GOOGLETRANSLATE(B362,""en"",""gd"")"),"Cuspair")</f>
        <v>Cuspair</v>
      </c>
    </row>
    <row r="363" spans="1:9" ht="14.25" customHeight="1" x14ac:dyDescent="0.3">
      <c r="A363" s="2">
        <v>362</v>
      </c>
      <c r="B363" s="3" t="s">
        <v>370</v>
      </c>
      <c r="C363" s="2" t="str">
        <f ca="1">IFERROR(__xludf.DUMMYFUNCTION("GOOGLETRANSLATE(B363, ""en"",""es"")"),"clase")</f>
        <v>clase</v>
      </c>
      <c r="D363" s="2" t="str">
        <f ca="1">IFERROR(__xludf.DUMMYFUNCTION("GOOGLETRANSLATE(B363,""en"",""ig"")"),"udi")</f>
        <v>udi</v>
      </c>
      <c r="E363" s="2" t="str">
        <f ca="1">IFERROR(__xludf.DUMMYFUNCTION("GOOGLETRANSLATE(B363,""en"",""fr"")"),"classe")</f>
        <v>classe</v>
      </c>
      <c r="F363" s="2" t="str">
        <f ca="1">IFERROR(__xludf.DUMMYFUNCTION("GOOGLETRANSLATE(B363,""en"",""it"")"),"classe")</f>
        <v>classe</v>
      </c>
      <c r="G363" s="2" t="str">
        <f ca="1">IFERROR(__xludf.DUMMYFUNCTION("GOOGLETRANSLATE(B363,""en"",""de"")"),"Klasse")</f>
        <v>Klasse</v>
      </c>
      <c r="H363" s="2" t="str">
        <f ca="1">IFERROR(__xludf.DUMMYFUNCTION("GOOGLETRANSLATE(B363,""en"",""zh"")"),"班级")</f>
        <v>班级</v>
      </c>
      <c r="I363" s="2" t="str">
        <f ca="1">IFERROR(__xludf.DUMMYFUNCTION("GOOGLETRANSLATE(B363,""en"",""gd"")"),"clas")</f>
        <v>clas</v>
      </c>
    </row>
    <row r="364" spans="1:9" ht="14.25" customHeight="1" x14ac:dyDescent="0.3">
      <c r="A364" s="2">
        <v>363</v>
      </c>
      <c r="B364" s="3" t="s">
        <v>371</v>
      </c>
      <c r="C364" s="2" t="str">
        <f ca="1">IFERROR(__xludf.DUMMYFUNCTION("GOOGLETRANSLATE(B364, ""en"",""es"")"),"desarrollo")</f>
        <v>desarrollo</v>
      </c>
      <c r="D364" s="2" t="str">
        <f ca="1">IFERROR(__xludf.DUMMYFUNCTION("GOOGLETRANSLATE(B364,""en"",""ig"")"),"mmepe")</f>
        <v>mmepe</v>
      </c>
      <c r="E364" s="2" t="str">
        <f ca="1">IFERROR(__xludf.DUMMYFUNCTION("GOOGLETRANSLATE(B364,""en"",""fr"")"),"développement")</f>
        <v>développement</v>
      </c>
      <c r="F364" s="2" t="str">
        <f ca="1">IFERROR(__xludf.DUMMYFUNCTION("GOOGLETRANSLATE(B364,""en"",""it"")"),"sviluppo")</f>
        <v>sviluppo</v>
      </c>
      <c r="G364" s="2" t="str">
        <f ca="1">IFERROR(__xludf.DUMMYFUNCTION("GOOGLETRANSLATE(B364,""en"",""de"")"),"Entwicklung")</f>
        <v>Entwicklung</v>
      </c>
      <c r="H364" s="2" t="str">
        <f ca="1">IFERROR(__xludf.DUMMYFUNCTION("GOOGLETRANSLATE(B364,""en"",""zh"")"),"发展")</f>
        <v>发展</v>
      </c>
      <c r="I364" s="2" t="str">
        <f ca="1">IFERROR(__xludf.DUMMYFUNCTION("GOOGLETRANSLATE(B364,""en"",""gd"")"),"Leasachadh")</f>
        <v>Leasachadh</v>
      </c>
    </row>
    <row r="365" spans="1:9" ht="14.25" customHeight="1" x14ac:dyDescent="0.3">
      <c r="A365" s="2">
        <v>364</v>
      </c>
      <c r="B365" s="3" t="s">
        <v>372</v>
      </c>
      <c r="C365" s="2" t="str">
        <f ca="1">IFERROR(__xludf.DUMMYFUNCTION("GOOGLETRANSLATE(B365, ""en"",""es"")"),"ciudad")</f>
        <v>ciudad</v>
      </c>
      <c r="D365" s="2" t="str">
        <f ca="1">IFERROR(__xludf.DUMMYFUNCTION("GOOGLETRANSLATE(B365,""en"",""ig"")"),"obodo")</f>
        <v>obodo</v>
      </c>
      <c r="E365" s="2" t="str">
        <f ca="1">IFERROR(__xludf.DUMMYFUNCTION("GOOGLETRANSLATE(B365,""en"",""fr"")"),"ville")</f>
        <v>ville</v>
      </c>
      <c r="F365" s="2" t="str">
        <f ca="1">IFERROR(__xludf.DUMMYFUNCTION("GOOGLETRANSLATE(B365,""en"",""it"")"),"città")</f>
        <v>città</v>
      </c>
      <c r="G365" s="2" t="str">
        <f ca="1">IFERROR(__xludf.DUMMYFUNCTION("GOOGLETRANSLATE(B365,""en"",""de"")"),"Stadt")</f>
        <v>Stadt</v>
      </c>
      <c r="H365" s="2" t="str">
        <f ca="1">IFERROR(__xludf.DUMMYFUNCTION("GOOGLETRANSLATE(B365,""en"",""zh"")"),"镇")</f>
        <v>镇</v>
      </c>
      <c r="I365" s="2" t="str">
        <f ca="1">IFERROR(__xludf.DUMMYFUNCTION("GOOGLETRANSLATE(B365,""en"",""gd"")"),"Baile")</f>
        <v>Baile</v>
      </c>
    </row>
    <row r="366" spans="1:9" ht="14.25" customHeight="1" x14ac:dyDescent="0.3">
      <c r="A366" s="2">
        <v>365</v>
      </c>
      <c r="B366" s="3" t="s">
        <v>373</v>
      </c>
      <c r="C366" s="2" t="str">
        <f ca="1">IFERROR(__xludf.DUMMYFUNCTION("GOOGLETRANSLATE(B366, ""en"",""es"")"),"medio")</f>
        <v>medio</v>
      </c>
      <c r="D366" s="2" t="str">
        <f ca="1">IFERROR(__xludf.DUMMYFUNCTION("GOOGLETRANSLATE(B366,""en"",""ig"")"),"keokara")</f>
        <v>keokara</v>
      </c>
      <c r="E366" s="2" t="str">
        <f ca="1">IFERROR(__xludf.DUMMYFUNCTION("GOOGLETRANSLATE(B366,""en"",""fr"")"),"moitié")</f>
        <v>moitié</v>
      </c>
      <c r="F366" s="2" t="str">
        <f ca="1">IFERROR(__xludf.DUMMYFUNCTION("GOOGLETRANSLATE(B366,""en"",""it"")"),"metà")</f>
        <v>metà</v>
      </c>
      <c r="G366" s="2" t="str">
        <f ca="1">IFERROR(__xludf.DUMMYFUNCTION("GOOGLETRANSLATE(B366,""en"",""de"")"),"Hälfte")</f>
        <v>Hälfte</v>
      </c>
      <c r="H366" s="2" t="str">
        <f ca="1">IFERROR(__xludf.DUMMYFUNCTION("GOOGLETRANSLATE(B366,""en"",""zh"")"),"一半")</f>
        <v>一半</v>
      </c>
      <c r="I366" s="2" t="str">
        <f ca="1">IFERROR(__xludf.DUMMYFUNCTION("GOOGLETRANSLATE(B366,""en"",""gd"")"),"leth")</f>
        <v>leth</v>
      </c>
    </row>
    <row r="367" spans="1:9" ht="14.25" customHeight="1" x14ac:dyDescent="0.3">
      <c r="A367" s="2">
        <v>366</v>
      </c>
      <c r="B367" s="3" t="s">
        <v>374</v>
      </c>
      <c r="C367" s="2" t="str">
        <f ca="1">IFERROR(__xludf.DUMMYFUNCTION("GOOGLETRANSLATE(B367, ""en"",""es"")"),"minuto")</f>
        <v>minuto</v>
      </c>
      <c r="D367" s="2" t="str">
        <f ca="1">IFERROR(__xludf.DUMMYFUNCTION("GOOGLETRANSLATE(B367,""en"",""ig"")"),"nke ntakiri")</f>
        <v>nke ntakiri</v>
      </c>
      <c r="E367" s="2" t="str">
        <f ca="1">IFERROR(__xludf.DUMMYFUNCTION("GOOGLETRANSLATE(B367,""en"",""fr"")"),"minute")</f>
        <v>minute</v>
      </c>
      <c r="F367" s="2" t="str">
        <f ca="1">IFERROR(__xludf.DUMMYFUNCTION("GOOGLETRANSLATE(B367,""en"",""it"")"),"minuto")</f>
        <v>minuto</v>
      </c>
      <c r="G367" s="2" t="str">
        <f ca="1">IFERROR(__xludf.DUMMYFUNCTION("GOOGLETRANSLATE(B367,""en"",""de"")"),"Minute")</f>
        <v>Minute</v>
      </c>
      <c r="H367" s="2" t="str">
        <f ca="1">IFERROR(__xludf.DUMMYFUNCTION("GOOGLETRANSLATE(B367,""en"",""zh"")"),"分钟")</f>
        <v>分钟</v>
      </c>
      <c r="I367" s="2" t="str">
        <f ca="1">IFERROR(__xludf.DUMMYFUNCTION("GOOGLETRANSLATE(B367,""en"",""gd"")"),"mionaid")</f>
        <v>mionaid</v>
      </c>
    </row>
    <row r="368" spans="1:9" ht="14.25" customHeight="1" x14ac:dyDescent="0.3">
      <c r="A368" s="2">
        <v>367</v>
      </c>
      <c r="B368" s="3" t="s">
        <v>375</v>
      </c>
      <c r="C368" s="2" t="str">
        <f ca="1">IFERROR(__xludf.DUMMYFUNCTION("GOOGLETRANSLATE(B368, ""en"",""es"")"),"alimento")</f>
        <v>alimento</v>
      </c>
      <c r="D368" s="2" t="str">
        <f ca="1">IFERROR(__xludf.DUMMYFUNCTION("GOOGLETRANSLATE(B368,""en"",""ig"")"),"nri")</f>
        <v>nri</v>
      </c>
      <c r="E368" s="2" t="str">
        <f ca="1">IFERROR(__xludf.DUMMYFUNCTION("GOOGLETRANSLATE(B368,""en"",""fr"")"),"nourriture")</f>
        <v>nourriture</v>
      </c>
      <c r="F368" s="2" t="str">
        <f ca="1">IFERROR(__xludf.DUMMYFUNCTION("GOOGLETRANSLATE(B368,""en"",""it"")"),"cibo")</f>
        <v>cibo</v>
      </c>
      <c r="G368" s="2" t="str">
        <f ca="1">IFERROR(__xludf.DUMMYFUNCTION("GOOGLETRANSLATE(B368,""en"",""de"")"),"Essen")</f>
        <v>Essen</v>
      </c>
      <c r="H368" s="2" t="str">
        <f ca="1">IFERROR(__xludf.DUMMYFUNCTION("GOOGLETRANSLATE(B368,""en"",""zh"")"),"食物")</f>
        <v>食物</v>
      </c>
      <c r="I368" s="2" t="str">
        <f ca="1">IFERROR(__xludf.DUMMYFUNCTION("GOOGLETRANSLATE(B368,""en"",""gd"")"),"biadh")</f>
        <v>biadh</v>
      </c>
    </row>
    <row r="369" spans="1:9" ht="14.25" customHeight="1" x14ac:dyDescent="0.3">
      <c r="A369" s="2">
        <v>368</v>
      </c>
      <c r="B369" s="3" t="s">
        <v>376</v>
      </c>
      <c r="C369" s="2" t="str">
        <f ca="1">IFERROR(__xludf.DUMMYFUNCTION("GOOGLETRANSLATE(B369, ""en"",""es"")"),"romper")</f>
        <v>romper</v>
      </c>
      <c r="D369" s="2" t="str">
        <f ca="1">IFERROR(__xludf.DUMMYFUNCTION("GOOGLETRANSLATE(B369,""en"",""ig"")"),"ezumike")</f>
        <v>ezumike</v>
      </c>
      <c r="E369" s="2" t="str">
        <f ca="1">IFERROR(__xludf.DUMMYFUNCTION("GOOGLETRANSLATE(B369,""en"",""fr"")"),"casser")</f>
        <v>casser</v>
      </c>
      <c r="F369" s="2" t="str">
        <f ca="1">IFERROR(__xludf.DUMMYFUNCTION("GOOGLETRANSLATE(B369,""en"",""it"")"),"rottura")</f>
        <v>rottura</v>
      </c>
      <c r="G369" s="2" t="str">
        <f ca="1">IFERROR(__xludf.DUMMYFUNCTION("GOOGLETRANSLATE(B369,""en"",""de"")"),"brechen")</f>
        <v>brechen</v>
      </c>
      <c r="H369" s="2" t="str">
        <f ca="1">IFERROR(__xludf.DUMMYFUNCTION("GOOGLETRANSLATE(B369,""en"",""zh"")"),"休息")</f>
        <v>休息</v>
      </c>
      <c r="I369" s="2" t="str">
        <f ca="1">IFERROR(__xludf.DUMMYFUNCTION("GOOGLETRANSLATE(B369,""en"",""gd"")"),"briseadh")</f>
        <v>briseadh</v>
      </c>
    </row>
    <row r="370" spans="1:9" ht="14.25" customHeight="1" x14ac:dyDescent="0.3">
      <c r="A370" s="2">
        <v>369</v>
      </c>
      <c r="B370" s="3" t="s">
        <v>377</v>
      </c>
      <c r="C370" s="2" t="str">
        <f ca="1">IFERROR(__xludf.DUMMYFUNCTION("GOOGLETRANSLATE(B370, ""en"",""es"")"),"claro")</f>
        <v>claro</v>
      </c>
      <c r="D370" s="2" t="str">
        <f ca="1">IFERROR(__xludf.DUMMYFUNCTION("GOOGLETRANSLATE(B370,""en"",""ig"")"),"agwa idiocha")</f>
        <v>agwa idiocha</v>
      </c>
      <c r="E370" s="2" t="str">
        <f ca="1">IFERROR(__xludf.DUMMYFUNCTION("GOOGLETRANSLATE(B370,""en"",""fr"")"),"clair")</f>
        <v>clair</v>
      </c>
      <c r="F370" s="2" t="str">
        <f ca="1">IFERROR(__xludf.DUMMYFUNCTION("GOOGLETRANSLATE(B370,""en"",""it"")"),"chiaro")</f>
        <v>chiaro</v>
      </c>
      <c r="G370" s="2" t="str">
        <f ca="1">IFERROR(__xludf.DUMMYFUNCTION("GOOGLETRANSLATE(B370,""en"",""de"")"),"klar")</f>
        <v>klar</v>
      </c>
      <c r="H370" s="2" t="str">
        <f ca="1">IFERROR(__xludf.DUMMYFUNCTION("GOOGLETRANSLATE(B370,""en"",""zh"")"),"清除")</f>
        <v>清除</v>
      </c>
      <c r="I370" s="2" t="str">
        <f ca="1">IFERROR(__xludf.DUMMYFUNCTION("GOOGLETRANSLATE(B370,""en"",""gd"")"),"soilleir")</f>
        <v>soilleir</v>
      </c>
    </row>
    <row r="371" spans="1:9" ht="14.25" customHeight="1" x14ac:dyDescent="0.3">
      <c r="A371" s="2">
        <v>370</v>
      </c>
      <c r="B371" s="3" t="s">
        <v>378</v>
      </c>
      <c r="C371" s="2" t="str">
        <f ca="1">IFERROR(__xludf.DUMMYFUNCTION("GOOGLETRANSLATE(B371, ""en"",""es"")"),"futuro")</f>
        <v>futuro</v>
      </c>
      <c r="D371" s="2" t="str">
        <f ca="1">IFERROR(__xludf.DUMMYFUNCTION("GOOGLETRANSLATE(B371,""en"",""ig"")"),"odiniihu")</f>
        <v>odiniihu</v>
      </c>
      <c r="E371" s="2" t="str">
        <f ca="1">IFERROR(__xludf.DUMMYFUNCTION("GOOGLETRANSLATE(B371,""en"",""fr"")"),"avenir")</f>
        <v>avenir</v>
      </c>
      <c r="F371" s="2" t="str">
        <f ca="1">IFERROR(__xludf.DUMMYFUNCTION("GOOGLETRANSLATE(B371,""en"",""it"")"),"futuro")</f>
        <v>futuro</v>
      </c>
      <c r="G371" s="2" t="str">
        <f ca="1">IFERROR(__xludf.DUMMYFUNCTION("GOOGLETRANSLATE(B371,""en"",""de"")"),"Zukunft")</f>
        <v>Zukunft</v>
      </c>
      <c r="H371" s="2" t="str">
        <f ca="1">IFERROR(__xludf.DUMMYFUNCTION("GOOGLETRANSLATE(B371,""en"",""zh"")"),"未来")</f>
        <v>未来</v>
      </c>
      <c r="I371" s="2" t="str">
        <f ca="1">IFERROR(__xludf.DUMMYFUNCTION("GOOGLETRANSLATE(B371,""en"",""gd"")"),"Àm ri teachd")</f>
        <v>Àm ri teachd</v>
      </c>
    </row>
    <row r="372" spans="1:9" ht="14.25" customHeight="1" x14ac:dyDescent="0.3">
      <c r="A372" s="2">
        <v>371</v>
      </c>
      <c r="B372" s="3" t="s">
        <v>379</v>
      </c>
      <c r="C372" s="2" t="str">
        <f ca="1">IFERROR(__xludf.DUMMYFUNCTION("GOOGLETRANSLATE(B372, ""en"",""es"")"),"cualquiera")</f>
        <v>cualquiera</v>
      </c>
      <c r="D372" s="2" t="str">
        <f ca="1">IFERROR(__xludf.DUMMYFUNCTION("GOOGLETRANSLATE(B372,""en"",""ig"")"),"ma obu")</f>
        <v>ma obu</v>
      </c>
      <c r="E372" s="2" t="str">
        <f ca="1">IFERROR(__xludf.DUMMYFUNCTION("GOOGLETRANSLATE(B372,""en"",""fr"")"),"soit")</f>
        <v>soit</v>
      </c>
      <c r="F372" s="2" t="str">
        <f ca="1">IFERROR(__xludf.DUMMYFUNCTION("GOOGLETRANSLATE(B372,""en"",""it"")"),"O")</f>
        <v>O</v>
      </c>
      <c r="G372" s="2" t="str">
        <f ca="1">IFERROR(__xludf.DUMMYFUNCTION("GOOGLETRANSLATE(B372,""en"",""de"")"),"entweder")</f>
        <v>entweder</v>
      </c>
      <c r="H372" s="2" t="str">
        <f ca="1">IFERROR(__xludf.DUMMYFUNCTION("GOOGLETRANSLATE(B372,""en"",""zh"")"),"任何一个")</f>
        <v>任何一个</v>
      </c>
      <c r="I372" s="2" t="str">
        <f ca="1">IFERROR(__xludf.DUMMYFUNCTION("GOOGLETRANSLATE(B372,""en"",""gd"")"),"an dàrna cuid")</f>
        <v>an dàrna cuid</v>
      </c>
    </row>
    <row r="373" spans="1:9" ht="14.25" customHeight="1" x14ac:dyDescent="0.3">
      <c r="A373" s="2">
        <v>372</v>
      </c>
      <c r="B373" s="3" t="s">
        <v>380</v>
      </c>
      <c r="C373" s="2" t="str">
        <f ca="1">IFERROR(__xludf.DUMMYFUNCTION("GOOGLETRANSLATE(B373, ""en"",""es"")"),"atrás")</f>
        <v>atrás</v>
      </c>
      <c r="D373" s="2" t="str">
        <f ca="1">IFERROR(__xludf.DUMMYFUNCTION("GOOGLETRANSLATE(B373,""en"",""ig"")"),"oge gara aga")</f>
        <v>oge gara aga</v>
      </c>
      <c r="E373" s="2" t="str">
        <f ca="1">IFERROR(__xludf.DUMMYFUNCTION("GOOGLETRANSLATE(B373,""en"",""fr"")"),"il y a")</f>
        <v>il y a</v>
      </c>
      <c r="F373" s="2" t="str">
        <f ca="1">IFERROR(__xludf.DUMMYFUNCTION("GOOGLETRANSLATE(B373,""en"",""it"")"),"fa")</f>
        <v>fa</v>
      </c>
      <c r="G373" s="2" t="str">
        <f ca="1">IFERROR(__xludf.DUMMYFUNCTION("GOOGLETRANSLATE(B373,""en"",""de"")"),"vor")</f>
        <v>vor</v>
      </c>
      <c r="H373" s="2" t="str">
        <f ca="1">IFERROR(__xludf.DUMMYFUNCTION("GOOGLETRANSLATE(B373,""en"",""zh"")"),"前")</f>
        <v>前</v>
      </c>
      <c r="I373" s="2" t="str">
        <f ca="1">IFERROR(__xludf.DUMMYFUNCTION("GOOGLETRANSLATE(B373,""en"",""gd"")"),"air ais")</f>
        <v>air ais</v>
      </c>
    </row>
    <row r="374" spans="1:9" ht="14.25" customHeight="1" x14ac:dyDescent="0.3">
      <c r="A374" s="2">
        <v>373</v>
      </c>
      <c r="B374" s="3" t="s">
        <v>381</v>
      </c>
      <c r="C374" s="2" t="str">
        <f ca="1">IFERROR(__xludf.DUMMYFUNCTION("GOOGLETRANSLATE(B374, ""en"",""es"")"),"por")</f>
        <v>por</v>
      </c>
      <c r="D374" s="2" t="str">
        <f ca="1">IFERROR(__xludf.DUMMYFUNCTION("GOOGLETRANSLATE(B374,""en"",""ig"")"),"par")</f>
        <v>par</v>
      </c>
      <c r="E374" s="2" t="str">
        <f ca="1">IFERROR(__xludf.DUMMYFUNCTION("GOOGLETRANSLATE(B374,""en"",""fr"")"),"par")</f>
        <v>par</v>
      </c>
      <c r="F374" s="2" t="str">
        <f ca="1">IFERROR(__xludf.DUMMYFUNCTION("GOOGLETRANSLATE(B374,""en"",""it"")"),"per")</f>
        <v>per</v>
      </c>
      <c r="G374" s="2" t="str">
        <f ca="1">IFERROR(__xludf.DUMMYFUNCTION("GOOGLETRANSLATE(B374,""en"",""de"")"),"pro")</f>
        <v>pro</v>
      </c>
      <c r="H374" s="2" t="str">
        <f ca="1">IFERROR(__xludf.DUMMYFUNCTION("GOOGLETRANSLATE(B374,""en"",""zh"")"),"每")</f>
        <v>每</v>
      </c>
      <c r="I374" s="2" t="str">
        <f ca="1">IFERROR(__xludf.DUMMYFUNCTION("GOOGLETRANSLATE(B374,""en"",""gd"")"),"per")</f>
        <v>per</v>
      </c>
    </row>
    <row r="375" spans="1:9" ht="14.25" customHeight="1" x14ac:dyDescent="0.3">
      <c r="A375" s="2">
        <v>374</v>
      </c>
      <c r="B375" s="3" t="s">
        <v>382</v>
      </c>
      <c r="C375" s="2" t="str">
        <f ca="1">IFERROR(__xludf.DUMMYFUNCTION("GOOGLETRANSLATE(B375, ""en"",""es"")"),"permanecer")</f>
        <v>permanecer</v>
      </c>
      <c r="D375" s="2" t="str">
        <f ca="1">IFERROR(__xludf.DUMMYFUNCTION("GOOGLETRANSLATE(B375,""en"",""ig"")"),"inoro")</f>
        <v>inoro</v>
      </c>
      <c r="E375" s="2" t="str">
        <f ca="1">IFERROR(__xludf.DUMMYFUNCTION("GOOGLETRANSLATE(B375,""en"",""fr"")"),"rester")</f>
        <v>rester</v>
      </c>
      <c r="F375" s="2" t="str">
        <f ca="1">IFERROR(__xludf.DUMMYFUNCTION("GOOGLETRANSLATE(B375,""en"",""it"")"),"rimanere")</f>
        <v>rimanere</v>
      </c>
      <c r="G375" s="2" t="str">
        <f ca="1">IFERROR(__xludf.DUMMYFUNCTION("GOOGLETRANSLATE(B375,""en"",""de"")"),"bleiben")</f>
        <v>bleiben</v>
      </c>
      <c r="H375" s="2" t="str">
        <f ca="1">IFERROR(__xludf.DUMMYFUNCTION("GOOGLETRANSLATE(B375,""en"",""zh"")"),"保持")</f>
        <v>保持</v>
      </c>
      <c r="I375" s="2" t="str">
        <f ca="1">IFERROR(__xludf.DUMMYFUNCTION("GOOGLETRANSLATE(B375,""en"",""gd"")"),"fuireach")</f>
        <v>fuireach</v>
      </c>
    </row>
    <row r="376" spans="1:9" ht="14.25" customHeight="1" x14ac:dyDescent="0.3">
      <c r="A376" s="2">
        <v>375</v>
      </c>
      <c r="B376" s="3" t="s">
        <v>383</v>
      </c>
      <c r="C376" s="2" t="str">
        <f ca="1">IFERROR(__xludf.DUMMYFUNCTION("GOOGLETRANSLATE(B376, ""en"",""es"")"),"arriba")</f>
        <v>arriba</v>
      </c>
      <c r="D376" s="2" t="str">
        <f ca="1">IFERROR(__xludf.DUMMYFUNCTION("GOOGLETRANSLATE(B376,""en"",""ig"")"),"elu ugwu")</f>
        <v>elu ugwu</v>
      </c>
      <c r="E376" s="2" t="str">
        <f ca="1">IFERROR(__xludf.DUMMYFUNCTION("GOOGLETRANSLATE(B376,""en"",""fr"")"),"haut")</f>
        <v>haut</v>
      </c>
      <c r="F376" s="2" t="str">
        <f ca="1">IFERROR(__xludf.DUMMYFUNCTION("GOOGLETRANSLATE(B376,""en"",""it"")"),"superiore")</f>
        <v>superiore</v>
      </c>
      <c r="G376" s="2" t="str">
        <f ca="1">IFERROR(__xludf.DUMMYFUNCTION("GOOGLETRANSLATE(B376,""en"",""de"")"),"Spitze")</f>
        <v>Spitze</v>
      </c>
      <c r="H376" s="2" t="str">
        <f ca="1">IFERROR(__xludf.DUMMYFUNCTION("GOOGLETRANSLATE(B376,""en"",""zh"")"),"顶部")</f>
        <v>顶部</v>
      </c>
      <c r="I376" s="2" t="str">
        <f ca="1">IFERROR(__xludf.DUMMYFUNCTION("GOOGLETRANSLATE(B376,""en"",""gd"")"),"mullach")</f>
        <v>mullach</v>
      </c>
    </row>
    <row r="377" spans="1:9" ht="14.25" customHeight="1" x14ac:dyDescent="0.3">
      <c r="A377" s="2">
        <v>376</v>
      </c>
      <c r="B377" s="3" t="s">
        <v>384</v>
      </c>
      <c r="C377" s="2" t="str">
        <f ca="1">IFERROR(__xludf.DUMMYFUNCTION("GOOGLETRANSLATE(B377, ""en"",""es"")"),"entre")</f>
        <v>entre</v>
      </c>
      <c r="D377" s="2" t="str">
        <f ca="1">IFERROR(__xludf.DUMMYFUNCTION("GOOGLETRANSLATE(B377,""en"",""ig"")"),"n'etiti")</f>
        <v>n'etiti</v>
      </c>
      <c r="E377" s="2" t="str">
        <f ca="1">IFERROR(__xludf.DUMMYFUNCTION("GOOGLETRANSLATE(B377,""en"",""fr"")"),"parmi")</f>
        <v>parmi</v>
      </c>
      <c r="F377" s="2" t="str">
        <f ca="1">IFERROR(__xludf.DUMMYFUNCTION("GOOGLETRANSLATE(B377,""en"",""it"")"),"tra")</f>
        <v>tra</v>
      </c>
      <c r="G377" s="2" t="str">
        <f ca="1">IFERROR(__xludf.DUMMYFUNCTION("GOOGLETRANSLATE(B377,""en"",""de"")"),"unter")</f>
        <v>unter</v>
      </c>
      <c r="H377" s="2" t="str">
        <f ca="1">IFERROR(__xludf.DUMMYFUNCTION("GOOGLETRANSLATE(B377,""en"",""zh"")"),"之中")</f>
        <v>之中</v>
      </c>
      <c r="I377" s="2" t="str">
        <f ca="1">IFERROR(__xludf.DUMMYFUNCTION("GOOGLETRANSLATE(B377,""en"",""gd"")"),"am measg")</f>
        <v>am measg</v>
      </c>
    </row>
    <row r="378" spans="1:9" ht="14.25" customHeight="1" x14ac:dyDescent="0.3">
      <c r="A378" s="2">
        <v>377</v>
      </c>
      <c r="B378" s="3" t="s">
        <v>385</v>
      </c>
      <c r="C378" s="2" t="str">
        <f ca="1">IFERROR(__xludf.DUMMYFUNCTION("GOOGLETRANSLATE(B378, ""en"",""es"")"),"ganar")</f>
        <v>ganar</v>
      </c>
      <c r="D378" s="2" t="str">
        <f ca="1">IFERROR(__xludf.DUMMYFUNCTION("GOOGLETRANSLATE(B378,""en"",""ig"")"),"imeri")</f>
        <v>imeri</v>
      </c>
      <c r="E378" s="2" t="str">
        <f ca="1">IFERROR(__xludf.DUMMYFUNCTION("GOOGLETRANSLATE(B378,""en"",""fr"")"),"gagner")</f>
        <v>gagner</v>
      </c>
      <c r="F378" s="2" t="str">
        <f ca="1">IFERROR(__xludf.DUMMYFUNCTION("GOOGLETRANSLATE(B378,""en"",""it"")"),"vincita")</f>
        <v>vincita</v>
      </c>
      <c r="G378" s="2" t="str">
        <f ca="1">IFERROR(__xludf.DUMMYFUNCTION("GOOGLETRANSLATE(B378,""en"",""de"")"),"gewinnen")</f>
        <v>gewinnen</v>
      </c>
      <c r="H378" s="2" t="str">
        <f ca="1">IFERROR(__xludf.DUMMYFUNCTION("GOOGLETRANSLATE(B378,""en"",""zh"")"),"赢")</f>
        <v>赢</v>
      </c>
      <c r="I378" s="2" t="str">
        <f ca="1">IFERROR(__xludf.DUMMYFUNCTION("GOOGLETRANSLATE(B378,""en"",""gd"")"),"buannachadh")</f>
        <v>buannachadh</v>
      </c>
    </row>
    <row r="379" spans="1:9" ht="14.25" customHeight="1" x14ac:dyDescent="0.3">
      <c r="A379" s="2">
        <v>378</v>
      </c>
      <c r="B379" s="3" t="s">
        <v>386</v>
      </c>
      <c r="C379" s="2" t="str">
        <f ca="1">IFERROR(__xludf.DUMMYFUNCTION("GOOGLETRANSLATE(B379, ""en"",""es"")"),"color")</f>
        <v>color</v>
      </c>
      <c r="D379" s="2" t="str">
        <f ca="1">IFERROR(__xludf.DUMMYFUNCTION("GOOGLETRANSLATE(B379,""en"",""ig"")"),"agba")</f>
        <v>agba</v>
      </c>
      <c r="E379" s="2" t="str">
        <f ca="1">IFERROR(__xludf.DUMMYFUNCTION("GOOGLETRANSLATE(B379,""en"",""fr"")"),"couleur")</f>
        <v>couleur</v>
      </c>
      <c r="F379" s="2" t="str">
        <f ca="1">IFERROR(__xludf.DUMMYFUNCTION("GOOGLETRANSLATE(B379,""en"",""it"")"),"colore")</f>
        <v>colore</v>
      </c>
      <c r="G379" s="2" t="str">
        <f ca="1">IFERROR(__xludf.DUMMYFUNCTION("GOOGLETRANSLATE(B379,""en"",""de"")"),"Farbe")</f>
        <v>Farbe</v>
      </c>
      <c r="H379" s="2" t="str">
        <f ca="1">IFERROR(__xludf.DUMMYFUNCTION("GOOGLETRANSLATE(B379,""en"",""zh"")"),"颜色")</f>
        <v>颜色</v>
      </c>
      <c r="I379" s="2" t="str">
        <f ca="1">IFERROR(__xludf.DUMMYFUNCTION("GOOGLETRANSLATE(B379,""en"",""gd"")"),"dath")</f>
        <v>dath</v>
      </c>
    </row>
    <row r="380" spans="1:9" ht="14.25" customHeight="1" x14ac:dyDescent="0.3">
      <c r="A380" s="2">
        <v>379</v>
      </c>
      <c r="B380" s="3" t="s">
        <v>387</v>
      </c>
      <c r="C380" s="2" t="str">
        <f ca="1">IFERROR(__xludf.DUMMYFUNCTION("GOOGLETRANSLATE(B380, ""en"",""es"")"),"involucrar")</f>
        <v>involucrar</v>
      </c>
      <c r="D380" s="2" t="str">
        <f ca="1">IFERROR(__xludf.DUMMYFUNCTION("GOOGLETRANSLATE(B380,""en"",""ig"")"),"ighasa")</f>
        <v>ighasa</v>
      </c>
      <c r="E380" s="2" t="str">
        <f ca="1">IFERROR(__xludf.DUMMYFUNCTION("GOOGLETRANSLATE(B380,""en"",""fr"")"),"impliquer")</f>
        <v>impliquer</v>
      </c>
      <c r="F380" s="2" t="str">
        <f ca="1">IFERROR(__xludf.DUMMYFUNCTION("GOOGLETRANSLATE(B380,""en"",""it"")"),"coinvolgere")</f>
        <v>coinvolgere</v>
      </c>
      <c r="G380" s="2" t="str">
        <f ca="1">IFERROR(__xludf.DUMMYFUNCTION("GOOGLETRANSLATE(B380,""en"",""de"")"),"einbeziehen")</f>
        <v>einbeziehen</v>
      </c>
      <c r="H380" s="2" t="str">
        <f ca="1">IFERROR(__xludf.DUMMYFUNCTION("GOOGLETRANSLATE(B380,""en"",""zh"")"),"涉及")</f>
        <v>涉及</v>
      </c>
      <c r="I380" s="2" t="str">
        <f ca="1">IFERROR(__xludf.DUMMYFUNCTION("GOOGLETRANSLATE(B380,""en"",""gd"")"),"Thoir a-steach")</f>
        <v>Thoir a-steach</v>
      </c>
    </row>
    <row r="381" spans="1:9" ht="14.25" customHeight="1" x14ac:dyDescent="0.3">
      <c r="A381" s="2">
        <v>380</v>
      </c>
      <c r="B381" s="3" t="s">
        <v>388</v>
      </c>
      <c r="C381" s="2" t="str">
        <f ca="1">IFERROR(__xludf.DUMMYFUNCTION("GOOGLETRANSLATE(B381, ""en"",""es"")"),"alcanzar")</f>
        <v>alcanzar</v>
      </c>
      <c r="D381" s="2" t="str">
        <f ca="1">IFERROR(__xludf.DUMMYFUNCTION("GOOGLETRANSLATE(B381,""en"",""ig"")"),"rute")</f>
        <v>rute</v>
      </c>
      <c r="E381" s="2" t="str">
        <f ca="1">IFERROR(__xludf.DUMMYFUNCTION("GOOGLETRANSLATE(B381,""en"",""fr"")"),"atteindre")</f>
        <v>atteindre</v>
      </c>
      <c r="F381" s="2" t="str">
        <f ca="1">IFERROR(__xludf.DUMMYFUNCTION("GOOGLETRANSLATE(B381,""en"",""it"")"),"portata")</f>
        <v>portata</v>
      </c>
      <c r="G381" s="2" t="str">
        <f ca="1">IFERROR(__xludf.DUMMYFUNCTION("GOOGLETRANSLATE(B381,""en"",""de"")"),"erreichen")</f>
        <v>erreichen</v>
      </c>
      <c r="H381" s="2" t="str">
        <f ca="1">IFERROR(__xludf.DUMMYFUNCTION("GOOGLETRANSLATE(B381,""en"",""zh"")"),"抵达")</f>
        <v>抵达</v>
      </c>
      <c r="I381" s="2" t="str">
        <f ca="1">IFERROR(__xludf.DUMMYFUNCTION("GOOGLETRANSLATE(B381,""en"",""gd"")"),"REACH")</f>
        <v>REACH</v>
      </c>
    </row>
    <row r="382" spans="1:9" ht="14.25" customHeight="1" x14ac:dyDescent="0.3">
      <c r="A382" s="2">
        <v>381</v>
      </c>
      <c r="B382" s="3" t="s">
        <v>389</v>
      </c>
      <c r="C382" s="2" t="str">
        <f ca="1">IFERROR(__xludf.DUMMYFUNCTION("GOOGLETRANSLATE(B382, ""en"",""es"")"),"social")</f>
        <v>social</v>
      </c>
      <c r="D382" s="2" t="str">
        <f ca="1">IFERROR(__xludf.DUMMYFUNCTION("GOOGLETRANSLATE(B382,""en"",""ig"")"),"nke otu")</f>
        <v>nke otu</v>
      </c>
      <c r="E382" s="2" t="str">
        <f ca="1">IFERROR(__xludf.DUMMYFUNCTION("GOOGLETRANSLATE(B382,""en"",""fr"")"),"sociale")</f>
        <v>sociale</v>
      </c>
      <c r="F382" s="2" t="str">
        <f ca="1">IFERROR(__xludf.DUMMYFUNCTION("GOOGLETRANSLATE(B382,""en"",""it"")"),"sociale")</f>
        <v>sociale</v>
      </c>
      <c r="G382" s="2" t="str">
        <f ca="1">IFERROR(__xludf.DUMMYFUNCTION("GOOGLETRANSLATE(B382,""en"",""de"")"),"Sozial")</f>
        <v>Sozial</v>
      </c>
      <c r="H382" s="2" t="str">
        <f ca="1">IFERROR(__xludf.DUMMYFUNCTION("GOOGLETRANSLATE(B382,""en"",""zh"")"),"社会的")</f>
        <v>社会的</v>
      </c>
      <c r="I382" s="2" t="str">
        <f ca="1">IFERROR(__xludf.DUMMYFUNCTION("GOOGLETRANSLATE(B382,""en"",""gd"")"),"Sòisealta")</f>
        <v>Sòisealta</v>
      </c>
    </row>
    <row r="383" spans="1:9" ht="14.25" customHeight="1" x14ac:dyDescent="0.3">
      <c r="A383" s="2">
        <v>382</v>
      </c>
      <c r="B383" s="3" t="s">
        <v>390</v>
      </c>
      <c r="C383" s="2" t="str">
        <f ca="1">IFERROR(__xludf.DUMMYFUNCTION("GOOGLETRANSLATE(B383, ""en"",""es"")"),"período")</f>
        <v>período</v>
      </c>
      <c r="D383" s="2" t="str">
        <f ca="1">IFERROR(__xludf.DUMMYFUNCTION("GOOGLETRANSLATE(B383,""en"",""ig"")"),"oge")</f>
        <v>oge</v>
      </c>
      <c r="E383" s="2" t="str">
        <f ca="1">IFERROR(__xludf.DUMMYFUNCTION("GOOGLETRANSLATE(B383,""en"",""fr"")"),"période")</f>
        <v>période</v>
      </c>
      <c r="F383" s="2" t="str">
        <f ca="1">IFERROR(__xludf.DUMMYFUNCTION("GOOGLETRANSLATE(B383,""en"",""it"")"),"periodo")</f>
        <v>periodo</v>
      </c>
      <c r="G383" s="2" t="str">
        <f ca="1">IFERROR(__xludf.DUMMYFUNCTION("GOOGLETRANSLATE(B383,""en"",""de"")"),"Zeitraum")</f>
        <v>Zeitraum</v>
      </c>
      <c r="H383" s="2" t="str">
        <f ca="1">IFERROR(__xludf.DUMMYFUNCTION("GOOGLETRANSLATE(B383,""en"",""zh"")"),"时期")</f>
        <v>时期</v>
      </c>
      <c r="I383" s="2" t="str">
        <f ca="1">IFERROR(__xludf.DUMMYFUNCTION("GOOGLETRANSLATE(B383,""en"",""gd"")"),"ùine")</f>
        <v>ùine</v>
      </c>
    </row>
    <row r="384" spans="1:9" ht="14.25" customHeight="1" x14ac:dyDescent="0.3">
      <c r="A384" s="2">
        <v>383</v>
      </c>
      <c r="B384" s="3" t="s">
        <v>391</v>
      </c>
      <c r="C384" s="2" t="str">
        <f ca="1">IFERROR(__xludf.DUMMYFUNCTION("GOOGLETRANSLATE(B384, ""en"",""es"")"),"al otro lado de")</f>
        <v>al otro lado de</v>
      </c>
      <c r="D384" s="2" t="str">
        <f ca="1">IFERROR(__xludf.DUMMYFUNCTION("GOOGLETRANSLATE(B384,""en"",""ig"")"),"uhie")</f>
        <v>uhie</v>
      </c>
      <c r="E384" s="2" t="str">
        <f ca="1">IFERROR(__xludf.DUMMYFUNCTION("GOOGLETRANSLATE(B384,""en"",""fr"")"),"à travers")</f>
        <v>à travers</v>
      </c>
      <c r="F384" s="2" t="str">
        <f ca="1">IFERROR(__xludf.DUMMYFUNCTION("GOOGLETRANSLATE(B384,""en"",""it"")"),"attraverso")</f>
        <v>attraverso</v>
      </c>
      <c r="G384" s="2" t="str">
        <f ca="1">IFERROR(__xludf.DUMMYFUNCTION("GOOGLETRANSLATE(B384,""en"",""de"")"),"über")</f>
        <v>über</v>
      </c>
      <c r="H384" s="2" t="str">
        <f ca="1">IFERROR(__xludf.DUMMYFUNCTION("GOOGLETRANSLATE(B384,""en"",""zh"")"),"穿过")</f>
        <v>穿过</v>
      </c>
      <c r="I384" s="2" t="str">
        <f ca="1">IFERROR(__xludf.DUMMYFUNCTION("GOOGLETRANSLATE(B384,""en"",""gd"")"),"a-null")</f>
        <v>a-null</v>
      </c>
    </row>
    <row r="385" spans="1:9" ht="14.25" customHeight="1" x14ac:dyDescent="0.3">
      <c r="A385" s="2">
        <v>384</v>
      </c>
      <c r="B385" s="3" t="s">
        <v>392</v>
      </c>
      <c r="C385" s="2" t="str">
        <f ca="1">IFERROR(__xludf.DUMMYFUNCTION("GOOGLETRANSLATE(B385, ""en"",""es"")"),"nota")</f>
        <v>nota</v>
      </c>
      <c r="D385" s="2" t="str">
        <f ca="1">IFERROR(__xludf.DUMMYFUNCTION("GOOGLETRANSLATE(B385,""en"",""ig"")"),"dee")</f>
        <v>dee</v>
      </c>
      <c r="E385" s="2" t="str">
        <f ca="1">IFERROR(__xludf.DUMMYFUNCTION("GOOGLETRANSLATE(B385,""en"",""fr"")"),"note")</f>
        <v>note</v>
      </c>
      <c r="F385" s="2" t="str">
        <f ca="1">IFERROR(__xludf.DUMMYFUNCTION("GOOGLETRANSLATE(B385,""en"",""it"")"),"Nota")</f>
        <v>Nota</v>
      </c>
      <c r="G385" s="2" t="str">
        <f ca="1">IFERROR(__xludf.DUMMYFUNCTION("GOOGLETRANSLATE(B385,""en"",""de"")"),"Notiz")</f>
        <v>Notiz</v>
      </c>
      <c r="H385" s="2" t="str">
        <f ca="1">IFERROR(__xludf.DUMMYFUNCTION("GOOGLETRANSLATE(B385,""en"",""zh"")"),"笔记")</f>
        <v>笔记</v>
      </c>
      <c r="I385" s="2" t="str">
        <f ca="1">IFERROR(__xludf.DUMMYFUNCTION("GOOGLETRANSLATE(B385,""en"",""gd"")"),"Nota")</f>
        <v>Nota</v>
      </c>
    </row>
    <row r="386" spans="1:9" ht="14.25" customHeight="1" x14ac:dyDescent="0.3">
      <c r="A386" s="2">
        <v>385</v>
      </c>
      <c r="B386" s="3" t="s">
        <v>393</v>
      </c>
      <c r="C386" s="2" t="str">
        <f ca="1">IFERROR(__xludf.DUMMYFUNCTION("GOOGLETRANSLATE(B386, ""en"",""es"")"),"historia")</f>
        <v>historia</v>
      </c>
      <c r="D386" s="2" t="str">
        <f ca="1">IFERROR(__xludf.DUMMYFUNCTION("GOOGLETRANSLATE(B386,""en"",""ig"")"),"aguguala")</f>
        <v>aguguala</v>
      </c>
      <c r="E386" s="2" t="str">
        <f ca="1">IFERROR(__xludf.DUMMYFUNCTION("GOOGLETRANSLATE(B386,""en"",""fr"")"),"histoire")</f>
        <v>histoire</v>
      </c>
      <c r="F386" s="2" t="str">
        <f ca="1">IFERROR(__xludf.DUMMYFUNCTION("GOOGLETRANSLATE(B386,""en"",""it"")"),"storia")</f>
        <v>storia</v>
      </c>
      <c r="G386" s="2" t="str">
        <f ca="1">IFERROR(__xludf.DUMMYFUNCTION("GOOGLETRANSLATE(B386,""en"",""de"")"),"Geschichte")</f>
        <v>Geschichte</v>
      </c>
      <c r="H386" s="2" t="str">
        <f ca="1">IFERROR(__xludf.DUMMYFUNCTION("GOOGLETRANSLATE(B386,""en"",""zh"")"),"历史")</f>
        <v>历史</v>
      </c>
      <c r="I386" s="2" t="str">
        <f ca="1">IFERROR(__xludf.DUMMYFUNCTION("GOOGLETRANSLATE(B386,""en"",""gd"")"),"Eachdraidh")</f>
        <v>Eachdraidh</v>
      </c>
    </row>
    <row r="387" spans="1:9" ht="14.25" customHeight="1" x14ac:dyDescent="0.3">
      <c r="A387" s="2">
        <v>386</v>
      </c>
      <c r="B387" s="3" t="s">
        <v>394</v>
      </c>
      <c r="C387" s="2" t="str">
        <f ca="1">IFERROR(__xludf.DUMMYFUNCTION("GOOGLETRANSLATE(B387, ""en"",""es"")"),"crear")</f>
        <v>crear</v>
      </c>
      <c r="D387" s="2" t="str">
        <f ca="1">IFERROR(__xludf.DUMMYFUNCTION("GOOGLETRANSLATE(B387,""en"",""ig"")"),"ike")</f>
        <v>ike</v>
      </c>
      <c r="E387" s="2" t="str">
        <f ca="1">IFERROR(__xludf.DUMMYFUNCTION("GOOGLETRANSLATE(B387,""en"",""fr"")"),"créer")</f>
        <v>créer</v>
      </c>
      <c r="F387" s="2" t="str">
        <f ca="1">IFERROR(__xludf.DUMMYFUNCTION("GOOGLETRANSLATE(B387,""en"",""it"")"),"creare")</f>
        <v>creare</v>
      </c>
      <c r="G387" s="2" t="str">
        <f ca="1">IFERROR(__xludf.DUMMYFUNCTION("GOOGLETRANSLATE(B387,""en"",""de"")"),"erstellen")</f>
        <v>erstellen</v>
      </c>
      <c r="H387" s="2" t="str">
        <f ca="1">IFERROR(__xludf.DUMMYFUNCTION("GOOGLETRANSLATE(B387,""en"",""zh"")"),"创造")</f>
        <v>创造</v>
      </c>
      <c r="I387" s="2" t="str">
        <f ca="1">IFERROR(__xludf.DUMMYFUNCTION("GOOGLETRANSLATE(B387,""en"",""gd"")"),"cruthaich")</f>
        <v>cruthaich</v>
      </c>
    </row>
    <row r="388" spans="1:9" ht="14.25" customHeight="1" x14ac:dyDescent="0.3">
      <c r="A388" s="2">
        <v>387</v>
      </c>
      <c r="B388" s="3" t="s">
        <v>395</v>
      </c>
      <c r="C388" s="2" t="str">
        <f ca="1">IFERROR(__xludf.DUMMYFUNCTION("GOOGLETRANSLATE(B388, ""en"",""es"")"),"conducir")</f>
        <v>conducir</v>
      </c>
      <c r="D388" s="2" t="str">
        <f ca="1">IFERROR(__xludf.DUMMYFUNCTION("GOOGLETRANSLATE(B388,""en"",""ig"")"),"inya")</f>
        <v>inya</v>
      </c>
      <c r="E388" s="2" t="str">
        <f ca="1">IFERROR(__xludf.DUMMYFUNCTION("GOOGLETRANSLATE(B388,""en"",""fr"")"),"conduire")</f>
        <v>conduire</v>
      </c>
      <c r="F388" s="2" t="str">
        <f ca="1">IFERROR(__xludf.DUMMYFUNCTION("GOOGLETRANSLATE(B388,""en"",""it"")"),"guidare")</f>
        <v>guidare</v>
      </c>
      <c r="G388" s="2" t="str">
        <f ca="1">IFERROR(__xludf.DUMMYFUNCTION("GOOGLETRANSLATE(B388,""en"",""de"")"),"fahren")</f>
        <v>fahren</v>
      </c>
      <c r="H388" s="2" t="str">
        <f ca="1">IFERROR(__xludf.DUMMYFUNCTION("GOOGLETRANSLATE(B388,""en"",""zh"")"),"驾驶")</f>
        <v>驾驶</v>
      </c>
      <c r="I388" s="2" t="str">
        <f ca="1">IFERROR(__xludf.DUMMYFUNCTION("GOOGLETRANSLATE(B388,""en"",""gd"")"),"Drive")</f>
        <v>Drive</v>
      </c>
    </row>
    <row r="389" spans="1:9" ht="14.25" customHeight="1" x14ac:dyDescent="0.3">
      <c r="A389" s="2">
        <v>388</v>
      </c>
      <c r="B389" s="3" t="s">
        <v>396</v>
      </c>
      <c r="C389" s="2" t="str">
        <f ca="1">IFERROR(__xludf.DUMMYFUNCTION("GOOGLETRANSLATE(B389, ""en"",""es"")"),"a lo largo de")</f>
        <v>a lo largo de</v>
      </c>
      <c r="D389" s="2" t="str">
        <f ca="1">IFERROR(__xludf.DUMMYFUNCTION("GOOGLETRANSLATE(B389,""en"",""ig"")"),"gologo uzo")</f>
        <v>gologo uzo</v>
      </c>
      <c r="E389" s="2" t="str">
        <f ca="1">IFERROR(__xludf.DUMMYFUNCTION("GOOGLETRANSLATE(B389,""en"",""fr"")"),"le long de")</f>
        <v>le long de</v>
      </c>
      <c r="F389" s="2" t="str">
        <f ca="1">IFERROR(__xludf.DUMMYFUNCTION("GOOGLETRANSLATE(B389,""en"",""it"")"),"lungo")</f>
        <v>lungo</v>
      </c>
      <c r="G389" s="2" t="str">
        <f ca="1">IFERROR(__xludf.DUMMYFUNCTION("GOOGLETRANSLATE(B389,""en"",""de"")"),"entlang")</f>
        <v>entlang</v>
      </c>
      <c r="H389" s="2" t="str">
        <f ca="1">IFERROR(__xludf.DUMMYFUNCTION("GOOGLETRANSLATE(B389,""en"",""zh"")"),"沿着")</f>
        <v>沿着</v>
      </c>
      <c r="I389" s="2" t="str">
        <f ca="1">IFERROR(__xludf.DUMMYFUNCTION("GOOGLETRANSLATE(B389,""en"",""gd"")"),"còmhla")</f>
        <v>còmhla</v>
      </c>
    </row>
    <row r="390" spans="1:9" ht="14.25" customHeight="1" x14ac:dyDescent="0.3">
      <c r="A390" s="2">
        <v>389</v>
      </c>
      <c r="B390" s="3" t="s">
        <v>397</v>
      </c>
      <c r="C390" s="2" t="str">
        <f ca="1">IFERROR(__xludf.DUMMYFUNCTION("GOOGLETRANSLATE(B390, ""en"",""es"")"),"tipo")</f>
        <v>tipo</v>
      </c>
      <c r="D390" s="2" t="str">
        <f ca="1">IFERROR(__xludf.DUMMYFUNCTION("GOOGLETRANSLATE(B390,""en"",""ig"")"),"udi")</f>
        <v>udi</v>
      </c>
      <c r="E390" s="2" t="str">
        <f ca="1">IFERROR(__xludf.DUMMYFUNCTION("GOOGLETRANSLATE(B390,""en"",""fr"")"),"taper")</f>
        <v>taper</v>
      </c>
      <c r="F390" s="2" t="str">
        <f ca="1">IFERROR(__xludf.DUMMYFUNCTION("GOOGLETRANSLATE(B390,""en"",""it"")"),"tipo")</f>
        <v>tipo</v>
      </c>
      <c r="G390" s="2" t="str">
        <f ca="1">IFERROR(__xludf.DUMMYFUNCTION("GOOGLETRANSLATE(B390,""en"",""de"")"),"Typ")</f>
        <v>Typ</v>
      </c>
      <c r="H390" s="2" t="str">
        <f ca="1">IFERROR(__xludf.DUMMYFUNCTION("GOOGLETRANSLATE(B390,""en"",""zh"")"),"类型")</f>
        <v>类型</v>
      </c>
      <c r="I390" s="2" t="str">
        <f ca="1">IFERROR(__xludf.DUMMYFUNCTION("GOOGLETRANSLATE(B390,""en"",""gd"")"),"Seòrsa")</f>
        <v>Seòrsa</v>
      </c>
    </row>
    <row r="391" spans="1:9" ht="14.25" customHeight="1" x14ac:dyDescent="0.3">
      <c r="A391" s="2">
        <v>390</v>
      </c>
      <c r="B391" s="3" t="s">
        <v>398</v>
      </c>
      <c r="C391" s="2" t="str">
        <f ca="1">IFERROR(__xludf.DUMMYFUNCTION("GOOGLETRANSLATE(B391, ""en"",""es"")"),"sonido")</f>
        <v>sonido</v>
      </c>
      <c r="D391" s="2" t="str">
        <f ca="1">IFERROR(__xludf.DUMMYFUNCTION("GOOGLETRANSLATE(B391,""en"",""ig"")"),"uda")</f>
        <v>uda</v>
      </c>
      <c r="E391" s="2" t="str">
        <f ca="1">IFERROR(__xludf.DUMMYFUNCTION("GOOGLETRANSLATE(B391,""en"",""fr"")"),"son")</f>
        <v>son</v>
      </c>
      <c r="F391" s="2" t="str">
        <f ca="1">IFERROR(__xludf.DUMMYFUNCTION("GOOGLETRANSLATE(B391,""en"",""it"")"),"suono")</f>
        <v>suono</v>
      </c>
      <c r="G391" s="2" t="str">
        <f ca="1">IFERROR(__xludf.DUMMYFUNCTION("GOOGLETRANSLATE(B391,""en"",""de"")"),"Klang")</f>
        <v>Klang</v>
      </c>
      <c r="H391" s="2" t="str">
        <f ca="1">IFERROR(__xludf.DUMMYFUNCTION("GOOGLETRANSLATE(B391,""en"",""zh"")"),"声音")</f>
        <v>声音</v>
      </c>
      <c r="I391" s="2" t="str">
        <f ca="1">IFERROR(__xludf.DUMMYFUNCTION("GOOGLETRANSLATE(B391,""en"",""gd"")"),"fuaim")</f>
        <v>fuaim</v>
      </c>
    </row>
    <row r="392" spans="1:9" ht="14.25" customHeight="1" x14ac:dyDescent="0.3">
      <c r="A392" s="2">
        <v>391</v>
      </c>
      <c r="B392" s="3" t="s">
        <v>399</v>
      </c>
      <c r="C392" s="2" t="str">
        <f ca="1">IFERROR(__xludf.DUMMYFUNCTION("GOOGLETRANSLATE(B392, ""en"",""es"")"),"ojo")</f>
        <v>ojo</v>
      </c>
      <c r="D392" s="2" t="str">
        <f ca="1">IFERROR(__xludf.DUMMYFUNCTION("GOOGLETRANSLATE(B392,""en"",""ig"")"),"anya")</f>
        <v>anya</v>
      </c>
      <c r="E392" s="2" t="str">
        <f ca="1">IFERROR(__xludf.DUMMYFUNCTION("GOOGLETRANSLATE(B392,""en"",""fr"")"),"œil")</f>
        <v>œil</v>
      </c>
      <c r="F392" s="2" t="str">
        <f ca="1">IFERROR(__xludf.DUMMYFUNCTION("GOOGLETRANSLATE(B392,""en"",""it"")"),"occhio")</f>
        <v>occhio</v>
      </c>
      <c r="G392" s="2" t="str">
        <f ca="1">IFERROR(__xludf.DUMMYFUNCTION("GOOGLETRANSLATE(B392,""en"",""de"")"),"Auge")</f>
        <v>Auge</v>
      </c>
      <c r="H392" s="2" t="str">
        <f ca="1">IFERROR(__xludf.DUMMYFUNCTION("GOOGLETRANSLATE(B392,""en"",""zh"")"),"眼睛")</f>
        <v>眼睛</v>
      </c>
      <c r="I392" s="2" t="str">
        <f ca="1">IFERROR(__xludf.DUMMYFUNCTION("GOOGLETRANSLATE(B392,""en"",""gd"")"),"sùil")</f>
        <v>sùil</v>
      </c>
    </row>
    <row r="393" spans="1:9" ht="14.25" customHeight="1" x14ac:dyDescent="0.3">
      <c r="A393" s="2">
        <v>392</v>
      </c>
      <c r="B393" s="3" t="s">
        <v>400</v>
      </c>
      <c r="C393" s="2" t="str">
        <f ca="1">IFERROR(__xludf.DUMMYFUNCTION("GOOGLETRANSLATE(B393, ""en"",""es"")"),"música")</f>
        <v>música</v>
      </c>
      <c r="D393" s="2" t="str">
        <f ca="1">IFERROR(__xludf.DUMMYFUNCTION("GOOGLETRANSLATE(B393,""en"",""ig"")"),"uneghune")</f>
        <v>uneghune</v>
      </c>
      <c r="E393" s="2" t="str">
        <f ca="1">IFERROR(__xludf.DUMMYFUNCTION("GOOGLETRANSLATE(B393,""en"",""fr"")"),"musique")</f>
        <v>musique</v>
      </c>
      <c r="F393" s="2" t="str">
        <f ca="1">IFERROR(__xludf.DUMMYFUNCTION("GOOGLETRANSLATE(B393,""en"",""it"")"),"musica")</f>
        <v>musica</v>
      </c>
      <c r="G393" s="2" t="str">
        <f ca="1">IFERROR(__xludf.DUMMYFUNCTION("GOOGLETRANSLATE(B393,""en"",""de"")"),"Musik")</f>
        <v>Musik</v>
      </c>
      <c r="H393" s="2" t="str">
        <f ca="1">IFERROR(__xludf.DUMMYFUNCTION("GOOGLETRANSLATE(B393,""en"",""zh"")"),"音乐")</f>
        <v>音乐</v>
      </c>
      <c r="I393" s="2" t="str">
        <f ca="1">IFERROR(__xludf.DUMMYFUNCTION("GOOGLETRANSLATE(B393,""en"",""gd"")"),"Ceòl")</f>
        <v>Ceòl</v>
      </c>
    </row>
    <row r="394" spans="1:9" ht="14.25" customHeight="1" x14ac:dyDescent="0.3">
      <c r="A394" s="2">
        <v>393</v>
      </c>
      <c r="B394" s="3" t="s">
        <v>401</v>
      </c>
      <c r="C394" s="2" t="str">
        <f ca="1">IFERROR(__xludf.DUMMYFUNCTION("GOOGLETRANSLATE(B394, ""en"",""es"")"),"juego")</f>
        <v>juego</v>
      </c>
      <c r="D394" s="2" t="str">
        <f ca="1">IFERROR(__xludf.DUMMYFUNCTION("GOOGLETRANSLATE(B394,""en"",""ig"")"),"egwuruegwu")</f>
        <v>egwuruegwu</v>
      </c>
      <c r="E394" s="2" t="str">
        <f ca="1">IFERROR(__xludf.DUMMYFUNCTION("GOOGLETRANSLATE(B394,""en"",""fr"")"),"jeu")</f>
        <v>jeu</v>
      </c>
      <c r="F394" s="2" t="str">
        <f ca="1">IFERROR(__xludf.DUMMYFUNCTION("GOOGLETRANSLATE(B394,""en"",""it"")"),"gioco")</f>
        <v>gioco</v>
      </c>
      <c r="G394" s="2" t="str">
        <f ca="1">IFERROR(__xludf.DUMMYFUNCTION("GOOGLETRANSLATE(B394,""en"",""de"")"),"Spiel")</f>
        <v>Spiel</v>
      </c>
      <c r="H394" s="2" t="str">
        <f ca="1">IFERROR(__xludf.DUMMYFUNCTION("GOOGLETRANSLATE(B394,""en"",""zh"")"),"游戏")</f>
        <v>游戏</v>
      </c>
      <c r="I394" s="2" t="str">
        <f ca="1">IFERROR(__xludf.DUMMYFUNCTION("GOOGLETRANSLATE(B394,""en"",""gd"")"),"Gèam")</f>
        <v>Gèam</v>
      </c>
    </row>
    <row r="395" spans="1:9" ht="14.25" customHeight="1" x14ac:dyDescent="0.3">
      <c r="A395" s="2">
        <v>394</v>
      </c>
      <c r="B395" s="3" t="s">
        <v>402</v>
      </c>
      <c r="C395" s="2" t="str">
        <f ca="1">IFERROR(__xludf.DUMMYFUNCTION("GOOGLETRANSLATE(B395, ""en"",""es"")"),"político")</f>
        <v>político</v>
      </c>
      <c r="D395" s="2" t="str">
        <f ca="1">IFERROR(__xludf.DUMMYFUNCTION("GOOGLETRANSLATE(B395,""en"",""ig"")"),"nke ochichi")</f>
        <v>nke ochichi</v>
      </c>
      <c r="E395" s="2" t="str">
        <f ca="1">IFERROR(__xludf.DUMMYFUNCTION("GOOGLETRANSLATE(B395,""en"",""fr"")"),"politique")</f>
        <v>politique</v>
      </c>
      <c r="F395" s="2" t="str">
        <f ca="1">IFERROR(__xludf.DUMMYFUNCTION("GOOGLETRANSLATE(B395,""en"",""it"")"),"politico")</f>
        <v>politico</v>
      </c>
      <c r="G395" s="2" t="str">
        <f ca="1">IFERROR(__xludf.DUMMYFUNCTION("GOOGLETRANSLATE(B395,""en"",""de"")"),"politisch")</f>
        <v>politisch</v>
      </c>
      <c r="H395" s="2" t="str">
        <f ca="1">IFERROR(__xludf.DUMMYFUNCTION("GOOGLETRANSLATE(B395,""en"",""zh"")"),"政治的")</f>
        <v>政治的</v>
      </c>
      <c r="I395" s="2" t="str">
        <f ca="1">IFERROR(__xludf.DUMMYFUNCTION("GOOGLETRANSLATE(B395,""en"",""gd"")"),"Poilitigeach")</f>
        <v>Poilitigeach</v>
      </c>
    </row>
    <row r="396" spans="1:9" ht="14.25" customHeight="1" x14ac:dyDescent="0.3">
      <c r="A396" s="2">
        <v>395</v>
      </c>
      <c r="B396" s="3" t="s">
        <v>403</v>
      </c>
      <c r="C396" s="2" t="str">
        <f ca="1">IFERROR(__xludf.DUMMYFUNCTION("GOOGLETRANSLATE(B396, ""en"",""es"")"),"gratis")</f>
        <v>gratis</v>
      </c>
      <c r="D396" s="2" t="str">
        <f ca="1">IFERROR(__xludf.DUMMYFUNCTION("GOOGLETRANSLATE(B396,""en"",""ig"")"),"inwere enwe")</f>
        <v>inwere enwe</v>
      </c>
      <c r="E396" s="2" t="str">
        <f ca="1">IFERROR(__xludf.DUMMYFUNCTION("GOOGLETRANSLATE(B396,""en"",""fr"")"),"gratuit")</f>
        <v>gratuit</v>
      </c>
      <c r="F396" s="2" t="str">
        <f ca="1">IFERROR(__xludf.DUMMYFUNCTION("GOOGLETRANSLATE(B396,""en"",""it"")"),"gratuito")</f>
        <v>gratuito</v>
      </c>
      <c r="G396" s="2" t="str">
        <f ca="1">IFERROR(__xludf.DUMMYFUNCTION("GOOGLETRANSLATE(B396,""en"",""de"")"),"frei")</f>
        <v>frei</v>
      </c>
      <c r="H396" s="2" t="str">
        <f ca="1">IFERROR(__xludf.DUMMYFUNCTION("GOOGLETRANSLATE(B396,""en"",""zh"")"),"自由的")</f>
        <v>自由的</v>
      </c>
      <c r="I396" s="2" t="str">
        <f ca="1">IFERROR(__xludf.DUMMYFUNCTION("GOOGLETRANSLATE(B396,""en"",""gd"")"),"An-asgaidh")</f>
        <v>An-asgaidh</v>
      </c>
    </row>
    <row r="397" spans="1:9" ht="14.25" customHeight="1" x14ac:dyDescent="0.3">
      <c r="A397" s="2">
        <v>396</v>
      </c>
      <c r="B397" s="3" t="s">
        <v>404</v>
      </c>
      <c r="C397" s="2" t="str">
        <f ca="1">IFERROR(__xludf.DUMMYFUNCTION("GOOGLETRANSLATE(B397, ""en"",""es"")"),"recibir")</f>
        <v>recibir</v>
      </c>
      <c r="D397" s="2" t="str">
        <f ca="1">IFERROR(__xludf.DUMMYFUNCTION("GOOGLETRANSLATE(B397,""en"",""ig"")"),"naputa")</f>
        <v>naputa</v>
      </c>
      <c r="E397" s="2" t="str">
        <f ca="1">IFERROR(__xludf.DUMMYFUNCTION("GOOGLETRANSLATE(B397,""en"",""fr"")"),"recevoir")</f>
        <v>recevoir</v>
      </c>
      <c r="F397" s="2" t="str">
        <f ca="1">IFERROR(__xludf.DUMMYFUNCTION("GOOGLETRANSLATE(B397,""en"",""it"")"),"ricevere")</f>
        <v>ricevere</v>
      </c>
      <c r="G397" s="2" t="str">
        <f ca="1">IFERROR(__xludf.DUMMYFUNCTION("GOOGLETRANSLATE(B397,""en"",""de"")"),"erhalten")</f>
        <v>erhalten</v>
      </c>
      <c r="H397" s="2" t="str">
        <f ca="1">IFERROR(__xludf.DUMMYFUNCTION("GOOGLETRANSLATE(B397,""en"",""zh"")"),"收到")</f>
        <v>收到</v>
      </c>
      <c r="I397" s="2" t="str">
        <f ca="1">IFERROR(__xludf.DUMMYFUNCTION("GOOGLETRANSLATE(B397,""en"",""gd"")"),"a 'faighinn")</f>
        <v>a 'faighinn</v>
      </c>
    </row>
    <row r="398" spans="1:9" ht="14.25" customHeight="1" x14ac:dyDescent="0.3">
      <c r="A398" s="2">
        <v>397</v>
      </c>
      <c r="B398" s="3" t="s">
        <v>405</v>
      </c>
      <c r="C398" s="2" t="str">
        <f ca="1">IFERROR(__xludf.DUMMYFUNCTION("GOOGLETRANSLATE(B398, ""en"",""es"")"),"momento")</f>
        <v>momento</v>
      </c>
      <c r="D398" s="2" t="str">
        <f ca="1">IFERROR(__xludf.DUMMYFUNCTION("GOOGLETRANSLATE(B398,""en"",""ig"")"),"ogenta")</f>
        <v>ogenta</v>
      </c>
      <c r="E398" s="2" t="str">
        <f ca="1">IFERROR(__xludf.DUMMYFUNCTION("GOOGLETRANSLATE(B398,""en"",""fr"")"),"moment")</f>
        <v>moment</v>
      </c>
      <c r="F398" s="2" t="str">
        <f ca="1">IFERROR(__xludf.DUMMYFUNCTION("GOOGLETRANSLATE(B398,""en"",""it"")"),"momento")</f>
        <v>momento</v>
      </c>
      <c r="G398" s="2" t="str">
        <f ca="1">IFERROR(__xludf.DUMMYFUNCTION("GOOGLETRANSLATE(B398,""en"",""de"")"),"Moment")</f>
        <v>Moment</v>
      </c>
      <c r="H398" s="2" t="str">
        <f ca="1">IFERROR(__xludf.DUMMYFUNCTION("GOOGLETRANSLATE(B398,""en"",""zh"")"),"片刻")</f>
        <v>片刻</v>
      </c>
      <c r="I398" s="2" t="str">
        <f ca="1">IFERROR(__xludf.DUMMYFUNCTION("GOOGLETRANSLATE(B398,""en"",""gd"")"),"mionaid")</f>
        <v>mionaid</v>
      </c>
    </row>
    <row r="399" spans="1:9" ht="14.25" customHeight="1" x14ac:dyDescent="0.3">
      <c r="A399" s="2">
        <v>398</v>
      </c>
      <c r="B399" s="3" t="s">
        <v>406</v>
      </c>
      <c r="C399" s="2" t="str">
        <f ca="1">IFERROR(__xludf.DUMMYFUNCTION("GOOGLETRANSLATE(B399, ""en"",""es"")"),"venta")</f>
        <v>venta</v>
      </c>
      <c r="D399" s="2" t="str">
        <f ca="1">IFERROR(__xludf.DUMMYFUNCTION("GOOGLETRANSLATE(B399,""en"",""ig"")"),"onuahia")</f>
        <v>onuahia</v>
      </c>
      <c r="E399" s="2" t="str">
        <f ca="1">IFERROR(__xludf.DUMMYFUNCTION("GOOGLETRANSLATE(B399,""en"",""fr"")"),"vente")</f>
        <v>vente</v>
      </c>
      <c r="F399" s="2" t="str">
        <f ca="1">IFERROR(__xludf.DUMMYFUNCTION("GOOGLETRANSLATE(B399,""en"",""it"")"),"vendita")</f>
        <v>vendita</v>
      </c>
      <c r="G399" s="2" t="str">
        <f ca="1">IFERROR(__xludf.DUMMYFUNCTION("GOOGLETRANSLATE(B399,""en"",""de"")"),"Verkauf")</f>
        <v>Verkauf</v>
      </c>
      <c r="H399" s="2" t="str">
        <f ca="1">IFERROR(__xludf.DUMMYFUNCTION("GOOGLETRANSLATE(B399,""en"",""zh"")"),"销售")</f>
        <v>销售</v>
      </c>
      <c r="I399" s="2" t="str">
        <f ca="1">IFERROR(__xludf.DUMMYFUNCTION("GOOGLETRANSLATE(B399,""en"",""gd"")"),"reic")</f>
        <v>reic</v>
      </c>
    </row>
    <row r="400" spans="1:9" ht="14.25" customHeight="1" x14ac:dyDescent="0.3">
      <c r="A400" s="2">
        <v>399</v>
      </c>
      <c r="B400" s="3" t="s">
        <v>407</v>
      </c>
      <c r="C400" s="2" t="str">
        <f ca="1">IFERROR(__xludf.DUMMYFUNCTION("GOOGLETRANSLATE(B400, ""en"",""es"")"),"política")</f>
        <v>política</v>
      </c>
      <c r="D400" s="2" t="str">
        <f ca="1">IFERROR(__xludf.DUMMYFUNCTION("GOOGLETRANSLATE(B400,""en"",""ig"")"),"amuma agwa")</f>
        <v>amuma agwa</v>
      </c>
      <c r="E400" s="2" t="str">
        <f ca="1">IFERROR(__xludf.DUMMYFUNCTION("GOOGLETRANSLATE(B400,""en"",""fr"")"),"politique")</f>
        <v>politique</v>
      </c>
      <c r="F400" s="2" t="str">
        <f ca="1">IFERROR(__xludf.DUMMYFUNCTION("GOOGLETRANSLATE(B400,""en"",""it"")"),"politica")</f>
        <v>politica</v>
      </c>
      <c r="G400" s="2" t="str">
        <f ca="1">IFERROR(__xludf.DUMMYFUNCTION("GOOGLETRANSLATE(B400,""en"",""de"")"),"Politik")</f>
        <v>Politik</v>
      </c>
      <c r="H400" s="2" t="str">
        <f ca="1">IFERROR(__xludf.DUMMYFUNCTION("GOOGLETRANSLATE(B400,""en"",""zh"")"),"政策")</f>
        <v>政策</v>
      </c>
      <c r="I400" s="2" t="str">
        <f ca="1">IFERROR(__xludf.DUMMYFUNCTION("GOOGLETRANSLATE(B400,""en"",""gd"")"),"Poileasaidh")</f>
        <v>Poileasaidh</v>
      </c>
    </row>
    <row r="401" spans="1:9" ht="14.25" customHeight="1" x14ac:dyDescent="0.3">
      <c r="A401" s="2">
        <v>400</v>
      </c>
      <c r="B401" s="3" t="s">
        <v>408</v>
      </c>
      <c r="C401" s="2" t="str">
        <f ca="1">IFERROR(__xludf.DUMMYFUNCTION("GOOGLETRANSLATE(B401, ""en"",""es"")"),"más")</f>
        <v>más</v>
      </c>
      <c r="D401" s="2" t="str">
        <f ca="1">IFERROR(__xludf.DUMMYFUNCTION("GOOGLETRANSLATE(B401,""en"",""ig"")"),"ozokwa")</f>
        <v>ozokwa</v>
      </c>
      <c r="E401" s="2" t="str">
        <f ca="1">IFERROR(__xludf.DUMMYFUNCTION("GOOGLETRANSLATE(B401,""en"",""fr"")"),"plus loin")</f>
        <v>plus loin</v>
      </c>
      <c r="F401" s="2" t="str">
        <f ca="1">IFERROR(__xludf.DUMMYFUNCTION("GOOGLETRANSLATE(B401,""en"",""it"")"),"ulteriore")</f>
        <v>ulteriore</v>
      </c>
      <c r="G401" s="2" t="str">
        <f ca="1">IFERROR(__xludf.DUMMYFUNCTION("GOOGLETRANSLATE(B401,""en"",""de"")"),"weiter")</f>
        <v>weiter</v>
      </c>
      <c r="H401" s="2" t="str">
        <f ca="1">IFERROR(__xludf.DUMMYFUNCTION("GOOGLETRANSLATE(B401,""en"",""zh"")"),"更远")</f>
        <v>更远</v>
      </c>
      <c r="I401" s="2" t="str">
        <f ca="1">IFERROR(__xludf.DUMMYFUNCTION("GOOGLETRANSLATE(B401,""en"",""gd"")"),"Nas fhaide")</f>
        <v>Nas fhaide</v>
      </c>
    </row>
    <row r="402" spans="1:9" ht="14.25" customHeight="1" x14ac:dyDescent="0.3">
      <c r="A402" s="2">
        <v>401</v>
      </c>
      <c r="B402" s="3" t="s">
        <v>409</v>
      </c>
      <c r="C402" s="2" t="str">
        <f ca="1">IFERROR(__xludf.DUMMYFUNCTION("GOOGLETRANSLATE(B402, ""en"",""es"")"),"cuerpo")</f>
        <v>cuerpo</v>
      </c>
      <c r="D402" s="2" t="str">
        <f ca="1">IFERROR(__xludf.DUMMYFUNCTION("GOOGLETRANSLATE(B402,""en"",""ig"")"),"ahu")</f>
        <v>ahu</v>
      </c>
      <c r="E402" s="2" t="str">
        <f ca="1">IFERROR(__xludf.DUMMYFUNCTION("GOOGLETRANSLATE(B402,""en"",""fr"")"),"corps")</f>
        <v>corps</v>
      </c>
      <c r="F402" s="2" t="str">
        <f ca="1">IFERROR(__xludf.DUMMYFUNCTION("GOOGLETRANSLATE(B402,""en"",""it"")"),"corpo")</f>
        <v>corpo</v>
      </c>
      <c r="G402" s="2" t="str">
        <f ca="1">IFERROR(__xludf.DUMMYFUNCTION("GOOGLETRANSLATE(B402,""en"",""de"")"),"Körper")</f>
        <v>Körper</v>
      </c>
      <c r="H402" s="2" t="str">
        <f ca="1">IFERROR(__xludf.DUMMYFUNCTION("GOOGLETRANSLATE(B402,""en"",""zh"")"),"身体")</f>
        <v>身体</v>
      </c>
      <c r="I402" s="2" t="str">
        <f ca="1">IFERROR(__xludf.DUMMYFUNCTION("GOOGLETRANSLATE(B402,""en"",""gd"")"),"bodhaig")</f>
        <v>bodhaig</v>
      </c>
    </row>
    <row r="403" spans="1:9" ht="14.25" customHeight="1" x14ac:dyDescent="0.3">
      <c r="A403" s="2">
        <v>402</v>
      </c>
      <c r="B403" s="3" t="s">
        <v>410</v>
      </c>
      <c r="C403" s="2" t="str">
        <f ca="1">IFERROR(__xludf.DUMMYFUNCTION("GOOGLETRANSLATE(B403, ""en"",""es"")"),"requerir")</f>
        <v>requerir</v>
      </c>
      <c r="D403" s="2" t="str">
        <f ca="1">IFERROR(__xludf.DUMMYFUNCTION("GOOGLETRANSLATE(B403,""en"",""ig"")"),"icho")</f>
        <v>icho</v>
      </c>
      <c r="E403" s="2" t="str">
        <f ca="1">IFERROR(__xludf.DUMMYFUNCTION("GOOGLETRANSLATE(B403,""en"",""fr"")"),"exiger")</f>
        <v>exiger</v>
      </c>
      <c r="F403" s="2" t="str">
        <f ca="1">IFERROR(__xludf.DUMMYFUNCTION("GOOGLETRANSLATE(B403,""en"",""it"")"),"richiedere")</f>
        <v>richiedere</v>
      </c>
      <c r="G403" s="2" t="str">
        <f ca="1">IFERROR(__xludf.DUMMYFUNCTION("GOOGLETRANSLATE(B403,""en"",""de"")"),"erfordern")</f>
        <v>erfordern</v>
      </c>
      <c r="H403" s="2" t="str">
        <f ca="1">IFERROR(__xludf.DUMMYFUNCTION("GOOGLETRANSLATE(B403,""en"",""zh"")"),"要求")</f>
        <v>要求</v>
      </c>
      <c r="I403" s="2" t="str">
        <f ca="1">IFERROR(__xludf.DUMMYFUNCTION("GOOGLETRANSLATE(B403,""en"",""gd"")"),"Feum")</f>
        <v>Feum</v>
      </c>
    </row>
    <row r="404" spans="1:9" ht="14.25" customHeight="1" x14ac:dyDescent="0.3">
      <c r="A404" s="2">
        <v>403</v>
      </c>
      <c r="B404" s="3" t="s">
        <v>411</v>
      </c>
      <c r="C404" s="2" t="str">
        <f ca="1">IFERROR(__xludf.DUMMYFUNCTION("GOOGLETRANSLATE(B404, ""en"",""es"")"),"esperar")</f>
        <v>esperar</v>
      </c>
      <c r="D404" s="2" t="str">
        <f ca="1">IFERROR(__xludf.DUMMYFUNCTION("GOOGLETRANSLATE(B404,""en"",""ig"")"),"chere")</f>
        <v>chere</v>
      </c>
      <c r="E404" s="2" t="str">
        <f ca="1">IFERROR(__xludf.DUMMYFUNCTION("GOOGLETRANSLATE(B404,""en"",""fr"")"),"attendez")</f>
        <v>attendez</v>
      </c>
      <c r="F404" s="2" t="str">
        <f ca="1">IFERROR(__xludf.DUMMYFUNCTION("GOOGLETRANSLATE(B404,""en"",""it"")"),"Aspettare")</f>
        <v>Aspettare</v>
      </c>
      <c r="G404" s="2" t="str">
        <f ca="1">IFERROR(__xludf.DUMMYFUNCTION("GOOGLETRANSLATE(B404,""en"",""de"")"),"Warten")</f>
        <v>Warten</v>
      </c>
      <c r="H404" s="2" t="str">
        <f ca="1">IFERROR(__xludf.DUMMYFUNCTION("GOOGLETRANSLATE(B404,""en"",""zh"")"),"等待")</f>
        <v>等待</v>
      </c>
      <c r="I404" s="2" t="str">
        <f ca="1">IFERROR(__xludf.DUMMYFUNCTION("GOOGLETRANSLATE(B404,""en"",""gd"")"),"feitheamh")</f>
        <v>feitheamh</v>
      </c>
    </row>
    <row r="405" spans="1:9" ht="14.25" customHeight="1" x14ac:dyDescent="0.3">
      <c r="A405" s="2">
        <v>404</v>
      </c>
      <c r="B405" s="3" t="s">
        <v>412</v>
      </c>
      <c r="C405" s="2" t="str">
        <f ca="1">IFERROR(__xludf.DUMMYFUNCTION("GOOGLETRANSLATE(B405, ""en"",""es"")"),"general")</f>
        <v>general</v>
      </c>
      <c r="D405" s="2" t="str">
        <f ca="1">IFERROR(__xludf.DUMMYFUNCTION("GOOGLETRANSLATE(B405,""en"",""ig"")"),"jenaral")</f>
        <v>jenaral</v>
      </c>
      <c r="E405" s="2" t="str">
        <f ca="1">IFERROR(__xludf.DUMMYFUNCTION("GOOGLETRANSLATE(B405,""en"",""fr"")"),"général")</f>
        <v>général</v>
      </c>
      <c r="F405" s="2" t="str">
        <f ca="1">IFERROR(__xludf.DUMMYFUNCTION("GOOGLETRANSLATE(B405,""en"",""it"")"),"generale")</f>
        <v>generale</v>
      </c>
      <c r="G405" s="2" t="str">
        <f ca="1">IFERROR(__xludf.DUMMYFUNCTION("GOOGLETRANSLATE(B405,""en"",""de"")"),"allgemein")</f>
        <v>allgemein</v>
      </c>
      <c r="H405" s="2" t="str">
        <f ca="1">IFERROR(__xludf.DUMMYFUNCTION("GOOGLETRANSLATE(B405,""en"",""zh"")"),"一般的")</f>
        <v>一般的</v>
      </c>
      <c r="I405" s="2" t="str">
        <f ca="1">IFERROR(__xludf.DUMMYFUNCTION("GOOGLETRANSLATE(B405,""en"",""gd"")"),"Coitcheann")</f>
        <v>Coitcheann</v>
      </c>
    </row>
    <row r="406" spans="1:9" ht="14.25" customHeight="1" x14ac:dyDescent="0.3">
      <c r="A406" s="2">
        <v>405</v>
      </c>
      <c r="B406" s="3" t="s">
        <v>413</v>
      </c>
      <c r="C406" s="2" t="str">
        <f ca="1">IFERROR(__xludf.DUMMYFUNCTION("GOOGLETRANSLATE(B406, ""en"",""es"")"),"aparecer")</f>
        <v>aparecer</v>
      </c>
      <c r="D406" s="2" t="str">
        <f ca="1">IFERROR(__xludf.DUMMYFUNCTION("GOOGLETRANSLATE(B406,""en"",""ig"")"),"iputa")</f>
        <v>iputa</v>
      </c>
      <c r="E406" s="2" t="str">
        <f ca="1">IFERROR(__xludf.DUMMYFUNCTION("GOOGLETRANSLATE(B406,""en"",""fr"")"),"apparaître")</f>
        <v>apparaître</v>
      </c>
      <c r="F406" s="2" t="str">
        <f ca="1">IFERROR(__xludf.DUMMYFUNCTION("GOOGLETRANSLATE(B406,""en"",""it"")"),"apparire")</f>
        <v>apparire</v>
      </c>
      <c r="G406" s="2" t="str">
        <f ca="1">IFERROR(__xludf.DUMMYFUNCTION("GOOGLETRANSLATE(B406,""en"",""de"")"),"erscheinen")</f>
        <v>erscheinen</v>
      </c>
      <c r="H406" s="2" t="str">
        <f ca="1">IFERROR(__xludf.DUMMYFUNCTION("GOOGLETRANSLATE(B406,""en"",""zh"")"),"出现")</f>
        <v>出现</v>
      </c>
      <c r="I406" s="2" t="str">
        <f ca="1">IFERROR(__xludf.DUMMYFUNCTION("GOOGLETRANSLATE(B406,""en"",""gd"")"),"nochdadh")</f>
        <v>nochdadh</v>
      </c>
    </row>
    <row r="407" spans="1:9" ht="14.25" customHeight="1" x14ac:dyDescent="0.3">
      <c r="A407" s="2">
        <v>406</v>
      </c>
      <c r="B407" s="3" t="s">
        <v>414</v>
      </c>
      <c r="C407" s="2" t="str">
        <f ca="1">IFERROR(__xludf.DUMMYFUNCTION("GOOGLETRANSLATE(B407, ""en"",""es"")"),"hacia")</f>
        <v>hacia</v>
      </c>
      <c r="D407" s="2" t="str">
        <f ca="1">IFERROR(__xludf.DUMMYFUNCTION("GOOGLETRANSLATE(B407,""en"",""ig"")"),"iji")</f>
        <v>iji</v>
      </c>
      <c r="E407" s="2" t="str">
        <f ca="1">IFERROR(__xludf.DUMMYFUNCTION("GOOGLETRANSLATE(B407,""en"",""fr"")"),"vers")</f>
        <v>vers</v>
      </c>
      <c r="F407" s="2" t="str">
        <f ca="1">IFERROR(__xludf.DUMMYFUNCTION("GOOGLETRANSLATE(B407,""en"",""it"")"),"verso")</f>
        <v>verso</v>
      </c>
      <c r="G407" s="2" t="str">
        <f ca="1">IFERROR(__xludf.DUMMYFUNCTION("GOOGLETRANSLATE(B407,""en"",""de"")"),"zu")</f>
        <v>zu</v>
      </c>
      <c r="H407" s="2" t="str">
        <f ca="1">IFERROR(__xludf.DUMMYFUNCTION("GOOGLETRANSLATE(B407,""en"",""zh"")"),"走向")</f>
        <v>走向</v>
      </c>
      <c r="I407" s="2" t="str">
        <f ca="1">IFERROR(__xludf.DUMMYFUNCTION("GOOGLETRANSLATE(B407,""en"",""gd"")"),"a dh 'ionnsaigh")</f>
        <v>a dh 'ionnsaigh</v>
      </c>
    </row>
    <row r="408" spans="1:9" ht="14.25" customHeight="1" x14ac:dyDescent="0.3">
      <c r="A408" s="2">
        <v>407</v>
      </c>
      <c r="B408" s="3" t="s">
        <v>415</v>
      </c>
      <c r="C408" s="2" t="str">
        <f ca="1">IFERROR(__xludf.DUMMYFUNCTION("GOOGLETRANSLATE(B408, ""en"",""es"")"),"equipo")</f>
        <v>equipo</v>
      </c>
      <c r="D408" s="2" t="str">
        <f ca="1">IFERROR(__xludf.DUMMYFUNCTION("GOOGLETRANSLATE(B408,""en"",""ig"")"),"tim")</f>
        <v>tim</v>
      </c>
      <c r="E408" s="2" t="str">
        <f ca="1">IFERROR(__xludf.DUMMYFUNCTION("GOOGLETRANSLATE(B408,""en"",""fr"")"),"équipe")</f>
        <v>équipe</v>
      </c>
      <c r="F408" s="2" t="str">
        <f ca="1">IFERROR(__xludf.DUMMYFUNCTION("GOOGLETRANSLATE(B408,""en"",""it"")"),"squadra")</f>
        <v>squadra</v>
      </c>
      <c r="G408" s="2" t="str">
        <f ca="1">IFERROR(__xludf.DUMMYFUNCTION("GOOGLETRANSLATE(B408,""en"",""de"")"),"Team")</f>
        <v>Team</v>
      </c>
      <c r="H408" s="2" t="str">
        <f ca="1">IFERROR(__xludf.DUMMYFUNCTION("GOOGLETRANSLATE(B408,""en"",""zh"")"),"团队")</f>
        <v>团队</v>
      </c>
      <c r="I408" s="2" t="str">
        <f ca="1">IFERROR(__xludf.DUMMYFUNCTION("GOOGLETRANSLATE(B408,""en"",""gd"")"),"Sgioba")</f>
        <v>Sgioba</v>
      </c>
    </row>
    <row r="409" spans="1:9" ht="14.25" customHeight="1" x14ac:dyDescent="0.3">
      <c r="A409" s="2">
        <v>408</v>
      </c>
      <c r="B409" s="3" t="s">
        <v>416</v>
      </c>
      <c r="C409" s="2" t="str">
        <f ca="1">IFERROR(__xludf.DUMMYFUNCTION("GOOGLETRANSLATE(B409, ""en"",""es"")"),"fácil")</f>
        <v>fácil</v>
      </c>
      <c r="D409" s="2" t="str">
        <f ca="1">IFERROR(__xludf.DUMMYFUNCTION("GOOGLETRANSLATE(B409,""en"",""ig"")"),"mfe")</f>
        <v>mfe</v>
      </c>
      <c r="E409" s="2" t="str">
        <f ca="1">IFERROR(__xludf.DUMMYFUNCTION("GOOGLETRANSLATE(B409,""en"",""fr"")"),"facile")</f>
        <v>facile</v>
      </c>
      <c r="F409" s="2" t="str">
        <f ca="1">IFERROR(__xludf.DUMMYFUNCTION("GOOGLETRANSLATE(B409,""en"",""it"")"),"facile")</f>
        <v>facile</v>
      </c>
      <c r="G409" s="2" t="str">
        <f ca="1">IFERROR(__xludf.DUMMYFUNCTION("GOOGLETRANSLATE(B409,""en"",""de"")"),"einfach")</f>
        <v>einfach</v>
      </c>
      <c r="H409" s="2" t="str">
        <f ca="1">IFERROR(__xludf.DUMMYFUNCTION("GOOGLETRANSLATE(B409,""en"",""zh"")"),"简单的")</f>
        <v>简单的</v>
      </c>
      <c r="I409" s="2" t="str">
        <f ca="1">IFERROR(__xludf.DUMMYFUNCTION("GOOGLETRANSLATE(B409,""en"",""gd"")"),"furasta")</f>
        <v>furasta</v>
      </c>
    </row>
    <row r="410" spans="1:9" ht="14.25" customHeight="1" x14ac:dyDescent="0.3">
      <c r="A410" s="2">
        <v>409</v>
      </c>
      <c r="B410" s="3" t="s">
        <v>417</v>
      </c>
      <c r="C410" s="2" t="str">
        <f ca="1">IFERROR(__xludf.DUMMYFUNCTION("GOOGLETRANSLATE(B410, ""en"",""es"")"),"individual")</f>
        <v>individual</v>
      </c>
      <c r="D410" s="2" t="str">
        <f ca="1">IFERROR(__xludf.DUMMYFUNCTION("GOOGLETRANSLATE(B410,""en"",""ig"")"),"kemmadu")</f>
        <v>kemmadu</v>
      </c>
      <c r="E410" s="2" t="str">
        <f ca="1">IFERROR(__xludf.DUMMYFUNCTION("GOOGLETRANSLATE(B410,""en"",""fr"")"),"individuel")</f>
        <v>individuel</v>
      </c>
      <c r="F410" s="2" t="str">
        <f ca="1">IFERROR(__xludf.DUMMYFUNCTION("GOOGLETRANSLATE(B410,""en"",""it"")"),"individuale")</f>
        <v>individuale</v>
      </c>
      <c r="G410" s="2" t="str">
        <f ca="1">IFERROR(__xludf.DUMMYFUNCTION("GOOGLETRANSLATE(B410,""en"",""de"")"),"Individuell")</f>
        <v>Individuell</v>
      </c>
      <c r="H410" s="2" t="str">
        <f ca="1">IFERROR(__xludf.DUMMYFUNCTION("GOOGLETRANSLATE(B410,""en"",""zh"")"),"个人")</f>
        <v>个人</v>
      </c>
      <c r="I410" s="2" t="str">
        <f ca="1">IFERROR(__xludf.DUMMYFUNCTION("GOOGLETRANSLATE(B410,""en"",""gd"")"),"Neach fa leth")</f>
        <v>Neach fa leth</v>
      </c>
    </row>
    <row r="411" spans="1:9" ht="14.25" customHeight="1" x14ac:dyDescent="0.3">
      <c r="A411" s="2">
        <v>410</v>
      </c>
      <c r="B411" s="3" t="s">
        <v>418</v>
      </c>
      <c r="C411" s="2" t="str">
        <f ca="1">IFERROR(__xludf.DUMMYFUNCTION("GOOGLETRANSLATE(B411, ""en"",""es"")"),"lleno")</f>
        <v>lleno</v>
      </c>
      <c r="D411" s="2" t="str">
        <f ca="1">IFERROR(__xludf.DUMMYFUNCTION("GOOGLETRANSLATE(B411,""en"",""ig"")"),"juju")</f>
        <v>juju</v>
      </c>
      <c r="E411" s="2" t="str">
        <f ca="1">IFERROR(__xludf.DUMMYFUNCTION("GOOGLETRANSLATE(B411,""en"",""fr"")"),"complet")</f>
        <v>complet</v>
      </c>
      <c r="F411" s="2" t="str">
        <f ca="1">IFERROR(__xludf.DUMMYFUNCTION("GOOGLETRANSLATE(B411,""en"",""it"")"),"pieno")</f>
        <v>pieno</v>
      </c>
      <c r="G411" s="2" t="str">
        <f ca="1">IFERROR(__xludf.DUMMYFUNCTION("GOOGLETRANSLATE(B411,""en"",""de"")"),"voll")</f>
        <v>voll</v>
      </c>
      <c r="H411" s="2" t="str">
        <f ca="1">IFERROR(__xludf.DUMMYFUNCTION("GOOGLETRANSLATE(B411,""en"",""zh"")"),"满的")</f>
        <v>满的</v>
      </c>
      <c r="I411" s="2" t="str">
        <f ca="1">IFERROR(__xludf.DUMMYFUNCTION("GOOGLETRANSLATE(B411,""en"",""gd"")"),"Làn")</f>
        <v>Làn</v>
      </c>
    </row>
    <row r="412" spans="1:9" ht="14.25" customHeight="1" x14ac:dyDescent="0.3">
      <c r="A412" s="2">
        <v>411</v>
      </c>
      <c r="B412" s="3" t="s">
        <v>419</v>
      </c>
      <c r="C412" s="2" t="str">
        <f ca="1">IFERROR(__xludf.DUMMYFUNCTION("GOOGLETRANSLATE(B412, ""en"",""es"")"),"negro")</f>
        <v>negro</v>
      </c>
      <c r="D412" s="2" t="str">
        <f ca="1">IFERROR(__xludf.DUMMYFUNCTION("GOOGLETRANSLATE(B412,""en"",""ig"")"),"oji")</f>
        <v>oji</v>
      </c>
      <c r="E412" s="2" t="str">
        <f ca="1">IFERROR(__xludf.DUMMYFUNCTION("GOOGLETRANSLATE(B412,""en"",""fr"")"),"noir")</f>
        <v>noir</v>
      </c>
      <c r="F412" s="2" t="str">
        <f ca="1">IFERROR(__xludf.DUMMYFUNCTION("GOOGLETRANSLATE(B412,""en"",""it"")"),"nero")</f>
        <v>nero</v>
      </c>
      <c r="G412" s="2" t="str">
        <f ca="1">IFERROR(__xludf.DUMMYFUNCTION("GOOGLETRANSLATE(B412,""en"",""de"")"),"Schwarz")</f>
        <v>Schwarz</v>
      </c>
      <c r="H412" s="2" t="str">
        <f ca="1">IFERROR(__xludf.DUMMYFUNCTION("GOOGLETRANSLATE(B412,""en"",""zh"")"),"黑色的")</f>
        <v>黑色的</v>
      </c>
      <c r="I412" s="2" t="str">
        <f ca="1">IFERROR(__xludf.DUMMYFUNCTION("GOOGLETRANSLATE(B412,""en"",""gd"")"),"dubh")</f>
        <v>dubh</v>
      </c>
    </row>
    <row r="413" spans="1:9" ht="14.25" customHeight="1" x14ac:dyDescent="0.3">
      <c r="A413" s="2">
        <v>412</v>
      </c>
      <c r="B413" s="3" t="s">
        <v>420</v>
      </c>
      <c r="C413" s="2" t="str">
        <f ca="1">IFERROR(__xludf.DUMMYFUNCTION("GOOGLETRANSLATE(B413, ""en"",""es"")"),"sentido")</f>
        <v>sentido</v>
      </c>
      <c r="D413" s="2" t="str">
        <f ca="1">IFERROR(__xludf.DUMMYFUNCTION("GOOGLETRANSLATE(B413,""en"",""ig"")"),"uche")</f>
        <v>uche</v>
      </c>
      <c r="E413" s="2" t="str">
        <f ca="1">IFERROR(__xludf.DUMMYFUNCTION("GOOGLETRANSLATE(B413,""en"",""fr"")"),"sens")</f>
        <v>sens</v>
      </c>
      <c r="F413" s="2" t="str">
        <f ca="1">IFERROR(__xludf.DUMMYFUNCTION("GOOGLETRANSLATE(B413,""en"",""it"")"),"senso")</f>
        <v>senso</v>
      </c>
      <c r="G413" s="2" t="str">
        <f ca="1">IFERROR(__xludf.DUMMYFUNCTION("GOOGLETRANSLATE(B413,""en"",""de"")"),"Sinn")</f>
        <v>Sinn</v>
      </c>
      <c r="H413" s="2" t="str">
        <f ca="1">IFERROR(__xludf.DUMMYFUNCTION("GOOGLETRANSLATE(B413,""en"",""zh"")"),"感觉")</f>
        <v>感觉</v>
      </c>
      <c r="I413" s="2" t="str">
        <f ca="1">IFERROR(__xludf.DUMMYFUNCTION("GOOGLETRANSLATE(B413,""en"",""gd"")"),"mothachadh")</f>
        <v>mothachadh</v>
      </c>
    </row>
    <row r="414" spans="1:9" ht="14.25" customHeight="1" x14ac:dyDescent="0.3">
      <c r="A414" s="2">
        <v>413</v>
      </c>
      <c r="B414" s="3" t="s">
        <v>421</v>
      </c>
      <c r="C414" s="2" t="str">
        <f ca="1">IFERROR(__xludf.DUMMYFUNCTION("GOOGLETRANSLATE(B414, ""en"",""es"")"),"tal vez")</f>
        <v>tal vez</v>
      </c>
      <c r="D414" s="2" t="str">
        <f ca="1">IFERROR(__xludf.DUMMYFUNCTION("GOOGLETRANSLATE(B414,""en"",""ig"")"),"eleghi anya")</f>
        <v>eleghi anya</v>
      </c>
      <c r="E414" s="2" t="str">
        <f ca="1">IFERROR(__xludf.DUMMYFUNCTION("GOOGLETRANSLATE(B414,""en"",""fr"")"),"peut-être")</f>
        <v>peut-être</v>
      </c>
      <c r="F414" s="2" t="str">
        <f ca="1">IFERROR(__xludf.DUMMYFUNCTION("GOOGLETRANSLATE(B414,""en"",""it"")"),"Forse")</f>
        <v>Forse</v>
      </c>
      <c r="G414" s="2" t="str">
        <f ca="1">IFERROR(__xludf.DUMMYFUNCTION("GOOGLETRANSLATE(B414,""en"",""de"")"),"vielleicht")</f>
        <v>vielleicht</v>
      </c>
      <c r="H414" s="2" t="str">
        <f ca="1">IFERROR(__xludf.DUMMYFUNCTION("GOOGLETRANSLATE(B414,""en"",""zh"")"),"也许")</f>
        <v>也许</v>
      </c>
      <c r="I414" s="2" t="str">
        <f ca="1">IFERROR(__xludf.DUMMYFUNCTION("GOOGLETRANSLATE(B414,""en"",""gd"")"),"is dòcha")</f>
        <v>is dòcha</v>
      </c>
    </row>
    <row r="415" spans="1:9" ht="14.25" customHeight="1" x14ac:dyDescent="0.3">
      <c r="A415" s="2">
        <v>414</v>
      </c>
      <c r="B415" s="3" t="s">
        <v>422</v>
      </c>
      <c r="C415" s="2" t="str">
        <f ca="1">IFERROR(__xludf.DUMMYFUNCTION("GOOGLETRANSLATE(B415, ""en"",""es"")"),"agregar")</f>
        <v>agregar</v>
      </c>
      <c r="D415" s="2" t="str">
        <f ca="1">IFERROR(__xludf.DUMMYFUNCTION("GOOGLETRANSLATE(B415,""en"",""ig"")"),"igbako")</f>
        <v>igbako</v>
      </c>
      <c r="E415" s="2" t="str">
        <f ca="1">IFERROR(__xludf.DUMMYFUNCTION("GOOGLETRANSLATE(B415,""en"",""fr"")"),"ajouter")</f>
        <v>ajouter</v>
      </c>
      <c r="F415" s="2" t="str">
        <f ca="1">IFERROR(__xludf.DUMMYFUNCTION("GOOGLETRANSLATE(B415,""en"",""it"")"),"aggiungere")</f>
        <v>aggiungere</v>
      </c>
      <c r="G415" s="2" t="str">
        <f ca="1">IFERROR(__xludf.DUMMYFUNCTION("GOOGLETRANSLATE(B415,""en"",""de"")"),"hinzufügen")</f>
        <v>hinzufügen</v>
      </c>
      <c r="H415" s="2" t="str">
        <f ca="1">IFERROR(__xludf.DUMMYFUNCTION("GOOGLETRANSLATE(B415,""en"",""zh"")"),"添加")</f>
        <v>添加</v>
      </c>
      <c r="I415" s="2" t="str">
        <f ca="1">IFERROR(__xludf.DUMMYFUNCTION("GOOGLETRANSLATE(B415,""en"",""gd"")"),"Cuir ris")</f>
        <v>Cuir ris</v>
      </c>
    </row>
    <row r="416" spans="1:9" ht="14.25" customHeight="1" x14ac:dyDescent="0.3">
      <c r="A416" s="2">
        <v>415</v>
      </c>
      <c r="B416" s="3" t="s">
        <v>423</v>
      </c>
      <c r="C416" s="2" t="str">
        <f ca="1">IFERROR(__xludf.DUMMYFUNCTION("GOOGLETRANSLATE(B416, ""en"",""es"")"),"regla")</f>
        <v>regla</v>
      </c>
      <c r="D416" s="2" t="str">
        <f ca="1">IFERROR(__xludf.DUMMYFUNCTION("GOOGLETRANSLATE(B416,""en"",""ig"")"),"iwu")</f>
        <v>iwu</v>
      </c>
      <c r="E416" s="2" t="str">
        <f ca="1">IFERROR(__xludf.DUMMYFUNCTION("GOOGLETRANSLATE(B416,""en"",""fr"")"),"règle")</f>
        <v>règle</v>
      </c>
      <c r="F416" s="2" t="str">
        <f ca="1">IFERROR(__xludf.DUMMYFUNCTION("GOOGLETRANSLATE(B416,""en"",""it"")"),"regola")</f>
        <v>regola</v>
      </c>
      <c r="G416" s="2" t="str">
        <f ca="1">IFERROR(__xludf.DUMMYFUNCTION("GOOGLETRANSLATE(B416,""en"",""de"")"),"Regel")</f>
        <v>Regel</v>
      </c>
      <c r="H416" s="2" t="str">
        <f ca="1">IFERROR(__xludf.DUMMYFUNCTION("GOOGLETRANSLATE(B416,""en"",""zh"")"),"规则")</f>
        <v>规则</v>
      </c>
      <c r="I416" s="2" t="str">
        <f ca="1">IFERROR(__xludf.DUMMYFUNCTION("GOOGLETRANSLATE(B416,""en"",""gd"")"),"Riaghailt")</f>
        <v>Riaghailt</v>
      </c>
    </row>
    <row r="417" spans="1:9" ht="14.25" customHeight="1" x14ac:dyDescent="0.3">
      <c r="A417" s="2">
        <v>416</v>
      </c>
      <c r="B417" s="3" t="s">
        <v>424</v>
      </c>
      <c r="C417" s="2" t="str">
        <f ca="1">IFERROR(__xludf.DUMMYFUNCTION("GOOGLETRANSLATE(B417, ""en"",""es"")"),"aprobar")</f>
        <v>aprobar</v>
      </c>
      <c r="D417" s="2" t="str">
        <f ca="1">IFERROR(__xludf.DUMMYFUNCTION("GOOGLETRANSLATE(B417,""en"",""ig"")"),"gaa njem")</f>
        <v>gaa njem</v>
      </c>
      <c r="E417" s="2" t="str">
        <f ca="1">IFERROR(__xludf.DUMMYFUNCTION("GOOGLETRANSLATE(B417,""en"",""fr"")"),"passer")</f>
        <v>passer</v>
      </c>
      <c r="F417" s="2" t="str">
        <f ca="1">IFERROR(__xludf.DUMMYFUNCTION("GOOGLETRANSLATE(B417,""en"",""it"")"),"passaggio")</f>
        <v>passaggio</v>
      </c>
      <c r="G417" s="2" t="str">
        <f ca="1">IFERROR(__xludf.DUMMYFUNCTION("GOOGLETRANSLATE(B417,""en"",""de"")"),"passieren")</f>
        <v>passieren</v>
      </c>
      <c r="H417" s="2" t="str">
        <f ca="1">IFERROR(__xludf.DUMMYFUNCTION("GOOGLETRANSLATE(B417,""en"",""zh"")"),"经过")</f>
        <v>经过</v>
      </c>
      <c r="I417" s="2" t="str">
        <f ca="1">IFERROR(__xludf.DUMMYFUNCTION("GOOGLETRANSLATE(B417,""en"",""gd"")"),"Pass")</f>
        <v>Pass</v>
      </c>
    </row>
    <row r="418" spans="1:9" ht="14.25" customHeight="1" x14ac:dyDescent="0.3">
      <c r="A418" s="2">
        <v>417</v>
      </c>
      <c r="B418" s="3" t="s">
        <v>425</v>
      </c>
      <c r="C418" s="2" t="str">
        <f ca="1">IFERROR(__xludf.DUMMYFUNCTION("GOOGLETRANSLATE(B418, ""en"",""es"")"),"producir")</f>
        <v>producir</v>
      </c>
      <c r="D418" s="2" t="str">
        <f ca="1">IFERROR(__xludf.DUMMYFUNCTION("GOOGLETRANSLATE(B418,""en"",""ig"")"),"mepụta")</f>
        <v>mepụta</v>
      </c>
      <c r="E418" s="2" t="str">
        <f ca="1">IFERROR(__xludf.DUMMYFUNCTION("GOOGLETRANSLATE(B418,""en"",""fr"")"),"produire")</f>
        <v>produire</v>
      </c>
      <c r="F418" s="2" t="str">
        <f ca="1">IFERROR(__xludf.DUMMYFUNCTION("GOOGLETRANSLATE(B418,""en"",""it"")"),"produrre")</f>
        <v>produrre</v>
      </c>
      <c r="G418" s="2" t="str">
        <f ca="1">IFERROR(__xludf.DUMMYFUNCTION("GOOGLETRANSLATE(B418,""en"",""de"")"),"produzieren")</f>
        <v>produzieren</v>
      </c>
      <c r="H418" s="2" t="str">
        <f ca="1">IFERROR(__xludf.DUMMYFUNCTION("GOOGLETRANSLATE(B418,""en"",""zh"")"),"生产")</f>
        <v>生产</v>
      </c>
      <c r="I418" s="2" t="str">
        <f ca="1">IFERROR(__xludf.DUMMYFUNCTION("GOOGLETRANSLATE(B418,""en"",""gd"")"),"toradh")</f>
        <v>toradh</v>
      </c>
    </row>
    <row r="419" spans="1:9" ht="14.25" customHeight="1" x14ac:dyDescent="0.3">
      <c r="A419" s="2">
        <v>418</v>
      </c>
      <c r="B419" s="3" t="s">
        <v>426</v>
      </c>
      <c r="C419" s="2" t="str">
        <f ca="1">IFERROR(__xludf.DUMMYFUNCTION("GOOGLETRANSLATE(B419, ""en"",""es"")"),"vender")</f>
        <v>vender</v>
      </c>
      <c r="D419" s="2" t="str">
        <f ca="1">IFERROR(__xludf.DUMMYFUNCTION("GOOGLETRANSLATE(B419,""en"",""ig"")"),"ree")</f>
        <v>ree</v>
      </c>
      <c r="E419" s="2" t="str">
        <f ca="1">IFERROR(__xludf.DUMMYFUNCTION("GOOGLETRANSLATE(B419,""en"",""fr"")"),"vendre")</f>
        <v>vendre</v>
      </c>
      <c r="F419" s="2" t="str">
        <f ca="1">IFERROR(__xludf.DUMMYFUNCTION("GOOGLETRANSLATE(B419,""en"",""it"")"),"vendere")</f>
        <v>vendere</v>
      </c>
      <c r="G419" s="2" t="str">
        <f ca="1">IFERROR(__xludf.DUMMYFUNCTION("GOOGLETRANSLATE(B419,""en"",""de"")"),"verkaufen")</f>
        <v>verkaufen</v>
      </c>
      <c r="H419" s="2" t="str">
        <f ca="1">IFERROR(__xludf.DUMMYFUNCTION("GOOGLETRANSLATE(B419,""en"",""zh"")"),"卖")</f>
        <v>卖</v>
      </c>
      <c r="I419" s="2" t="str">
        <f ca="1">IFERROR(__xludf.DUMMYFUNCTION("GOOGLETRANSLATE(B419,""en"",""gd"")"),"reic")</f>
        <v>reic</v>
      </c>
    </row>
    <row r="420" spans="1:9" ht="14.25" customHeight="1" x14ac:dyDescent="0.3">
      <c r="A420" s="2">
        <v>419</v>
      </c>
      <c r="B420" s="3" t="s">
        <v>427</v>
      </c>
      <c r="C420" s="2" t="str">
        <f ca="1">IFERROR(__xludf.DUMMYFUNCTION("GOOGLETRANSLATE(B420, ""en"",""es"")"),"corto")</f>
        <v>corto</v>
      </c>
      <c r="D420" s="2" t="str">
        <f ca="1">IFERROR(__xludf.DUMMYFUNCTION("GOOGLETRANSLATE(B420,""en"",""ig"")"),"mkpirisi")</f>
        <v>mkpirisi</v>
      </c>
      <c r="E420" s="2" t="str">
        <f ca="1">IFERROR(__xludf.DUMMYFUNCTION("GOOGLETRANSLATE(B420,""en"",""fr"")"),"court")</f>
        <v>court</v>
      </c>
      <c r="F420" s="2" t="str">
        <f ca="1">IFERROR(__xludf.DUMMYFUNCTION("GOOGLETRANSLATE(B420,""en"",""it"")"),"corto")</f>
        <v>corto</v>
      </c>
      <c r="G420" s="2" t="str">
        <f ca="1">IFERROR(__xludf.DUMMYFUNCTION("GOOGLETRANSLATE(B420,""en"",""de"")"),"kurz")</f>
        <v>kurz</v>
      </c>
      <c r="H420" s="2" t="str">
        <f ca="1">IFERROR(__xludf.DUMMYFUNCTION("GOOGLETRANSLATE(B420,""en"",""zh"")"),"短的")</f>
        <v>短的</v>
      </c>
      <c r="I420" s="2" t="str">
        <f ca="1">IFERROR(__xludf.DUMMYFUNCTION("GOOGLETRANSLATE(B420,""en"",""gd"")"),"Goirid")</f>
        <v>Goirid</v>
      </c>
    </row>
    <row r="421" spans="1:9" ht="14.25" customHeight="1" x14ac:dyDescent="0.3">
      <c r="A421" s="2">
        <v>420</v>
      </c>
      <c r="B421" s="3" t="s">
        <v>428</v>
      </c>
      <c r="C421" s="2" t="str">
        <f ca="1">IFERROR(__xludf.DUMMYFUNCTION("GOOGLETRANSLATE(B421, ""en"",""es"")"),"aceptar")</f>
        <v>aceptar</v>
      </c>
      <c r="D421" s="2" t="str">
        <f ca="1">IFERROR(__xludf.DUMMYFUNCTION("GOOGLETRANSLATE(B421,""en"",""ig"")"),"ikwere")</f>
        <v>ikwere</v>
      </c>
      <c r="E421" s="2" t="str">
        <f ca="1">IFERROR(__xludf.DUMMYFUNCTION("GOOGLETRANSLATE(B421,""en"",""fr"")"),"accepter")</f>
        <v>accepter</v>
      </c>
      <c r="F421" s="2" t="str">
        <f ca="1">IFERROR(__xludf.DUMMYFUNCTION("GOOGLETRANSLATE(B421,""en"",""it"")"),"Essere d'accordo")</f>
        <v>Essere d'accordo</v>
      </c>
      <c r="G421" s="2" t="str">
        <f ca="1">IFERROR(__xludf.DUMMYFUNCTION("GOOGLETRANSLATE(B421,""en"",""de"")"),"zustimmen")</f>
        <v>zustimmen</v>
      </c>
      <c r="H421" s="2" t="str">
        <f ca="1">IFERROR(__xludf.DUMMYFUNCTION("GOOGLETRANSLATE(B421,""en"",""zh"")"),"同意")</f>
        <v>同意</v>
      </c>
      <c r="I421" s="2" t="str">
        <f ca="1">IFERROR(__xludf.DUMMYFUNCTION("GOOGLETRANSLATE(B421,""en"",""gd"")"),"Aontachadh")</f>
        <v>Aontachadh</v>
      </c>
    </row>
    <row r="422" spans="1:9" ht="14.25" customHeight="1" x14ac:dyDescent="0.3">
      <c r="A422" s="2">
        <v>421</v>
      </c>
      <c r="B422" s="3" t="s">
        <v>429</v>
      </c>
      <c r="C422" s="2" t="str">
        <f ca="1">IFERROR(__xludf.DUMMYFUNCTION("GOOGLETRANSLATE(B422, ""en"",""es"")"),"ley")</f>
        <v>ley</v>
      </c>
      <c r="D422" s="2" t="str">
        <f ca="1">IFERROR(__xludf.DUMMYFUNCTION("GOOGLETRANSLATE(B422,""en"",""ig"")"),"iwu")</f>
        <v>iwu</v>
      </c>
      <c r="E422" s="2" t="str">
        <f ca="1">IFERROR(__xludf.DUMMYFUNCTION("GOOGLETRANSLATE(B422,""en"",""fr"")"),"loi")</f>
        <v>loi</v>
      </c>
      <c r="F422" s="2" t="str">
        <f ca="1">IFERROR(__xludf.DUMMYFUNCTION("GOOGLETRANSLATE(B422,""en"",""it"")"),"legge")</f>
        <v>legge</v>
      </c>
      <c r="G422" s="2" t="str">
        <f ca="1">IFERROR(__xludf.DUMMYFUNCTION("GOOGLETRANSLATE(B422,""en"",""de"")"),"Gesetz")</f>
        <v>Gesetz</v>
      </c>
      <c r="H422" s="2" t="str">
        <f ca="1">IFERROR(__xludf.DUMMYFUNCTION("GOOGLETRANSLATE(B422,""en"",""zh"")"),"法律")</f>
        <v>法律</v>
      </c>
      <c r="I422" s="2" t="str">
        <f ca="1">IFERROR(__xludf.DUMMYFUNCTION("GOOGLETRANSLATE(B422,""en"",""gd"")"),"Lagh")</f>
        <v>Lagh</v>
      </c>
    </row>
    <row r="423" spans="1:9" ht="14.25" customHeight="1" x14ac:dyDescent="0.3">
      <c r="A423" s="2">
        <v>422</v>
      </c>
      <c r="B423" s="3" t="s">
        <v>430</v>
      </c>
      <c r="C423" s="2" t="str">
        <f ca="1">IFERROR(__xludf.DUMMYFUNCTION("GOOGLETRANSLATE(B423, ""en"",""es"")"),"todo")</f>
        <v>todo</v>
      </c>
      <c r="D423" s="2" t="str">
        <f ca="1">IFERROR(__xludf.DUMMYFUNCTION("GOOGLETRANSLATE(B423,""en"",""ig"")"),"ihe obula")</f>
        <v>ihe obula</v>
      </c>
      <c r="E423" s="2" t="str">
        <f ca="1">IFERROR(__xludf.DUMMYFUNCTION("GOOGLETRANSLATE(B423,""en"",""fr"")"),"tout")</f>
        <v>tout</v>
      </c>
      <c r="F423" s="2" t="str">
        <f ca="1">IFERROR(__xludf.DUMMYFUNCTION("GOOGLETRANSLATE(B423,""en"",""it"")"),"qualunque cosa")</f>
        <v>qualunque cosa</v>
      </c>
      <c r="G423" s="2" t="str">
        <f ca="1">IFERROR(__xludf.DUMMYFUNCTION("GOOGLETRANSLATE(B423,""en"",""de"")"),"alles")</f>
        <v>alles</v>
      </c>
      <c r="H423" s="2" t="str">
        <f ca="1">IFERROR(__xludf.DUMMYFUNCTION("GOOGLETRANSLATE(B423,""en"",""zh"")"),"一切")</f>
        <v>一切</v>
      </c>
      <c r="I423" s="2" t="str">
        <f ca="1">IFERROR(__xludf.DUMMYFUNCTION("GOOGLETRANSLATE(B423,""en"",""gd"")"),"a h-uile dad")</f>
        <v>a h-uile dad</v>
      </c>
    </row>
    <row r="424" spans="1:9" ht="14.25" customHeight="1" x14ac:dyDescent="0.3">
      <c r="A424" s="2">
        <v>423</v>
      </c>
      <c r="B424" s="3" t="s">
        <v>431</v>
      </c>
      <c r="C424" s="2" t="str">
        <f ca="1">IFERROR(__xludf.DUMMYFUNCTION("GOOGLETRANSLATE(B424, ""en"",""es"")"),"investigación")</f>
        <v>investigación</v>
      </c>
      <c r="D424" s="2" t="str">
        <f ca="1">IFERROR(__xludf.DUMMYFUNCTION("GOOGLETRANSLATE(B424,""en"",""ig"")"),"resaachi")</f>
        <v>resaachi</v>
      </c>
      <c r="E424" s="2" t="str">
        <f ca="1">IFERROR(__xludf.DUMMYFUNCTION("GOOGLETRANSLATE(B424,""en"",""fr"")"),"recherche")</f>
        <v>recherche</v>
      </c>
      <c r="F424" s="2" t="str">
        <f ca="1">IFERROR(__xludf.DUMMYFUNCTION("GOOGLETRANSLATE(B424,""en"",""it"")"),"ricerca")</f>
        <v>ricerca</v>
      </c>
      <c r="G424" s="2" t="str">
        <f ca="1">IFERROR(__xludf.DUMMYFUNCTION("GOOGLETRANSLATE(B424,""en"",""de"")"),"Forschung")</f>
        <v>Forschung</v>
      </c>
      <c r="H424" s="2" t="str">
        <f ca="1">IFERROR(__xludf.DUMMYFUNCTION("GOOGLETRANSLATE(B424,""en"",""zh"")"),"研究")</f>
        <v>研究</v>
      </c>
      <c r="I424" s="2" t="str">
        <f ca="1">IFERROR(__xludf.DUMMYFUNCTION("GOOGLETRANSLATE(B424,""en"",""gd"")"),"Rannsachadh")</f>
        <v>Rannsachadh</v>
      </c>
    </row>
    <row r="425" spans="1:9" ht="14.25" customHeight="1" x14ac:dyDescent="0.3">
      <c r="A425" s="2">
        <v>424</v>
      </c>
      <c r="B425" s="3" t="s">
        <v>432</v>
      </c>
      <c r="C425" s="2" t="str">
        <f ca="1">IFERROR(__xludf.DUMMYFUNCTION("GOOGLETRANSLATE(B425, ""en"",""es"")"),"cubrir")</f>
        <v>cubrir</v>
      </c>
      <c r="D425" s="2" t="str">
        <f ca="1">IFERROR(__xludf.DUMMYFUNCTION("GOOGLETRANSLATE(B425,""en"",""ig"")"),"mkpuchi")</f>
        <v>mkpuchi</v>
      </c>
      <c r="E425" s="2" t="str">
        <f ca="1">IFERROR(__xludf.DUMMYFUNCTION("GOOGLETRANSLATE(B425,""en"",""fr"")"),"couverture")</f>
        <v>couverture</v>
      </c>
      <c r="F425" s="2" t="str">
        <f ca="1">IFERROR(__xludf.DUMMYFUNCTION("GOOGLETRANSLATE(B425,""en"",""it"")"),"copertina")</f>
        <v>copertina</v>
      </c>
      <c r="G425" s="2" t="str">
        <f ca="1">IFERROR(__xludf.DUMMYFUNCTION("GOOGLETRANSLATE(B425,""en"",""de"")"),"Abdeckung")</f>
        <v>Abdeckung</v>
      </c>
      <c r="H425" s="2" t="str">
        <f ca="1">IFERROR(__xludf.DUMMYFUNCTION("GOOGLETRANSLATE(B425,""en"",""zh"")"),"覆盖")</f>
        <v>覆盖</v>
      </c>
      <c r="I425" s="2" t="str">
        <f ca="1">IFERROR(__xludf.DUMMYFUNCTION("GOOGLETRANSLATE(B425,""en"",""gd"")"),"Còmhdach")</f>
        <v>Còmhdach</v>
      </c>
    </row>
    <row r="426" spans="1:9" ht="14.25" customHeight="1" x14ac:dyDescent="0.3">
      <c r="A426" s="2">
        <v>425</v>
      </c>
      <c r="B426" s="3" t="s">
        <v>433</v>
      </c>
      <c r="C426" s="2" t="str">
        <f ca="1">IFERROR(__xludf.DUMMYFUNCTION("GOOGLETRANSLATE(B426, ""en"",""es"")"),"papel")</f>
        <v>papel</v>
      </c>
      <c r="D426" s="2" t="str">
        <f ca="1">IFERROR(__xludf.DUMMYFUNCTION("GOOGLETRANSLATE(B426,""en"",""ig"")"),"akwukwo")</f>
        <v>akwukwo</v>
      </c>
      <c r="E426" s="2" t="str">
        <f ca="1">IFERROR(__xludf.DUMMYFUNCTION("GOOGLETRANSLATE(B426,""en"",""fr"")"),"papier")</f>
        <v>papier</v>
      </c>
      <c r="F426" s="2" t="str">
        <f ca="1">IFERROR(__xludf.DUMMYFUNCTION("GOOGLETRANSLATE(B426,""en"",""it"")"),"carta")</f>
        <v>carta</v>
      </c>
      <c r="G426" s="2" t="str">
        <f ca="1">IFERROR(__xludf.DUMMYFUNCTION("GOOGLETRANSLATE(B426,""en"",""de"")"),"Papier")</f>
        <v>Papier</v>
      </c>
      <c r="H426" s="2" t="str">
        <f ca="1">IFERROR(__xludf.DUMMYFUNCTION("GOOGLETRANSLATE(B426,""en"",""zh"")"),"纸")</f>
        <v>纸</v>
      </c>
      <c r="I426" s="2" t="str">
        <f ca="1">IFERROR(__xludf.DUMMYFUNCTION("GOOGLETRANSLATE(B426,""en"",""gd"")"),"pàipear")</f>
        <v>pàipear</v>
      </c>
    </row>
    <row r="427" spans="1:9" ht="14.25" customHeight="1" x14ac:dyDescent="0.3">
      <c r="A427" s="2">
        <v>426</v>
      </c>
      <c r="B427" s="3" t="s">
        <v>434</v>
      </c>
      <c r="C427" s="2" t="str">
        <f ca="1">IFERROR(__xludf.DUMMYFUNCTION("GOOGLETRANSLATE(B427, ""en"",""es"")"),"posición")</f>
        <v>posición</v>
      </c>
      <c r="D427" s="2" t="str">
        <f ca="1">IFERROR(__xludf.DUMMYFUNCTION("GOOGLETRANSLATE(B427,""en"",""ig"")"),"okwa")</f>
        <v>okwa</v>
      </c>
      <c r="E427" s="2" t="str">
        <f ca="1">IFERROR(__xludf.DUMMYFUNCTION("GOOGLETRANSLATE(B427,""en"",""fr"")"),"position")</f>
        <v>position</v>
      </c>
      <c r="F427" s="2" t="str">
        <f ca="1">IFERROR(__xludf.DUMMYFUNCTION("GOOGLETRANSLATE(B427,""en"",""it"")"),"posizione")</f>
        <v>posizione</v>
      </c>
      <c r="G427" s="2" t="str">
        <f ca="1">IFERROR(__xludf.DUMMYFUNCTION("GOOGLETRANSLATE(B427,""en"",""de"")"),"Position")</f>
        <v>Position</v>
      </c>
      <c r="H427" s="2" t="str">
        <f ca="1">IFERROR(__xludf.DUMMYFUNCTION("GOOGLETRANSLATE(B427,""en"",""zh"")"),"位置")</f>
        <v>位置</v>
      </c>
      <c r="I427" s="2" t="str">
        <f ca="1">IFERROR(__xludf.DUMMYFUNCTION("GOOGLETRANSLATE(B427,""en"",""gd"")"),"Suidheachadh")</f>
        <v>Suidheachadh</v>
      </c>
    </row>
    <row r="428" spans="1:9" ht="14.25" customHeight="1" x14ac:dyDescent="0.3">
      <c r="A428" s="2">
        <v>427</v>
      </c>
      <c r="B428" s="3" t="s">
        <v>435</v>
      </c>
      <c r="C428" s="2" t="str">
        <f ca="1">IFERROR(__xludf.DUMMYFUNCTION("GOOGLETRANSLATE(B428, ""en"",""es"")"),"cerca")</f>
        <v>cerca</v>
      </c>
      <c r="D428" s="2" t="str">
        <f ca="1">IFERROR(__xludf.DUMMYFUNCTION("GOOGLETRANSLATE(B428,""en"",""ig"")"),"nso")</f>
        <v>nso</v>
      </c>
      <c r="E428" s="2" t="str">
        <f ca="1">IFERROR(__xludf.DUMMYFUNCTION("GOOGLETRANSLATE(B428,""en"",""fr"")"),"près")</f>
        <v>près</v>
      </c>
      <c r="F428" s="2" t="str">
        <f ca="1">IFERROR(__xludf.DUMMYFUNCTION("GOOGLETRANSLATE(B428,""en"",""it"")"),"vicino")</f>
        <v>vicino</v>
      </c>
      <c r="G428" s="2" t="str">
        <f ca="1">IFERROR(__xludf.DUMMYFUNCTION("GOOGLETRANSLATE(B428,""en"",""de"")"),"nahe")</f>
        <v>nahe</v>
      </c>
      <c r="H428" s="2" t="str">
        <f ca="1">IFERROR(__xludf.DUMMYFUNCTION("GOOGLETRANSLATE(B428,""en"",""zh"")"),"靠近")</f>
        <v>靠近</v>
      </c>
      <c r="I428" s="2" t="str">
        <f ca="1">IFERROR(__xludf.DUMMYFUNCTION("GOOGLETRANSLATE(B428,""en"",""gd"")"),"faisg air")</f>
        <v>faisg air</v>
      </c>
    </row>
    <row r="429" spans="1:9" ht="14.25" customHeight="1" x14ac:dyDescent="0.3">
      <c r="A429" s="2">
        <v>428</v>
      </c>
      <c r="B429" s="3" t="s">
        <v>436</v>
      </c>
      <c r="C429" s="2" t="str">
        <f ca="1">IFERROR(__xludf.DUMMYFUNCTION("GOOGLETRANSLATE(B429, ""en"",""es"")"),"humano")</f>
        <v>humano</v>
      </c>
      <c r="D429" s="2" t="str">
        <f ca="1">IFERROR(__xludf.DUMMYFUNCTION("GOOGLETRANSLATE(B429,""en"",""ig"")"),"mmadu")</f>
        <v>mmadu</v>
      </c>
      <c r="E429" s="2" t="str">
        <f ca="1">IFERROR(__xludf.DUMMYFUNCTION("GOOGLETRANSLATE(B429,""en"",""fr"")"),"humain")</f>
        <v>humain</v>
      </c>
      <c r="F429" s="2" t="str">
        <f ca="1">IFERROR(__xludf.DUMMYFUNCTION("GOOGLETRANSLATE(B429,""en"",""it"")"),"umano")</f>
        <v>umano</v>
      </c>
      <c r="G429" s="2" t="str">
        <f ca="1">IFERROR(__xludf.DUMMYFUNCTION("GOOGLETRANSLATE(B429,""en"",""de"")"),"menschlich")</f>
        <v>menschlich</v>
      </c>
      <c r="H429" s="2" t="str">
        <f ca="1">IFERROR(__xludf.DUMMYFUNCTION("GOOGLETRANSLATE(B429,""en"",""zh"")"),"人类")</f>
        <v>人类</v>
      </c>
      <c r="I429" s="2" t="str">
        <f ca="1">IFERROR(__xludf.DUMMYFUNCTION("GOOGLETRANSLATE(B429,""en"",""gd"")"),"duine")</f>
        <v>duine</v>
      </c>
    </row>
    <row r="430" spans="1:9" ht="14.25" customHeight="1" x14ac:dyDescent="0.3">
      <c r="A430" s="2">
        <v>429</v>
      </c>
      <c r="B430" s="3" t="s">
        <v>437</v>
      </c>
      <c r="C430" s="2" t="str">
        <f ca="1">IFERROR(__xludf.DUMMYFUNCTION("GOOGLETRANSLATE(B430, ""en"",""es"")"),"computadora")</f>
        <v>computadora</v>
      </c>
      <c r="D430" s="2" t="str">
        <f ca="1">IFERROR(__xludf.DUMMYFUNCTION("GOOGLETRANSLATE(B430,""en"",""ig"")"),"komputa")</f>
        <v>komputa</v>
      </c>
      <c r="E430" s="2" t="str">
        <f ca="1">IFERROR(__xludf.DUMMYFUNCTION("GOOGLETRANSLATE(B430,""en"",""fr"")"),"ordinateur")</f>
        <v>ordinateur</v>
      </c>
      <c r="F430" s="2" t="str">
        <f ca="1">IFERROR(__xludf.DUMMYFUNCTION("GOOGLETRANSLATE(B430,""en"",""it"")"),"computer")</f>
        <v>computer</v>
      </c>
      <c r="G430" s="2" t="str">
        <f ca="1">IFERROR(__xludf.DUMMYFUNCTION("GOOGLETRANSLATE(B430,""en"",""de"")"),"Computer")</f>
        <v>Computer</v>
      </c>
      <c r="H430" s="2" t="str">
        <f ca="1">IFERROR(__xludf.DUMMYFUNCTION("GOOGLETRANSLATE(B430,""en"",""zh"")"),"电脑")</f>
        <v>电脑</v>
      </c>
      <c r="I430" s="2" t="str">
        <f ca="1">IFERROR(__xludf.DUMMYFUNCTION("GOOGLETRANSLATE(B430,""en"",""gd"")"),"coimpiutair")</f>
        <v>coimpiutair</v>
      </c>
    </row>
    <row r="431" spans="1:9" ht="14.25" customHeight="1" x14ac:dyDescent="0.3">
      <c r="A431" s="2">
        <v>430</v>
      </c>
      <c r="B431" s="3" t="s">
        <v>438</v>
      </c>
      <c r="C431" s="2" t="str">
        <f ca="1">IFERROR(__xludf.DUMMYFUNCTION("GOOGLETRANSLATE(B431, ""en"",""es"")"),"situación")</f>
        <v>situación</v>
      </c>
      <c r="D431" s="2" t="str">
        <f ca="1">IFERROR(__xludf.DUMMYFUNCTION("GOOGLETRANSLATE(B431,""en"",""ig"")"),"onodu")</f>
        <v>onodu</v>
      </c>
      <c r="E431" s="2" t="str">
        <f ca="1">IFERROR(__xludf.DUMMYFUNCTION("GOOGLETRANSLATE(B431,""en"",""fr"")"),"situation")</f>
        <v>situation</v>
      </c>
      <c r="F431" s="2" t="str">
        <f ca="1">IFERROR(__xludf.DUMMYFUNCTION("GOOGLETRANSLATE(B431,""en"",""it"")"),"situazione")</f>
        <v>situazione</v>
      </c>
      <c r="G431" s="2" t="str">
        <f ca="1">IFERROR(__xludf.DUMMYFUNCTION("GOOGLETRANSLATE(B431,""en"",""de"")"),"Situation")</f>
        <v>Situation</v>
      </c>
      <c r="H431" s="2" t="str">
        <f ca="1">IFERROR(__xludf.DUMMYFUNCTION("GOOGLETRANSLATE(B431,""en"",""zh"")"),"情况")</f>
        <v>情况</v>
      </c>
      <c r="I431" s="2" t="str">
        <f ca="1">IFERROR(__xludf.DUMMYFUNCTION("GOOGLETRANSLATE(B431,""en"",""gd"")"),"suidheachadh")</f>
        <v>suidheachadh</v>
      </c>
    </row>
    <row r="432" spans="1:9" ht="14.25" customHeight="1" x14ac:dyDescent="0.3">
      <c r="A432" s="2">
        <v>431</v>
      </c>
      <c r="B432" s="3" t="s">
        <v>439</v>
      </c>
      <c r="C432" s="2" t="str">
        <f ca="1">IFERROR(__xludf.DUMMYFUNCTION("GOOGLETRANSLATE(B432, ""en"",""es"")"),"personal")</f>
        <v>personal</v>
      </c>
      <c r="D432" s="2" t="str">
        <f ca="1">IFERROR(__xludf.DUMMYFUNCTION("GOOGLETRANSLATE(B432,""en"",""ig"")"),"onyeoru")</f>
        <v>onyeoru</v>
      </c>
      <c r="E432" s="2" t="str">
        <f ca="1">IFERROR(__xludf.DUMMYFUNCTION("GOOGLETRANSLATE(B432,""en"",""fr"")"),"personnel")</f>
        <v>personnel</v>
      </c>
      <c r="F432" s="2" t="str">
        <f ca="1">IFERROR(__xludf.DUMMYFUNCTION("GOOGLETRANSLATE(B432,""en"",""it"")"),"personale")</f>
        <v>personale</v>
      </c>
      <c r="G432" s="2" t="str">
        <f ca="1">IFERROR(__xludf.DUMMYFUNCTION("GOOGLETRANSLATE(B432,""en"",""de"")"),"Personal")</f>
        <v>Personal</v>
      </c>
      <c r="H432" s="2" t="str">
        <f ca="1">IFERROR(__xludf.DUMMYFUNCTION("GOOGLETRANSLATE(B432,""en"",""zh"")"),"职员")</f>
        <v>职员</v>
      </c>
      <c r="I432" s="2" t="str">
        <f ca="1">IFERROR(__xludf.DUMMYFUNCTION("GOOGLETRANSLATE(B432,""en"",""gd"")"),"luchd-obrach")</f>
        <v>luchd-obrach</v>
      </c>
    </row>
    <row r="433" spans="1:9" ht="14.25" customHeight="1" x14ac:dyDescent="0.3">
      <c r="A433" s="2">
        <v>432</v>
      </c>
      <c r="B433" s="3" t="s">
        <v>440</v>
      </c>
      <c r="C433" s="2" t="str">
        <f ca="1">IFERROR(__xludf.DUMMYFUNCTION("GOOGLETRANSLATE(B433, ""en"",""es"")"),"actividad")</f>
        <v>actividad</v>
      </c>
      <c r="D433" s="2" t="str">
        <f ca="1">IFERROR(__xludf.DUMMYFUNCTION("GOOGLETRANSLATE(B433,""en"",""ig"")"),"mmume")</f>
        <v>mmume</v>
      </c>
      <c r="E433" s="2" t="str">
        <f ca="1">IFERROR(__xludf.DUMMYFUNCTION("GOOGLETRANSLATE(B433,""en"",""fr"")"),"activité")</f>
        <v>activité</v>
      </c>
      <c r="F433" s="2" t="str">
        <f ca="1">IFERROR(__xludf.DUMMYFUNCTION("GOOGLETRANSLATE(B433,""en"",""it"")"),"attività")</f>
        <v>attività</v>
      </c>
      <c r="G433" s="2" t="str">
        <f ca="1">IFERROR(__xludf.DUMMYFUNCTION("GOOGLETRANSLATE(B433,""en"",""de"")"),"Aktivität")</f>
        <v>Aktivität</v>
      </c>
      <c r="H433" s="2" t="str">
        <f ca="1">IFERROR(__xludf.DUMMYFUNCTION("GOOGLETRANSLATE(B433,""en"",""zh"")"),"活动")</f>
        <v>活动</v>
      </c>
      <c r="I433" s="2" t="str">
        <f ca="1">IFERROR(__xludf.DUMMYFUNCTION("GOOGLETRANSLATE(B433,""en"",""gd"")"),"Gnìomhachd")</f>
        <v>Gnìomhachd</v>
      </c>
    </row>
    <row r="434" spans="1:9" ht="14.25" customHeight="1" x14ac:dyDescent="0.3">
      <c r="A434" s="2">
        <v>433</v>
      </c>
      <c r="B434" s="3" t="s">
        <v>441</v>
      </c>
      <c r="C434" s="2" t="str">
        <f ca="1">IFERROR(__xludf.DUMMYFUNCTION("GOOGLETRANSLATE(B434, ""en"",""es"")"),"película")</f>
        <v>película</v>
      </c>
      <c r="D434" s="2" t="str">
        <f ca="1">IFERROR(__xludf.DUMMYFUNCTION("GOOGLETRANSLATE(B434,""en"",""ig"")"),"fiim")</f>
        <v>fiim</v>
      </c>
      <c r="E434" s="2" t="str">
        <f ca="1">IFERROR(__xludf.DUMMYFUNCTION("GOOGLETRANSLATE(B434,""en"",""fr"")"),"film")</f>
        <v>film</v>
      </c>
      <c r="F434" s="2" t="str">
        <f ca="1">IFERROR(__xludf.DUMMYFUNCTION("GOOGLETRANSLATE(B434,""en"",""it"")"),"film")</f>
        <v>film</v>
      </c>
      <c r="G434" s="2" t="str">
        <f ca="1">IFERROR(__xludf.DUMMYFUNCTION("GOOGLETRANSLATE(B434,""en"",""de"")"),"Film")</f>
        <v>Film</v>
      </c>
      <c r="H434" s="2" t="str">
        <f ca="1">IFERROR(__xludf.DUMMYFUNCTION("GOOGLETRANSLATE(B434,""en"",""zh"")"),"电影")</f>
        <v>电影</v>
      </c>
      <c r="I434" s="2" t="str">
        <f ca="1">IFERROR(__xludf.DUMMYFUNCTION("GOOGLETRANSLATE(B434,""en"",""gd"")"),"Film")</f>
        <v>Film</v>
      </c>
    </row>
    <row r="435" spans="1:9" ht="14.25" customHeight="1" x14ac:dyDescent="0.3">
      <c r="A435" s="2">
        <v>434</v>
      </c>
      <c r="B435" s="3" t="s">
        <v>442</v>
      </c>
      <c r="C435" s="2" t="str">
        <f ca="1">IFERROR(__xludf.DUMMYFUNCTION("GOOGLETRANSLATE(B435, ""en"",""es"")"),"mañana")</f>
        <v>mañana</v>
      </c>
      <c r="D435" s="2" t="str">
        <f ca="1">IFERROR(__xludf.DUMMYFUNCTION("GOOGLETRANSLATE(B435,""en"",""ig"")"),"ututu")</f>
        <v>ututu</v>
      </c>
      <c r="E435" s="2" t="str">
        <f ca="1">IFERROR(__xludf.DUMMYFUNCTION("GOOGLETRANSLATE(B435,""en"",""fr"")"),"matin")</f>
        <v>matin</v>
      </c>
      <c r="F435" s="2" t="str">
        <f ca="1">IFERROR(__xludf.DUMMYFUNCTION("GOOGLETRANSLATE(B435,""en"",""it"")"),"Mattina")</f>
        <v>Mattina</v>
      </c>
      <c r="G435" s="2" t="str">
        <f ca="1">IFERROR(__xludf.DUMMYFUNCTION("GOOGLETRANSLATE(B435,""en"",""de"")"),"Morgen")</f>
        <v>Morgen</v>
      </c>
      <c r="H435" s="2" t="str">
        <f ca="1">IFERROR(__xludf.DUMMYFUNCTION("GOOGLETRANSLATE(B435,""en"",""zh"")"),"早晨")</f>
        <v>早晨</v>
      </c>
      <c r="I435" s="2" t="str">
        <f ca="1">IFERROR(__xludf.DUMMYFUNCTION("GOOGLETRANSLATE(B435,""en"",""gd"")"),"madainn")</f>
        <v>madainn</v>
      </c>
    </row>
    <row r="436" spans="1:9" ht="14.25" customHeight="1" x14ac:dyDescent="0.3">
      <c r="A436" s="2">
        <v>435</v>
      </c>
      <c r="B436" s="3" t="s">
        <v>443</v>
      </c>
      <c r="C436" s="2" t="str">
        <f ca="1">IFERROR(__xludf.DUMMYFUNCTION("GOOGLETRANSLATE(B436, ""en"",""es"")"),"guerra")</f>
        <v>guerra</v>
      </c>
      <c r="D436" s="2" t="str">
        <f ca="1">IFERROR(__xludf.DUMMYFUNCTION("GOOGLETRANSLATE(B436,""en"",""ig"")"),"agha")</f>
        <v>agha</v>
      </c>
      <c r="E436" s="2" t="str">
        <f ca="1">IFERROR(__xludf.DUMMYFUNCTION("GOOGLETRANSLATE(B436,""en"",""fr"")"),"guerre")</f>
        <v>guerre</v>
      </c>
      <c r="F436" s="2" t="str">
        <f ca="1">IFERROR(__xludf.DUMMYFUNCTION("GOOGLETRANSLATE(B436,""en"",""it"")"),"guerra")</f>
        <v>guerra</v>
      </c>
      <c r="G436" s="2" t="str">
        <f ca="1">IFERROR(__xludf.DUMMYFUNCTION("GOOGLETRANSLATE(B436,""en"",""de"")"),"Krieg")</f>
        <v>Krieg</v>
      </c>
      <c r="H436" s="2" t="str">
        <f ca="1">IFERROR(__xludf.DUMMYFUNCTION("GOOGLETRANSLATE(B436,""en"",""zh"")"),"战争")</f>
        <v>战争</v>
      </c>
      <c r="I436" s="2" t="str">
        <f ca="1">IFERROR(__xludf.DUMMYFUNCTION("GOOGLETRANSLATE(B436,""en"",""gd"")"),"Cogadh")</f>
        <v>Cogadh</v>
      </c>
    </row>
    <row r="437" spans="1:9" ht="14.25" customHeight="1" x14ac:dyDescent="0.3">
      <c r="A437" s="2">
        <v>436</v>
      </c>
      <c r="B437" s="3" t="s">
        <v>444</v>
      </c>
      <c r="C437" s="2" t="str">
        <f ca="1">IFERROR(__xludf.DUMMYFUNCTION("GOOGLETRANSLATE(B437, ""en"",""es"")"),"cuenta")</f>
        <v>cuenta</v>
      </c>
      <c r="D437" s="2" t="str">
        <f ca="1">IFERROR(__xludf.DUMMYFUNCTION("GOOGLETRANSLATE(B437,""en"",""ig"")"),"akwukwo nkowa ego")</f>
        <v>akwukwo nkowa ego</v>
      </c>
      <c r="E437" s="2" t="str">
        <f ca="1">IFERROR(__xludf.DUMMYFUNCTION("GOOGLETRANSLATE(B437,""en"",""fr"")"),"compte")</f>
        <v>compte</v>
      </c>
      <c r="F437" s="2" t="str">
        <f ca="1">IFERROR(__xludf.DUMMYFUNCTION("GOOGLETRANSLATE(B437,""en"",""it"")"),"account")</f>
        <v>account</v>
      </c>
      <c r="G437" s="2" t="str">
        <f ca="1">IFERROR(__xludf.DUMMYFUNCTION("GOOGLETRANSLATE(B437,""en"",""de"")"),"Konto")</f>
        <v>Konto</v>
      </c>
      <c r="H437" s="2" t="str">
        <f ca="1">IFERROR(__xludf.DUMMYFUNCTION("GOOGLETRANSLATE(B437,""en"",""zh"")"),"帐户")</f>
        <v>帐户</v>
      </c>
      <c r="I437" s="2" t="str">
        <f ca="1">IFERROR(__xludf.DUMMYFUNCTION("GOOGLETRANSLATE(B437,""en"",""gd"")"),"cunntas")</f>
        <v>cunntas</v>
      </c>
    </row>
    <row r="438" spans="1:9" ht="14.25" customHeight="1" x14ac:dyDescent="0.3">
      <c r="A438" s="2">
        <v>437</v>
      </c>
      <c r="B438" s="3" t="s">
        <v>445</v>
      </c>
      <c r="C438" s="2" t="str">
        <f ca="1">IFERROR(__xludf.DUMMYFUNCTION("GOOGLETRANSLATE(B438, ""en"",""es"")"),"comercio")</f>
        <v>comercio</v>
      </c>
      <c r="D438" s="2" t="str">
        <f ca="1">IFERROR(__xludf.DUMMYFUNCTION("GOOGLETRANSLATE(B438,""en"",""ig"")"),"shop")</f>
        <v>shop</v>
      </c>
      <c r="E438" s="2" t="str">
        <f ca="1">IFERROR(__xludf.DUMMYFUNCTION("GOOGLETRANSLATE(B438,""en"",""fr"")"),"boutique")</f>
        <v>boutique</v>
      </c>
      <c r="F438" s="2" t="str">
        <f ca="1">IFERROR(__xludf.DUMMYFUNCTION("GOOGLETRANSLATE(B438,""en"",""it"")"),"negozio")</f>
        <v>negozio</v>
      </c>
      <c r="G438" s="2" t="str">
        <f ca="1">IFERROR(__xludf.DUMMYFUNCTION("GOOGLETRANSLATE(B438,""en"",""de"")"),"Geschäft")</f>
        <v>Geschäft</v>
      </c>
      <c r="H438" s="2" t="str">
        <f ca="1">IFERROR(__xludf.DUMMYFUNCTION("GOOGLETRANSLATE(B438,""en"",""zh"")"),"店铺")</f>
        <v>店铺</v>
      </c>
      <c r="I438" s="2" t="str">
        <f ca="1">IFERROR(__xludf.DUMMYFUNCTION("GOOGLETRANSLATE(B438,""en"",""gd"")"),"Bùth")</f>
        <v>Bùth</v>
      </c>
    </row>
    <row r="439" spans="1:9" ht="14.25" customHeight="1" x14ac:dyDescent="0.3">
      <c r="A439" s="2">
        <v>438</v>
      </c>
      <c r="B439" s="3" t="s">
        <v>446</v>
      </c>
      <c r="C439" s="2" t="str">
        <f ca="1">IFERROR(__xludf.DUMMYFUNCTION("GOOGLETRANSLATE(B439, ""en"",""es"")"),"importante")</f>
        <v>importante</v>
      </c>
      <c r="D439" s="2" t="str">
        <f ca="1">IFERROR(__xludf.DUMMYFUNCTION("GOOGLETRANSLATE(B439,""en"",""ig"")"),"mejo")</f>
        <v>mejo</v>
      </c>
      <c r="E439" s="2" t="str">
        <f ca="1">IFERROR(__xludf.DUMMYFUNCTION("GOOGLETRANSLATE(B439,""en"",""fr"")"),"majeur")</f>
        <v>majeur</v>
      </c>
      <c r="F439" s="2" t="str">
        <f ca="1">IFERROR(__xludf.DUMMYFUNCTION("GOOGLETRANSLATE(B439,""en"",""it"")"),"maggiore")</f>
        <v>maggiore</v>
      </c>
      <c r="G439" s="2" t="str">
        <f ca="1">IFERROR(__xludf.DUMMYFUNCTION("GOOGLETRANSLATE(B439,""en"",""de"")"),"wesentlich")</f>
        <v>wesentlich</v>
      </c>
      <c r="H439" s="2" t="str">
        <f ca="1">IFERROR(__xludf.DUMMYFUNCTION("GOOGLETRANSLATE(B439,""en"",""zh"")"),"主要的")</f>
        <v>主要的</v>
      </c>
      <c r="I439" s="2" t="str">
        <f ca="1">IFERROR(__xludf.DUMMYFUNCTION("GOOGLETRANSLATE(B439,""en"",""gd"")"),"Màidsear")</f>
        <v>Màidsear</v>
      </c>
    </row>
    <row r="440" spans="1:9" ht="14.25" customHeight="1" x14ac:dyDescent="0.3">
      <c r="A440" s="2">
        <v>439</v>
      </c>
      <c r="B440" s="3" t="s">
        <v>447</v>
      </c>
      <c r="C440" s="2" t="str">
        <f ca="1">IFERROR(__xludf.DUMMYFUNCTION("GOOGLETRANSLATE(B440, ""en"",""es"")"),"alguien")</f>
        <v>alguien</v>
      </c>
      <c r="D440" s="2" t="str">
        <f ca="1">IFERROR(__xludf.DUMMYFUNCTION("GOOGLETRANSLATE(B440,""en"",""ig"")"),"mmadu")</f>
        <v>mmadu</v>
      </c>
      <c r="E440" s="2" t="str">
        <f ca="1">IFERROR(__xludf.DUMMYFUNCTION("GOOGLETRANSLATE(B440,""en"",""fr"")"),"quelqu'un")</f>
        <v>quelqu'un</v>
      </c>
      <c r="F440" s="2" t="str">
        <f ca="1">IFERROR(__xludf.DUMMYFUNCTION("GOOGLETRANSLATE(B440,""en"",""it"")"),"qualcuno")</f>
        <v>qualcuno</v>
      </c>
      <c r="G440" s="2" t="str">
        <f ca="1">IFERROR(__xludf.DUMMYFUNCTION("GOOGLETRANSLATE(B440,""en"",""de"")"),"jemand")</f>
        <v>jemand</v>
      </c>
      <c r="H440" s="2" t="str">
        <f ca="1">IFERROR(__xludf.DUMMYFUNCTION("GOOGLETRANSLATE(B440,""en"",""zh"")"),"有人")</f>
        <v>有人</v>
      </c>
      <c r="I440" s="2" t="str">
        <f ca="1">IFERROR(__xludf.DUMMYFUNCTION("GOOGLETRANSLATE(B440,""en"",""gd"")"),"cuideigin")</f>
        <v>cuideigin</v>
      </c>
    </row>
    <row r="441" spans="1:9" ht="14.25" customHeight="1" x14ac:dyDescent="0.3">
      <c r="A441" s="2">
        <v>440</v>
      </c>
      <c r="B441" s="3" t="s">
        <v>448</v>
      </c>
      <c r="C441" s="2" t="str">
        <f ca="1">IFERROR(__xludf.DUMMYFUNCTION("GOOGLETRANSLATE(B441, ""en"",""es"")"),"arriba")</f>
        <v>arriba</v>
      </c>
      <c r="D441" s="2" t="str">
        <f ca="1">IFERROR(__xludf.DUMMYFUNCTION("GOOGLETRANSLATE(B441,""en"",""ig"")"),"karia")</f>
        <v>karia</v>
      </c>
      <c r="E441" s="2" t="str">
        <f ca="1">IFERROR(__xludf.DUMMYFUNCTION("GOOGLETRANSLATE(B441,""en"",""fr"")"),"au-dessus de")</f>
        <v>au-dessus de</v>
      </c>
      <c r="F441" s="2" t="str">
        <f ca="1">IFERROR(__xludf.DUMMYFUNCTION("GOOGLETRANSLATE(B441,""en"",""it"")"),"Sopra")</f>
        <v>Sopra</v>
      </c>
      <c r="G441" s="2" t="str">
        <f ca="1">IFERROR(__xludf.DUMMYFUNCTION("GOOGLETRANSLATE(B441,""en"",""de"")"),"über")</f>
        <v>über</v>
      </c>
      <c r="H441" s="2" t="str">
        <f ca="1">IFERROR(__xludf.DUMMYFUNCTION("GOOGLETRANSLATE(B441,""en"",""zh"")"),"多于")</f>
        <v>多于</v>
      </c>
      <c r="I441" s="2" t="str">
        <f ca="1">IFERROR(__xludf.DUMMYFUNCTION("GOOGLETRANSLATE(B441,""en"",""gd"")"),"gu h-àrd")</f>
        <v>gu h-àrd</v>
      </c>
    </row>
    <row r="442" spans="1:9" ht="14.25" customHeight="1" x14ac:dyDescent="0.3">
      <c r="A442" s="2">
        <v>441</v>
      </c>
      <c r="B442" s="3" t="s">
        <v>449</v>
      </c>
      <c r="C442" s="2" t="str">
        <f ca="1">IFERROR(__xludf.DUMMYFUNCTION("GOOGLETRANSLATE(B442, ""en"",""es"")"),"diseño")</f>
        <v>diseño</v>
      </c>
      <c r="D442" s="2" t="str">
        <f ca="1">IFERROR(__xludf.DUMMYFUNCTION("GOOGLETRANSLATE(B442,""en"",""ig"")"),"imewe")</f>
        <v>imewe</v>
      </c>
      <c r="E442" s="2" t="str">
        <f ca="1">IFERROR(__xludf.DUMMYFUNCTION("GOOGLETRANSLATE(B442,""en"",""fr"")"),"conception")</f>
        <v>conception</v>
      </c>
      <c r="F442" s="2" t="str">
        <f ca="1">IFERROR(__xludf.DUMMYFUNCTION("GOOGLETRANSLATE(B442,""en"",""it"")"),"progetto")</f>
        <v>progetto</v>
      </c>
      <c r="G442" s="2" t="str">
        <f ca="1">IFERROR(__xludf.DUMMYFUNCTION("GOOGLETRANSLATE(B442,""en"",""de"")"),"Design")</f>
        <v>Design</v>
      </c>
      <c r="H442" s="2" t="str">
        <f ca="1">IFERROR(__xludf.DUMMYFUNCTION("GOOGLETRANSLATE(B442,""en"",""zh"")"),"设计")</f>
        <v>设计</v>
      </c>
      <c r="I442" s="2" t="str">
        <f ca="1">IFERROR(__xludf.DUMMYFUNCTION("GOOGLETRANSLATE(B442,""en"",""gd"")"),"Dealbhadh")</f>
        <v>Dealbhadh</v>
      </c>
    </row>
    <row r="443" spans="1:9" ht="14.25" customHeight="1" x14ac:dyDescent="0.3">
      <c r="A443" s="2">
        <v>442</v>
      </c>
      <c r="B443" s="3" t="s">
        <v>450</v>
      </c>
      <c r="C443" s="2" t="str">
        <f ca="1">IFERROR(__xludf.DUMMYFUNCTION("GOOGLETRANSLATE(B443, ""en"",""es"")"),"evento")</f>
        <v>evento</v>
      </c>
      <c r="D443" s="2" t="str">
        <f ca="1">IFERROR(__xludf.DUMMYFUNCTION("GOOGLETRANSLATE(B443,""en"",""ig"")"),"mmeeme")</f>
        <v>mmeeme</v>
      </c>
      <c r="E443" s="2" t="str">
        <f ca="1">IFERROR(__xludf.DUMMYFUNCTION("GOOGLETRANSLATE(B443,""en"",""fr"")"),"événement")</f>
        <v>événement</v>
      </c>
      <c r="F443" s="2" t="str">
        <f ca="1">IFERROR(__xludf.DUMMYFUNCTION("GOOGLETRANSLATE(B443,""en"",""it"")"),"evento")</f>
        <v>evento</v>
      </c>
      <c r="G443" s="2" t="str">
        <f ca="1">IFERROR(__xludf.DUMMYFUNCTION("GOOGLETRANSLATE(B443,""en"",""de"")"),"Ereignis")</f>
        <v>Ereignis</v>
      </c>
      <c r="H443" s="2" t="str">
        <f ca="1">IFERROR(__xludf.DUMMYFUNCTION("GOOGLETRANSLATE(B443,""en"",""zh"")"),"事件")</f>
        <v>事件</v>
      </c>
      <c r="I443" s="2" t="str">
        <f ca="1">IFERROR(__xludf.DUMMYFUNCTION("GOOGLETRANSLATE(B443,""en"",""gd"")"),"Tachartas")</f>
        <v>Tachartas</v>
      </c>
    </row>
    <row r="444" spans="1:9" ht="14.25" customHeight="1" x14ac:dyDescent="0.3">
      <c r="A444" s="2">
        <v>443</v>
      </c>
      <c r="B444" s="3" t="s">
        <v>451</v>
      </c>
      <c r="C444" s="2" t="str">
        <f ca="1">IFERROR(__xludf.DUMMYFUNCTION("GOOGLETRANSLATE(B444, ""en"",""es"")"),"especial")</f>
        <v>especial</v>
      </c>
      <c r="D444" s="2" t="str">
        <f ca="1">IFERROR(__xludf.DUMMYFUNCTION("GOOGLETRANSLATE(B444,""en"",""ig"")"),"nke puruiche")</f>
        <v>nke puruiche</v>
      </c>
      <c r="E444" s="2" t="str">
        <f ca="1">IFERROR(__xludf.DUMMYFUNCTION("GOOGLETRANSLATE(B444,""en"",""fr"")"),"spécial")</f>
        <v>spécial</v>
      </c>
      <c r="F444" s="2" t="str">
        <f ca="1">IFERROR(__xludf.DUMMYFUNCTION("GOOGLETRANSLATE(B444,""en"",""it"")"),"speciale")</f>
        <v>speciale</v>
      </c>
      <c r="G444" s="2" t="str">
        <f ca="1">IFERROR(__xludf.DUMMYFUNCTION("GOOGLETRANSLATE(B444,""en"",""de"")"),"besonders")</f>
        <v>besonders</v>
      </c>
      <c r="H444" s="2" t="str">
        <f ca="1">IFERROR(__xludf.DUMMYFUNCTION("GOOGLETRANSLATE(B444,""en"",""zh"")"),"特别的")</f>
        <v>特别的</v>
      </c>
      <c r="I444" s="2" t="str">
        <f ca="1">IFERROR(__xludf.DUMMYFUNCTION("GOOGLETRANSLATE(B444,""en"",""gd"")"),"sònraichte")</f>
        <v>sònraichte</v>
      </c>
    </row>
    <row r="445" spans="1:9" ht="14.25" customHeight="1" x14ac:dyDescent="0.3">
      <c r="A445" s="2">
        <v>444</v>
      </c>
      <c r="B445" s="3" t="s">
        <v>452</v>
      </c>
      <c r="C445" s="2" t="str">
        <f ca="1">IFERROR(__xludf.DUMMYFUNCTION("GOOGLETRANSLATE(B445, ""en"",""es"")"),"a veces")</f>
        <v>a veces</v>
      </c>
      <c r="D445" s="2" t="str">
        <f ca="1">IFERROR(__xludf.DUMMYFUNCTION("GOOGLETRANSLATE(B445,""en"",""ig"")"),"mgbeufodu")</f>
        <v>mgbeufodu</v>
      </c>
      <c r="E445" s="2" t="str">
        <f ca="1">IFERROR(__xludf.DUMMYFUNCTION("GOOGLETRANSLATE(B445,""en"",""fr"")"),"parfois")</f>
        <v>parfois</v>
      </c>
      <c r="F445" s="2" t="str">
        <f ca="1">IFERROR(__xludf.DUMMYFUNCTION("GOOGLETRANSLATE(B445,""en"",""it"")"),"A volte")</f>
        <v>A volte</v>
      </c>
      <c r="G445" s="2" t="str">
        <f ca="1">IFERROR(__xludf.DUMMYFUNCTION("GOOGLETRANSLATE(B445,""en"",""de"")"),"Manchmal")</f>
        <v>Manchmal</v>
      </c>
      <c r="H445" s="2" t="str">
        <f ca="1">IFERROR(__xludf.DUMMYFUNCTION("GOOGLETRANSLATE(B445,""en"",""zh"")"),"有时")</f>
        <v>有时</v>
      </c>
      <c r="I445" s="2" t="str">
        <f ca="1">IFERROR(__xludf.DUMMYFUNCTION("GOOGLETRANSLATE(B445,""en"",""gd"")"),"uaireannan")</f>
        <v>uaireannan</v>
      </c>
    </row>
    <row r="446" spans="1:9" ht="14.25" customHeight="1" x14ac:dyDescent="0.3">
      <c r="A446" s="2">
        <v>445</v>
      </c>
      <c r="B446" s="3" t="s">
        <v>453</v>
      </c>
      <c r="C446" s="2" t="str">
        <f ca="1">IFERROR(__xludf.DUMMYFUNCTION("GOOGLETRANSLATE(B446, ""en"",""es"")"),"condición")</f>
        <v>condición</v>
      </c>
      <c r="D446" s="2" t="str">
        <f ca="1">IFERROR(__xludf.DUMMYFUNCTION("GOOGLETRANSLATE(B446,""en"",""ig"")"),"onodu")</f>
        <v>onodu</v>
      </c>
      <c r="E446" s="2" t="str">
        <f ca="1">IFERROR(__xludf.DUMMYFUNCTION("GOOGLETRANSLATE(B446,""en"",""fr"")"),"condition")</f>
        <v>condition</v>
      </c>
      <c r="F446" s="2" t="str">
        <f ca="1">IFERROR(__xludf.DUMMYFUNCTION("GOOGLETRANSLATE(B446,""en"",""it"")"),"condizione")</f>
        <v>condizione</v>
      </c>
      <c r="G446" s="2" t="str">
        <f ca="1">IFERROR(__xludf.DUMMYFUNCTION("GOOGLETRANSLATE(B446,""en"",""de"")"),"Zustand")</f>
        <v>Zustand</v>
      </c>
      <c r="H446" s="2" t="str">
        <f ca="1">IFERROR(__xludf.DUMMYFUNCTION("GOOGLETRANSLATE(B446,""en"",""zh"")"),"状况")</f>
        <v>状况</v>
      </c>
      <c r="I446" s="2" t="str">
        <f ca="1">IFERROR(__xludf.DUMMYFUNCTION("GOOGLETRANSLATE(B446,""en"",""gd"")"),"Suidheachadh")</f>
        <v>Suidheachadh</v>
      </c>
    </row>
    <row r="447" spans="1:9" ht="14.25" customHeight="1" x14ac:dyDescent="0.3">
      <c r="A447" s="2">
        <v>446</v>
      </c>
      <c r="B447" s="3" t="s">
        <v>454</v>
      </c>
      <c r="C447" s="2" t="str">
        <f ca="1">IFERROR(__xludf.DUMMYFUNCTION("GOOGLETRANSLATE(B447, ""en"",""es"")"),"llevar")</f>
        <v>llevar</v>
      </c>
      <c r="D447" s="2" t="str">
        <f ca="1">IFERROR(__xludf.DUMMYFUNCTION("GOOGLETRANSLATE(B447,""en"",""ig"")"),"ibu")</f>
        <v>ibu</v>
      </c>
      <c r="E447" s="2" t="str">
        <f ca="1">IFERROR(__xludf.DUMMYFUNCTION("GOOGLETRANSLATE(B447,""en"",""fr"")"),"porter")</f>
        <v>porter</v>
      </c>
      <c r="F447" s="2" t="str">
        <f ca="1">IFERROR(__xludf.DUMMYFUNCTION("GOOGLETRANSLATE(B447,""en"",""it"")"),"trasportare")</f>
        <v>trasportare</v>
      </c>
      <c r="G447" s="2" t="str">
        <f ca="1">IFERROR(__xludf.DUMMYFUNCTION("GOOGLETRANSLATE(B447,""en"",""de"")"),"tragen")</f>
        <v>tragen</v>
      </c>
      <c r="H447" s="2" t="str">
        <f ca="1">IFERROR(__xludf.DUMMYFUNCTION("GOOGLETRANSLATE(B447,""en"",""zh"")"),"携带")</f>
        <v>携带</v>
      </c>
      <c r="I447" s="2" t="str">
        <f ca="1">IFERROR(__xludf.DUMMYFUNCTION("GOOGLETRANSLATE(B447,""en"",""gd"")"),"giùlan")</f>
        <v>giùlan</v>
      </c>
    </row>
    <row r="448" spans="1:9" ht="14.25" customHeight="1" x14ac:dyDescent="0.3">
      <c r="A448" s="2">
        <v>447</v>
      </c>
      <c r="B448" s="3" t="s">
        <v>455</v>
      </c>
      <c r="C448" s="2" t="str">
        <f ca="1">IFERROR(__xludf.DUMMYFUNCTION("GOOGLETRANSLATE(B448, ""en"",""es"")"),"elegir")</f>
        <v>elegir</v>
      </c>
      <c r="D448" s="2" t="str">
        <f ca="1">IFERROR(__xludf.DUMMYFUNCTION("GOOGLETRANSLATE(B448,""en"",""ig"")"),"ihoro")</f>
        <v>ihoro</v>
      </c>
      <c r="E448" s="2" t="str">
        <f ca="1">IFERROR(__xludf.DUMMYFUNCTION("GOOGLETRANSLATE(B448,""en"",""fr"")"),"choisir")</f>
        <v>choisir</v>
      </c>
      <c r="F448" s="2" t="str">
        <f ca="1">IFERROR(__xludf.DUMMYFUNCTION("GOOGLETRANSLATE(B448,""en"",""it"")"),"scegliere")</f>
        <v>scegliere</v>
      </c>
      <c r="G448" s="2" t="str">
        <f ca="1">IFERROR(__xludf.DUMMYFUNCTION("GOOGLETRANSLATE(B448,""en"",""de"")"),"wählen")</f>
        <v>wählen</v>
      </c>
      <c r="H448" s="2" t="str">
        <f ca="1">IFERROR(__xludf.DUMMYFUNCTION("GOOGLETRANSLATE(B448,""en"",""zh"")"),"选择")</f>
        <v>选择</v>
      </c>
      <c r="I448" s="2" t="str">
        <f ca="1">IFERROR(__xludf.DUMMYFUNCTION("GOOGLETRANSLATE(B448,""en"",""gd"")"),"Tagh")</f>
        <v>Tagh</v>
      </c>
    </row>
    <row r="449" spans="1:9" ht="14.25" customHeight="1" x14ac:dyDescent="0.3">
      <c r="A449" s="2">
        <v>448</v>
      </c>
      <c r="B449" s="3" t="s">
        <v>456</v>
      </c>
      <c r="C449" s="2" t="str">
        <f ca="1">IFERROR(__xludf.DUMMYFUNCTION("GOOGLETRANSLATE(B449, ""en"",""es"")"),"padre")</f>
        <v>padre</v>
      </c>
      <c r="D449" s="2" t="str">
        <f ca="1">IFERROR(__xludf.DUMMYFUNCTION("GOOGLETRANSLATE(B449,""en"",""ig"")"),"nna")</f>
        <v>nna</v>
      </c>
      <c r="E449" s="2" t="str">
        <f ca="1">IFERROR(__xludf.DUMMYFUNCTION("GOOGLETRANSLATE(B449,""en"",""fr"")"),"père")</f>
        <v>père</v>
      </c>
      <c r="F449" s="2" t="str">
        <f ca="1">IFERROR(__xludf.DUMMYFUNCTION("GOOGLETRANSLATE(B449,""en"",""it"")"),"padre")</f>
        <v>padre</v>
      </c>
      <c r="G449" s="2" t="str">
        <f ca="1">IFERROR(__xludf.DUMMYFUNCTION("GOOGLETRANSLATE(B449,""en"",""de"")"),"Vater")</f>
        <v>Vater</v>
      </c>
      <c r="H449" s="2" t="str">
        <f ca="1">IFERROR(__xludf.DUMMYFUNCTION("GOOGLETRANSLATE(B449,""en"",""zh"")"),"父亲")</f>
        <v>父亲</v>
      </c>
      <c r="I449" s="2" t="str">
        <f ca="1">IFERROR(__xludf.DUMMYFUNCTION("GOOGLETRANSLATE(B449,""en"",""gd"")"),"athair")</f>
        <v>athair</v>
      </c>
    </row>
    <row r="450" spans="1:9" ht="14.25" customHeight="1" x14ac:dyDescent="0.3">
      <c r="A450" s="2">
        <v>449</v>
      </c>
      <c r="B450" s="3" t="s">
        <v>457</v>
      </c>
      <c r="C450" s="2" t="str">
        <f ca="1">IFERROR(__xludf.DUMMYFUNCTION("GOOGLETRANSLATE(B450, ""en"",""es"")"),"decisión")</f>
        <v>decisión</v>
      </c>
      <c r="D450" s="2" t="str">
        <f ca="1">IFERROR(__xludf.DUMMYFUNCTION("GOOGLETRANSLATE(B450,""en"",""ig"")"),"mkpebi")</f>
        <v>mkpebi</v>
      </c>
      <c r="E450" s="2" t="str">
        <f ca="1">IFERROR(__xludf.DUMMYFUNCTION("GOOGLETRANSLATE(B450,""en"",""fr"")"),"décision")</f>
        <v>décision</v>
      </c>
      <c r="F450" s="2" t="str">
        <f ca="1">IFERROR(__xludf.DUMMYFUNCTION("GOOGLETRANSLATE(B450,""en"",""it"")"),"decisione")</f>
        <v>decisione</v>
      </c>
      <c r="G450" s="2" t="str">
        <f ca="1">IFERROR(__xludf.DUMMYFUNCTION("GOOGLETRANSLATE(B450,""en"",""de"")"),"Entscheidung")</f>
        <v>Entscheidung</v>
      </c>
      <c r="H450" s="2" t="str">
        <f ca="1">IFERROR(__xludf.DUMMYFUNCTION("GOOGLETRANSLATE(B450,""en"",""zh"")"),"决定")</f>
        <v>决定</v>
      </c>
      <c r="I450" s="2" t="str">
        <f ca="1">IFERROR(__xludf.DUMMYFUNCTION("GOOGLETRANSLATE(B450,""en"",""gd"")"),"Co-dhùnadh")</f>
        <v>Co-dhùnadh</v>
      </c>
    </row>
    <row r="451" spans="1:9" ht="14.25" customHeight="1" x14ac:dyDescent="0.3">
      <c r="A451" s="2">
        <v>450</v>
      </c>
      <c r="B451" s="3" t="s">
        <v>458</v>
      </c>
      <c r="C451" s="2" t="str">
        <f ca="1">IFERROR(__xludf.DUMMYFUNCTION("GOOGLETRANSLATE(B451, ""en"",""es"")"),"mesa")</f>
        <v>mesa</v>
      </c>
      <c r="D451" s="2" t="str">
        <f ca="1">IFERROR(__xludf.DUMMYFUNCTION("GOOGLETRANSLATE(B451,""en"",""ig"")"),"okpokoro")</f>
        <v>okpokoro</v>
      </c>
      <c r="E451" s="2" t="str">
        <f ca="1">IFERROR(__xludf.DUMMYFUNCTION("GOOGLETRANSLATE(B451,""en"",""fr"")"),"tableau")</f>
        <v>tableau</v>
      </c>
      <c r="F451" s="2" t="str">
        <f ca="1">IFERROR(__xludf.DUMMYFUNCTION("GOOGLETRANSLATE(B451,""en"",""it"")"),"tavolo")</f>
        <v>tavolo</v>
      </c>
      <c r="G451" s="2" t="str">
        <f ca="1">IFERROR(__xludf.DUMMYFUNCTION("GOOGLETRANSLATE(B451,""en"",""de"")"),"Tisch")</f>
        <v>Tisch</v>
      </c>
      <c r="H451" s="2" t="str">
        <f ca="1">IFERROR(__xludf.DUMMYFUNCTION("GOOGLETRANSLATE(B451,""en"",""zh"")"),"桌子")</f>
        <v>桌子</v>
      </c>
      <c r="I451" s="2" t="str">
        <f ca="1">IFERROR(__xludf.DUMMYFUNCTION("GOOGLETRANSLATE(B451,""en"",""gd"")"),"Clàr")</f>
        <v>Clàr</v>
      </c>
    </row>
    <row r="452" spans="1:9" ht="14.25" customHeight="1" x14ac:dyDescent="0.3">
      <c r="A452" s="2">
        <v>451</v>
      </c>
      <c r="B452" s="3" t="s">
        <v>459</v>
      </c>
      <c r="C452" s="2" t="str">
        <f ca="1">IFERROR(__xludf.DUMMYFUNCTION("GOOGLETRANSLATE(B452, ""en"",""es"")"),"cierto")</f>
        <v>cierto</v>
      </c>
      <c r="D452" s="2" t="str">
        <f ca="1">IFERROR(__xludf.DUMMYFUNCTION("GOOGLETRANSLATE(B452,""en"",""ig"")"),"keamaaama")</f>
        <v>keamaaama</v>
      </c>
      <c r="E452" s="2" t="str">
        <f ca="1">IFERROR(__xludf.DUMMYFUNCTION("GOOGLETRANSLATE(B452,""en"",""fr"")"),"certain")</f>
        <v>certain</v>
      </c>
      <c r="F452" s="2" t="str">
        <f ca="1">IFERROR(__xludf.DUMMYFUNCTION("GOOGLETRANSLATE(B452,""en"",""it"")"),"certo")</f>
        <v>certo</v>
      </c>
      <c r="G452" s="2" t="str">
        <f ca="1">IFERROR(__xludf.DUMMYFUNCTION("GOOGLETRANSLATE(B452,""en"",""de"")"),"bestimmt")</f>
        <v>bestimmt</v>
      </c>
      <c r="H452" s="2" t="str">
        <f ca="1">IFERROR(__xludf.DUMMYFUNCTION("GOOGLETRANSLATE(B452,""en"",""zh"")"),"肯定")</f>
        <v>肯定</v>
      </c>
      <c r="I452" s="2" t="str">
        <f ca="1">IFERROR(__xludf.DUMMYFUNCTION("GOOGLETRANSLATE(B452,""en"",""gd"")"),"cinnteach")</f>
        <v>cinnteach</v>
      </c>
    </row>
    <row r="453" spans="1:9" ht="14.25" customHeight="1" x14ac:dyDescent="0.3">
      <c r="A453" s="2">
        <v>452</v>
      </c>
      <c r="B453" s="3" t="s">
        <v>460</v>
      </c>
      <c r="C453" s="2" t="str">
        <f ca="1">IFERROR(__xludf.DUMMYFUNCTION("GOOGLETRANSLATE(B453, ""en"",""es"")"),"adelante")</f>
        <v>adelante</v>
      </c>
      <c r="D453" s="2" t="str">
        <f ca="1">IFERROR(__xludf.DUMMYFUNCTION("GOOGLETRANSLATE(B453,""en"",""ig"")"),"n'ihu")</f>
        <v>n'ihu</v>
      </c>
      <c r="E453" s="2" t="str">
        <f ca="1">IFERROR(__xludf.DUMMYFUNCTION("GOOGLETRANSLATE(B453,""en"",""fr"")"),"avant")</f>
        <v>avant</v>
      </c>
      <c r="F453" s="2" t="str">
        <f ca="1">IFERROR(__xludf.DUMMYFUNCTION("GOOGLETRANSLATE(B453,""en"",""it"")"),"inoltrare")</f>
        <v>inoltrare</v>
      </c>
      <c r="G453" s="2" t="str">
        <f ca="1">IFERROR(__xludf.DUMMYFUNCTION("GOOGLETRANSLATE(B453,""en"",""de"")"),"nach vorne")</f>
        <v>nach vorne</v>
      </c>
      <c r="H453" s="2" t="str">
        <f ca="1">IFERROR(__xludf.DUMMYFUNCTION("GOOGLETRANSLATE(B453,""en"",""zh"")"),"向前")</f>
        <v>向前</v>
      </c>
      <c r="I453" s="2" t="str">
        <f ca="1">IFERROR(__xludf.DUMMYFUNCTION("GOOGLETRANSLATE(B453,""en"",""gd"")"),"air adhart")</f>
        <v>air adhart</v>
      </c>
    </row>
    <row r="454" spans="1:9" ht="14.25" customHeight="1" x14ac:dyDescent="0.3">
      <c r="A454" s="2">
        <v>453</v>
      </c>
      <c r="B454" s="3" t="s">
        <v>461</v>
      </c>
      <c r="C454" s="2" t="str">
        <f ca="1">IFERROR(__xludf.DUMMYFUNCTION("GOOGLETRANSLATE(B454, ""en"",""es"")"),"principal")</f>
        <v>principal</v>
      </c>
      <c r="D454" s="2" t="str">
        <f ca="1">IFERROR(__xludf.DUMMYFUNCTION("GOOGLETRANSLATE(B454,""en"",""ig"")"),"keisi")</f>
        <v>keisi</v>
      </c>
      <c r="E454" s="2" t="str">
        <f ca="1">IFERROR(__xludf.DUMMYFUNCTION("GOOGLETRANSLATE(B454,""en"",""fr"")"),"principal")</f>
        <v>principal</v>
      </c>
      <c r="F454" s="2" t="str">
        <f ca="1">IFERROR(__xludf.DUMMYFUNCTION("GOOGLETRANSLATE(B454,""en"",""it"")"),"principale")</f>
        <v>principale</v>
      </c>
      <c r="G454" s="2" t="str">
        <f ca="1">IFERROR(__xludf.DUMMYFUNCTION("GOOGLETRANSLATE(B454,""en"",""de"")"),"hauptsächlich")</f>
        <v>hauptsächlich</v>
      </c>
      <c r="H454" s="2" t="str">
        <f ca="1">IFERROR(__xludf.DUMMYFUNCTION("GOOGLETRANSLATE(B454,""en"",""zh"")"),"主要的")</f>
        <v>主要的</v>
      </c>
      <c r="I454" s="2" t="str">
        <f ca="1">IFERROR(__xludf.DUMMYFUNCTION("GOOGLETRANSLATE(B454,""en"",""gd"")"),"Prìomh")</f>
        <v>Prìomh</v>
      </c>
    </row>
    <row r="455" spans="1:9" ht="14.25" customHeight="1" x14ac:dyDescent="0.3">
      <c r="A455" s="2">
        <v>454</v>
      </c>
      <c r="B455" s="3" t="s">
        <v>462</v>
      </c>
      <c r="C455" s="2" t="str">
        <f ca="1">IFERROR(__xludf.DUMMYFUNCTION("GOOGLETRANSLATE(B455, ""en"",""es"")"),"morir")</f>
        <v>morir</v>
      </c>
      <c r="D455" s="2" t="str">
        <f ca="1">IFERROR(__xludf.DUMMYFUNCTION("GOOGLETRANSLATE(B455,""en"",""ig"")"),"inwu")</f>
        <v>inwu</v>
      </c>
      <c r="E455" s="2" t="str">
        <f ca="1">IFERROR(__xludf.DUMMYFUNCTION("GOOGLETRANSLATE(B455,""en"",""fr"")"),"mourir")</f>
        <v>mourir</v>
      </c>
      <c r="F455" s="2" t="str">
        <f ca="1">IFERROR(__xludf.DUMMYFUNCTION("GOOGLETRANSLATE(B455,""en"",""it"")"),"morire")</f>
        <v>morire</v>
      </c>
      <c r="G455" s="2" t="str">
        <f ca="1">IFERROR(__xludf.DUMMYFUNCTION("GOOGLETRANSLATE(B455,""en"",""de"")"),"sterben")</f>
        <v>sterben</v>
      </c>
      <c r="H455" s="2" t="str">
        <f ca="1">IFERROR(__xludf.DUMMYFUNCTION("GOOGLETRANSLATE(B455,""en"",""zh"")"),"死")</f>
        <v>死</v>
      </c>
      <c r="I455" s="2" t="str">
        <f ca="1">IFERROR(__xludf.DUMMYFUNCTION("GOOGLETRANSLATE(B455,""en"",""gd"")"),"bàsachadh")</f>
        <v>bàsachadh</v>
      </c>
    </row>
    <row r="456" spans="1:9" ht="14.25" customHeight="1" x14ac:dyDescent="0.3">
      <c r="A456" s="2">
        <v>455</v>
      </c>
      <c r="B456" s="3" t="s">
        <v>463</v>
      </c>
      <c r="C456" s="2" t="str">
        <f ca="1">IFERROR(__xludf.DUMMYFUNCTION("GOOGLETRANSLATE(B456, ""en"",""es"")"),"oso")</f>
        <v>oso</v>
      </c>
      <c r="D456" s="2" t="str">
        <f ca="1">IFERROR(__xludf.DUMMYFUNCTION("GOOGLETRANSLATE(B456,""en"",""ig"")"),"biya")</f>
        <v>biya</v>
      </c>
      <c r="E456" s="2" t="str">
        <f ca="1">IFERROR(__xludf.DUMMYFUNCTION("GOOGLETRANSLATE(B456,""en"",""fr"")"),"ours")</f>
        <v>ours</v>
      </c>
      <c r="F456" s="2" t="str">
        <f ca="1">IFERROR(__xludf.DUMMYFUNCTION("GOOGLETRANSLATE(B456,""en"",""it"")"),"orso")</f>
        <v>orso</v>
      </c>
      <c r="G456" s="2" t="str">
        <f ca="1">IFERROR(__xludf.DUMMYFUNCTION("GOOGLETRANSLATE(B456,""en"",""de"")"),"tragen")</f>
        <v>tragen</v>
      </c>
      <c r="H456" s="2" t="str">
        <f ca="1">IFERROR(__xludf.DUMMYFUNCTION("GOOGLETRANSLATE(B456,""en"",""zh"")"),"熊")</f>
        <v>熊</v>
      </c>
      <c r="I456" s="2" t="str">
        <f ca="1">IFERROR(__xludf.DUMMYFUNCTION("GOOGLETRANSLATE(B456,""en"",""gd"")"),"mathan")</f>
        <v>mathan</v>
      </c>
    </row>
    <row r="457" spans="1:9" ht="14.25" customHeight="1" x14ac:dyDescent="0.3">
      <c r="A457" s="2">
        <v>456</v>
      </c>
      <c r="B457" s="3" t="s">
        <v>464</v>
      </c>
      <c r="C457" s="2" t="str">
        <f ca="1">IFERROR(__xludf.DUMMYFUNCTION("GOOGLETRANSLATE(B457, ""en"",""es"")"),"cortar")</f>
        <v>cortar</v>
      </c>
      <c r="D457" s="2" t="str">
        <f ca="1">IFERROR(__xludf.DUMMYFUNCTION("GOOGLETRANSLATE(B457,""en"",""ig"")"),"igbuji")</f>
        <v>igbuji</v>
      </c>
      <c r="E457" s="2" t="str">
        <f ca="1">IFERROR(__xludf.DUMMYFUNCTION("GOOGLETRANSLATE(B457,""en"",""fr"")"),"couper")</f>
        <v>couper</v>
      </c>
      <c r="F457" s="2" t="str">
        <f ca="1">IFERROR(__xludf.DUMMYFUNCTION("GOOGLETRANSLATE(B457,""en"",""it"")"),"taglio")</f>
        <v>taglio</v>
      </c>
      <c r="G457" s="2" t="str">
        <f ca="1">IFERROR(__xludf.DUMMYFUNCTION("GOOGLETRANSLATE(B457,""en"",""de"")"),"schneiden")</f>
        <v>schneiden</v>
      </c>
      <c r="H457" s="2" t="str">
        <f ca="1">IFERROR(__xludf.DUMMYFUNCTION("GOOGLETRANSLATE(B457,""en"",""zh"")"),"切")</f>
        <v>切</v>
      </c>
      <c r="I457" s="2" t="str">
        <f ca="1">IFERROR(__xludf.DUMMYFUNCTION("GOOGLETRANSLATE(B457,""en"",""gd"")"),"gearradh")</f>
        <v>gearradh</v>
      </c>
    </row>
    <row r="458" spans="1:9" ht="14.25" customHeight="1" x14ac:dyDescent="0.3">
      <c r="A458" s="2">
        <v>457</v>
      </c>
      <c r="B458" s="3" t="s">
        <v>465</v>
      </c>
      <c r="C458" s="2" t="str">
        <f ca="1">IFERROR(__xludf.DUMMYFUNCTION("GOOGLETRANSLATE(B458, ""en"",""es"")"),"describir")</f>
        <v>describir</v>
      </c>
      <c r="D458" s="2" t="str">
        <f ca="1">IFERROR(__xludf.DUMMYFUNCTION("GOOGLETRANSLATE(B458,""en"",""ig"")"),"ikowa")</f>
        <v>ikowa</v>
      </c>
      <c r="E458" s="2" t="str">
        <f ca="1">IFERROR(__xludf.DUMMYFUNCTION("GOOGLETRANSLATE(B458,""en"",""fr"")"),"décrire")</f>
        <v>décrire</v>
      </c>
      <c r="F458" s="2" t="str">
        <f ca="1">IFERROR(__xludf.DUMMYFUNCTION("GOOGLETRANSLATE(B458,""en"",""it"")"),"descrivere")</f>
        <v>descrivere</v>
      </c>
      <c r="G458" s="2" t="str">
        <f ca="1">IFERROR(__xludf.DUMMYFUNCTION("GOOGLETRANSLATE(B458,""en"",""de"")"),"beschreiben")</f>
        <v>beschreiben</v>
      </c>
      <c r="H458" s="2" t="str">
        <f ca="1">IFERROR(__xludf.DUMMYFUNCTION("GOOGLETRANSLATE(B458,""en"",""zh"")"),"描述")</f>
        <v>描述</v>
      </c>
      <c r="I458" s="2" t="str">
        <f ca="1">IFERROR(__xludf.DUMMYFUNCTION("GOOGLETRANSLATE(B458,""en"",""gd"")"),"thoir cunntas")</f>
        <v>thoir cunntas</v>
      </c>
    </row>
    <row r="459" spans="1:9" ht="14.25" customHeight="1" x14ac:dyDescent="0.3">
      <c r="A459" s="2">
        <v>458</v>
      </c>
      <c r="B459" s="3" t="s">
        <v>466</v>
      </c>
      <c r="C459" s="2" t="str">
        <f ca="1">IFERROR(__xludf.DUMMYFUNCTION("GOOGLETRANSLATE(B459, ""en"",""es"")"),"él mismo")</f>
        <v>él mismo</v>
      </c>
      <c r="D459" s="2" t="str">
        <f ca="1">IFERROR(__xludf.DUMMYFUNCTION("GOOGLETRANSLATE(B459,""en"",""ig"")"),"onwegh")</f>
        <v>onwegh</v>
      </c>
      <c r="E459" s="2" t="str">
        <f ca="1">IFERROR(__xludf.DUMMYFUNCTION("GOOGLETRANSLATE(B459,""en"",""fr"")"),"lui-même")</f>
        <v>lui-même</v>
      </c>
      <c r="F459" s="2" t="str">
        <f ca="1">IFERROR(__xludf.DUMMYFUNCTION("GOOGLETRANSLATE(B459,""en"",""it"")"),"lui stesso")</f>
        <v>lui stesso</v>
      </c>
      <c r="G459" s="2" t="str">
        <f ca="1">IFERROR(__xludf.DUMMYFUNCTION("GOOGLETRANSLATE(B459,""en"",""de"")"),"sich selbst")</f>
        <v>sich selbst</v>
      </c>
      <c r="H459" s="2" t="str">
        <f ca="1">IFERROR(__xludf.DUMMYFUNCTION("GOOGLETRANSLATE(B459,""en"",""zh"")"),"他自己")</f>
        <v>他自己</v>
      </c>
      <c r="I459" s="2" t="str">
        <f ca="1">IFERROR(__xludf.DUMMYFUNCTION("GOOGLETRANSLATE(B459,""en"",""gd"")"),"e fhèin")</f>
        <v>e fhèin</v>
      </c>
    </row>
    <row r="460" spans="1:9" ht="14.25" customHeight="1" x14ac:dyDescent="0.3">
      <c r="A460" s="2">
        <v>459</v>
      </c>
      <c r="B460" s="3" t="s">
        <v>467</v>
      </c>
      <c r="C460" s="2" t="str">
        <f ca="1">IFERROR(__xludf.DUMMYFUNCTION("GOOGLETRANSLATE(B460, ""en"",""es"")"),"disponible")</f>
        <v>disponible</v>
      </c>
      <c r="D460" s="2" t="str">
        <f ca="1">IFERROR(__xludf.DUMMYFUNCTION("GOOGLETRANSLATE(B460,""en"",""ig"")"),"kediadi")</f>
        <v>kediadi</v>
      </c>
      <c r="E460" s="2" t="str">
        <f ca="1">IFERROR(__xludf.DUMMYFUNCTION("GOOGLETRANSLATE(B460,""en"",""fr"")"),"disponible")</f>
        <v>disponible</v>
      </c>
      <c r="F460" s="2" t="str">
        <f ca="1">IFERROR(__xludf.DUMMYFUNCTION("GOOGLETRANSLATE(B460,""en"",""it"")"),"disponibile")</f>
        <v>disponibile</v>
      </c>
      <c r="G460" s="2" t="str">
        <f ca="1">IFERROR(__xludf.DUMMYFUNCTION("GOOGLETRANSLATE(B460,""en"",""de"")"),"verfügbar")</f>
        <v>verfügbar</v>
      </c>
      <c r="H460" s="2" t="str">
        <f ca="1">IFERROR(__xludf.DUMMYFUNCTION("GOOGLETRANSLATE(B460,""en"",""zh"")"),"可用的")</f>
        <v>可用的</v>
      </c>
      <c r="I460" s="2" t="str">
        <f ca="1">IFERROR(__xludf.DUMMYFUNCTION("GOOGLETRANSLATE(B460,""en"",""gd"")"),"ri fhaighinn")</f>
        <v>ri fhaighinn</v>
      </c>
    </row>
    <row r="461" spans="1:9" ht="14.25" customHeight="1" x14ac:dyDescent="0.3">
      <c r="A461" s="2">
        <v>460</v>
      </c>
      <c r="B461" s="3" t="s">
        <v>468</v>
      </c>
      <c r="C461" s="2" t="str">
        <f ca="1">IFERROR(__xludf.DUMMYFUNCTION("GOOGLETRANSLATE(B461, ""en"",""es"")"),"especialmente")</f>
        <v>especialmente</v>
      </c>
      <c r="D461" s="2" t="str">
        <f ca="1">IFERROR(__xludf.DUMMYFUNCTION("GOOGLETRANSLATE(B461,""en"",""ig"")"),"tumadu")</f>
        <v>tumadu</v>
      </c>
      <c r="E461" s="2" t="str">
        <f ca="1">IFERROR(__xludf.DUMMYFUNCTION("GOOGLETRANSLATE(B461,""en"",""fr"")"),"en particulier")</f>
        <v>en particulier</v>
      </c>
      <c r="F461" s="2" t="str">
        <f ca="1">IFERROR(__xludf.DUMMYFUNCTION("GOOGLETRANSLATE(B461,""en"",""it"")"),"particolarmente")</f>
        <v>particolarmente</v>
      </c>
      <c r="G461" s="2" t="str">
        <f ca="1">IFERROR(__xludf.DUMMYFUNCTION("GOOGLETRANSLATE(B461,""en"",""de"")"),"besonders")</f>
        <v>besonders</v>
      </c>
      <c r="H461" s="2" t="str">
        <f ca="1">IFERROR(__xludf.DUMMYFUNCTION("GOOGLETRANSLATE(B461,""en"",""zh"")"),"尤其")</f>
        <v>尤其</v>
      </c>
      <c r="I461" s="2" t="str">
        <f ca="1">IFERROR(__xludf.DUMMYFUNCTION("GOOGLETRANSLATE(B461,""en"",""gd"")"),"gu sònraichte")</f>
        <v>gu sònraichte</v>
      </c>
    </row>
    <row r="462" spans="1:9" ht="14.25" customHeight="1" x14ac:dyDescent="0.3">
      <c r="A462" s="2">
        <v>461</v>
      </c>
      <c r="B462" s="3" t="s">
        <v>469</v>
      </c>
      <c r="C462" s="2" t="str">
        <f ca="1">IFERROR(__xludf.DUMMYFUNCTION("GOOGLETRANSLATE(B462, ""en"",""es"")"),"fuerte")</f>
        <v>fuerte</v>
      </c>
      <c r="D462" s="2" t="str">
        <f ca="1">IFERROR(__xludf.DUMMYFUNCTION("GOOGLETRANSLATE(B462,""en"",""ig"")"),"ike")</f>
        <v>ike</v>
      </c>
      <c r="E462" s="2" t="str">
        <f ca="1">IFERROR(__xludf.DUMMYFUNCTION("GOOGLETRANSLATE(B462,""en"",""fr"")"),"fort")</f>
        <v>fort</v>
      </c>
      <c r="F462" s="2" t="str">
        <f ca="1">IFERROR(__xludf.DUMMYFUNCTION("GOOGLETRANSLATE(B462,""en"",""it"")"),"forte")</f>
        <v>forte</v>
      </c>
      <c r="G462" s="2" t="str">
        <f ca="1">IFERROR(__xludf.DUMMYFUNCTION("GOOGLETRANSLATE(B462,""en"",""de"")"),"stark")</f>
        <v>stark</v>
      </c>
      <c r="H462" s="2" t="str">
        <f ca="1">IFERROR(__xludf.DUMMYFUNCTION("GOOGLETRANSLATE(B462,""en"",""zh"")"),"强的")</f>
        <v>强的</v>
      </c>
      <c r="I462" s="2" t="str">
        <f ca="1">IFERROR(__xludf.DUMMYFUNCTION("GOOGLETRANSLATE(B462,""en"",""gd"")"),"làidir")</f>
        <v>làidir</v>
      </c>
    </row>
    <row r="463" spans="1:9" ht="14.25" customHeight="1" x14ac:dyDescent="0.3">
      <c r="A463" s="2">
        <v>462</v>
      </c>
      <c r="B463" s="3" t="s">
        <v>470</v>
      </c>
      <c r="C463" s="2" t="str">
        <f ca="1">IFERROR(__xludf.DUMMYFUNCTION("GOOGLETRANSLATE(B463, ""en"",""es"")"),"elevar")</f>
        <v>elevar</v>
      </c>
      <c r="D463" s="2" t="str">
        <f ca="1">IFERROR(__xludf.DUMMYFUNCTION("GOOGLETRANSLATE(B463,""en"",""ig"")"),"ibili")</f>
        <v>ibili</v>
      </c>
      <c r="E463" s="2" t="str">
        <f ca="1">IFERROR(__xludf.DUMMYFUNCTION("GOOGLETRANSLATE(B463,""en"",""fr"")"),"augmenter")</f>
        <v>augmenter</v>
      </c>
      <c r="F463" s="2" t="str">
        <f ca="1">IFERROR(__xludf.DUMMYFUNCTION("GOOGLETRANSLATE(B463,""en"",""it"")"),"salita")</f>
        <v>salita</v>
      </c>
      <c r="G463" s="2" t="str">
        <f ca="1">IFERROR(__xludf.DUMMYFUNCTION("GOOGLETRANSLATE(B463,""en"",""de"")"),"erheben")</f>
        <v>erheben</v>
      </c>
      <c r="H463" s="2" t="str">
        <f ca="1">IFERROR(__xludf.DUMMYFUNCTION("GOOGLETRANSLATE(B463,""en"",""zh"")"),"上升")</f>
        <v>上升</v>
      </c>
      <c r="I463" s="2" t="str">
        <f ca="1">IFERROR(__xludf.DUMMYFUNCTION("GOOGLETRANSLATE(B463,""en"",""gd"")"),"èirich")</f>
        <v>èirich</v>
      </c>
    </row>
    <row r="464" spans="1:9" ht="14.25" customHeight="1" x14ac:dyDescent="0.3">
      <c r="A464" s="2">
        <v>463</v>
      </c>
      <c r="B464" s="3" t="s">
        <v>471</v>
      </c>
      <c r="C464" s="2" t="str">
        <f ca="1">IFERROR(__xludf.DUMMYFUNCTION("GOOGLETRANSLATE(B464, ""en"",""es"")"),"chica")</f>
        <v>chica</v>
      </c>
      <c r="D464" s="2" t="str">
        <f ca="1">IFERROR(__xludf.DUMMYFUNCTION("GOOGLETRANSLATE(B464,""en"",""ig"")"),"nwata nwaanyi")</f>
        <v>nwata nwaanyi</v>
      </c>
      <c r="E464" s="2" t="str">
        <f ca="1">IFERROR(__xludf.DUMMYFUNCTION("GOOGLETRANSLATE(B464,""en"",""fr"")"),"fille")</f>
        <v>fille</v>
      </c>
      <c r="F464" s="2" t="str">
        <f ca="1">IFERROR(__xludf.DUMMYFUNCTION("GOOGLETRANSLATE(B464,""en"",""it"")"),"ragazza")</f>
        <v>ragazza</v>
      </c>
      <c r="G464" s="2" t="str">
        <f ca="1">IFERROR(__xludf.DUMMYFUNCTION("GOOGLETRANSLATE(B464,""en"",""de"")"),"Mädchen")</f>
        <v>Mädchen</v>
      </c>
      <c r="H464" s="2" t="str">
        <f ca="1">IFERROR(__xludf.DUMMYFUNCTION("GOOGLETRANSLATE(B464,""en"",""zh"")"),"女孩")</f>
        <v>女孩</v>
      </c>
      <c r="I464" s="2" t="str">
        <f ca="1">IFERROR(__xludf.DUMMYFUNCTION("GOOGLETRANSLATE(B464,""en"",""gd"")"),"Nighean")</f>
        <v>Nighean</v>
      </c>
    </row>
    <row r="465" spans="1:9" ht="14.25" customHeight="1" x14ac:dyDescent="0.3">
      <c r="A465" s="2">
        <v>464</v>
      </c>
      <c r="B465" s="3" t="s">
        <v>472</v>
      </c>
      <c r="C465" s="2" t="str">
        <f ca="1">IFERROR(__xludf.DUMMYFUNCTION("GOOGLETRANSLATE(B465, ""en"",""es"")"),"tal vez")</f>
        <v>tal vez</v>
      </c>
      <c r="D465" s="2" t="str">
        <f ca="1">IFERROR(__xludf.DUMMYFUNCTION("GOOGLETRANSLATE(B465,""en"",""ig"")"),"enwere ike")</f>
        <v>enwere ike</v>
      </c>
      <c r="E465" s="2" t="str">
        <f ca="1">IFERROR(__xludf.DUMMYFUNCTION("GOOGLETRANSLATE(B465,""en"",""fr"")"),"peut être")</f>
        <v>peut être</v>
      </c>
      <c r="F465" s="2" t="str">
        <f ca="1">IFERROR(__xludf.DUMMYFUNCTION("GOOGLETRANSLATE(B465,""en"",""it"")"),"Forse")</f>
        <v>Forse</v>
      </c>
      <c r="G465" s="2" t="str">
        <f ca="1">IFERROR(__xludf.DUMMYFUNCTION("GOOGLETRANSLATE(B465,""en"",""de"")"),"Vielleicht")</f>
        <v>Vielleicht</v>
      </c>
      <c r="H465" s="2" t="str">
        <f ca="1">IFERROR(__xludf.DUMMYFUNCTION("GOOGLETRANSLATE(B465,""en"",""zh"")"),"或许")</f>
        <v>或许</v>
      </c>
      <c r="I465" s="2" t="str">
        <f ca="1">IFERROR(__xludf.DUMMYFUNCTION("GOOGLETRANSLATE(B465,""en"",""gd"")"),"is dòcha")</f>
        <v>is dòcha</v>
      </c>
    </row>
    <row r="466" spans="1:9" ht="14.25" customHeight="1" x14ac:dyDescent="0.3">
      <c r="A466" s="2">
        <v>465</v>
      </c>
      <c r="B466" s="3" t="s">
        <v>473</v>
      </c>
      <c r="C466" s="2" t="str">
        <f ca="1">IFERROR(__xludf.DUMMYFUNCTION("GOOGLETRANSLATE(B466, ""en"",""es"")"),"comunidad")</f>
        <v>comunidad</v>
      </c>
      <c r="D466" s="2" t="str">
        <f ca="1">IFERROR(__xludf.DUMMYFUNCTION("GOOGLETRANSLATE(B466,""en"",""ig"")"),"obodo")</f>
        <v>obodo</v>
      </c>
      <c r="E466" s="2" t="str">
        <f ca="1">IFERROR(__xludf.DUMMYFUNCTION("GOOGLETRANSLATE(B466,""en"",""fr"")"),"communauté")</f>
        <v>communauté</v>
      </c>
      <c r="F466" s="2" t="str">
        <f ca="1">IFERROR(__xludf.DUMMYFUNCTION("GOOGLETRANSLATE(B466,""en"",""it"")"),"Comunità")</f>
        <v>Comunità</v>
      </c>
      <c r="G466" s="2" t="str">
        <f ca="1">IFERROR(__xludf.DUMMYFUNCTION("GOOGLETRANSLATE(B466,""en"",""de"")"),"Gemeinschaft")</f>
        <v>Gemeinschaft</v>
      </c>
      <c r="H466" s="2" t="str">
        <f ca="1">IFERROR(__xludf.DUMMYFUNCTION("GOOGLETRANSLATE(B466,""en"",""zh"")"),"社区")</f>
        <v>社区</v>
      </c>
      <c r="I466" s="2" t="str">
        <f ca="1">IFERROR(__xludf.DUMMYFUNCTION("GOOGLETRANSLATE(B466,""en"",""gd"")"),"Coimhearsnachd")</f>
        <v>Coimhearsnachd</v>
      </c>
    </row>
    <row r="467" spans="1:9" ht="14.25" customHeight="1" x14ac:dyDescent="0.3">
      <c r="A467" s="2">
        <v>466</v>
      </c>
      <c r="B467" s="3" t="s">
        <v>474</v>
      </c>
      <c r="C467" s="2" t="str">
        <f ca="1">IFERROR(__xludf.DUMMYFUNCTION("GOOGLETRANSLATE(B467, ""en"",""es"")"),"demás")</f>
        <v>demás</v>
      </c>
      <c r="D467" s="2" t="str">
        <f ca="1">IFERROR(__xludf.DUMMYFUNCTION("GOOGLETRANSLATE(B467,""en"",""ig"")"),"ozo")</f>
        <v>ozo</v>
      </c>
      <c r="E467" s="2" t="str">
        <f ca="1">IFERROR(__xludf.DUMMYFUNCTION("GOOGLETRANSLATE(B467,""en"",""fr"")"),"autre")</f>
        <v>autre</v>
      </c>
      <c r="F467" s="2" t="str">
        <f ca="1">IFERROR(__xludf.DUMMYFUNCTION("GOOGLETRANSLATE(B467,""en"",""it"")"),"altro")</f>
        <v>altro</v>
      </c>
      <c r="G467" s="2" t="str">
        <f ca="1">IFERROR(__xludf.DUMMYFUNCTION("GOOGLETRANSLATE(B467,""en"",""de"")"),"anders")</f>
        <v>anders</v>
      </c>
      <c r="H467" s="2" t="str">
        <f ca="1">IFERROR(__xludf.DUMMYFUNCTION("GOOGLETRANSLATE(B467,""en"",""zh"")"),"别的")</f>
        <v>别的</v>
      </c>
      <c r="I467" s="2" t="str">
        <f ca="1">IFERROR(__xludf.DUMMYFUNCTION("GOOGLETRANSLATE(B467,""en"",""gd"")"),"eile")</f>
        <v>eile</v>
      </c>
    </row>
    <row r="468" spans="1:9" ht="14.25" customHeight="1" x14ac:dyDescent="0.3">
      <c r="A468" s="2">
        <v>467</v>
      </c>
      <c r="B468" s="3" t="s">
        <v>475</v>
      </c>
      <c r="C468" s="2" t="str">
        <f ca="1">IFERROR(__xludf.DUMMYFUNCTION("GOOGLETRANSLATE(B468, ""en"",""es"")"),"particular")</f>
        <v>particular</v>
      </c>
      <c r="D468" s="2" t="str">
        <f ca="1">IFERROR(__xludf.DUMMYFUNCTION("GOOGLETRANSLATE(B468,""en"",""ig"")"),"igbaiche")</f>
        <v>igbaiche</v>
      </c>
      <c r="E468" s="2" t="str">
        <f ca="1">IFERROR(__xludf.DUMMYFUNCTION("GOOGLETRANSLATE(B468,""en"",""fr"")"),"particulier")</f>
        <v>particulier</v>
      </c>
      <c r="F468" s="2" t="str">
        <f ca="1">IFERROR(__xludf.DUMMYFUNCTION("GOOGLETRANSLATE(B468,""en"",""it"")"),"particolare")</f>
        <v>particolare</v>
      </c>
      <c r="G468" s="2" t="str">
        <f ca="1">IFERROR(__xludf.DUMMYFUNCTION("GOOGLETRANSLATE(B468,""en"",""de"")"),"besondere")</f>
        <v>besondere</v>
      </c>
      <c r="H468" s="2" t="str">
        <f ca="1">IFERROR(__xludf.DUMMYFUNCTION("GOOGLETRANSLATE(B468,""en"",""zh"")"),"特别的")</f>
        <v>特别的</v>
      </c>
      <c r="I468" s="2" t="str">
        <f ca="1">IFERROR(__xludf.DUMMYFUNCTION("GOOGLETRANSLATE(B468,""en"",""gd"")"),"sònraichte")</f>
        <v>sònraichte</v>
      </c>
    </row>
    <row r="469" spans="1:9" ht="14.25" customHeight="1" x14ac:dyDescent="0.3">
      <c r="A469" s="2">
        <v>468</v>
      </c>
      <c r="B469" s="3" t="s">
        <v>476</v>
      </c>
      <c r="C469" s="2" t="str">
        <f ca="1">IFERROR(__xludf.DUMMYFUNCTION("GOOGLETRANSLATE(B469, ""en"",""es"")"),"role")</f>
        <v>role</v>
      </c>
      <c r="D469" s="2" t="str">
        <f ca="1">IFERROR(__xludf.DUMMYFUNCTION("GOOGLETRANSLATE(B469,""en"",""ig"")"),"oru")</f>
        <v>oru</v>
      </c>
      <c r="E469" s="2" t="str">
        <f ca="1">IFERROR(__xludf.DUMMYFUNCTION("GOOGLETRANSLATE(B469,""en"",""fr"")"),"rôle")</f>
        <v>rôle</v>
      </c>
      <c r="F469" s="2" t="str">
        <f ca="1">IFERROR(__xludf.DUMMYFUNCTION("GOOGLETRANSLATE(B469,""en"",""it"")"),"ruolo")</f>
        <v>ruolo</v>
      </c>
      <c r="G469" s="2" t="str">
        <f ca="1">IFERROR(__xludf.DUMMYFUNCTION("GOOGLETRANSLATE(B469,""en"",""de"")"),"Rolle")</f>
        <v>Rolle</v>
      </c>
      <c r="H469" s="2" t="str">
        <f ca="1">IFERROR(__xludf.DUMMYFUNCTION("GOOGLETRANSLATE(B469,""en"",""zh"")"),"角色")</f>
        <v>角色</v>
      </c>
      <c r="I469" s="2" t="str">
        <f ca="1">IFERROR(__xludf.DUMMYFUNCTION("GOOGLETRANSLATE(B469,""en"",""gd"")"),"Dreuchd")</f>
        <v>Dreuchd</v>
      </c>
    </row>
    <row r="470" spans="1:9" ht="14.25" customHeight="1" x14ac:dyDescent="0.3">
      <c r="A470" s="2">
        <v>469</v>
      </c>
      <c r="B470" s="3" t="s">
        <v>477</v>
      </c>
      <c r="C470" s="2" t="str">
        <f ca="1">IFERROR(__xludf.DUMMYFUNCTION("GOOGLETRANSLATE(B470, ""en"",""es"")"),"unirse")</f>
        <v>unirse</v>
      </c>
      <c r="D470" s="2" t="str">
        <f ca="1">IFERROR(__xludf.DUMMYFUNCTION("GOOGLETRANSLATE(B470,""en"",""ig"")"),"iso")</f>
        <v>iso</v>
      </c>
      <c r="E470" s="2" t="str">
        <f ca="1">IFERROR(__xludf.DUMMYFUNCTION("GOOGLETRANSLATE(B470,""en"",""fr"")"),"rejoindre")</f>
        <v>rejoindre</v>
      </c>
      <c r="F470" s="2" t="str">
        <f ca="1">IFERROR(__xludf.DUMMYFUNCTION("GOOGLETRANSLATE(B470,""en"",""it"")"),"giuntura")</f>
        <v>giuntura</v>
      </c>
      <c r="G470" s="2" t="str">
        <f ca="1">IFERROR(__xludf.DUMMYFUNCTION("GOOGLETRANSLATE(B470,""en"",""de"")"),"verbinden")</f>
        <v>verbinden</v>
      </c>
      <c r="H470" s="2" t="str">
        <f ca="1">IFERROR(__xludf.DUMMYFUNCTION("GOOGLETRANSLATE(B470,""en"",""zh"")"),"加入")</f>
        <v>加入</v>
      </c>
      <c r="I470" s="2" t="str">
        <f ca="1">IFERROR(__xludf.DUMMYFUNCTION("GOOGLETRANSLATE(B470,""en"",""gd"")"),"Thig còmhla")</f>
        <v>Thig còmhla</v>
      </c>
    </row>
    <row r="471" spans="1:9" ht="14.25" customHeight="1" x14ac:dyDescent="0.3">
      <c r="A471" s="2">
        <v>470</v>
      </c>
      <c r="B471" s="3" t="s">
        <v>478</v>
      </c>
      <c r="C471" s="2" t="str">
        <f ca="1">IFERROR(__xludf.DUMMYFUNCTION("GOOGLETRANSLATE(B471, ""en"",""es"")"),"difícil")</f>
        <v>difícil</v>
      </c>
      <c r="D471" s="2" t="str">
        <f ca="1">IFERROR(__xludf.DUMMYFUNCTION("GOOGLETRANSLATE(B471,""en"",""ig"")"),"isiike")</f>
        <v>isiike</v>
      </c>
      <c r="E471" s="2" t="str">
        <f ca="1">IFERROR(__xludf.DUMMYFUNCTION("GOOGLETRANSLATE(B471,""en"",""fr"")"),"difficile")</f>
        <v>difficile</v>
      </c>
      <c r="F471" s="2" t="str">
        <f ca="1">IFERROR(__xludf.DUMMYFUNCTION("GOOGLETRANSLATE(B471,""en"",""it"")"),"difficile")</f>
        <v>difficile</v>
      </c>
      <c r="G471" s="2" t="str">
        <f ca="1">IFERROR(__xludf.DUMMYFUNCTION("GOOGLETRANSLATE(B471,""en"",""de"")"),"schwierig")</f>
        <v>schwierig</v>
      </c>
      <c r="H471" s="2" t="str">
        <f ca="1">IFERROR(__xludf.DUMMYFUNCTION("GOOGLETRANSLATE(B471,""en"",""zh"")"),"难的")</f>
        <v>难的</v>
      </c>
      <c r="I471" s="2" t="str">
        <f ca="1">IFERROR(__xludf.DUMMYFUNCTION("GOOGLETRANSLATE(B471,""en"",""gd"")"),"duilich")</f>
        <v>duilich</v>
      </c>
    </row>
    <row r="472" spans="1:9" ht="14.25" customHeight="1" x14ac:dyDescent="0.3">
      <c r="A472" s="2">
        <v>471</v>
      </c>
      <c r="B472" s="3" t="s">
        <v>479</v>
      </c>
      <c r="C472" s="2" t="str">
        <f ca="1">IFERROR(__xludf.DUMMYFUNCTION("GOOGLETRANSLATE(B472, ""en"",""es"")"),"por favor")</f>
        <v>por favor</v>
      </c>
      <c r="D472" s="2" t="str">
        <f ca="1">IFERROR(__xludf.DUMMYFUNCTION("GOOGLETRANSLATE(B472,""en"",""ig"")"),"Biko")</f>
        <v>Biko</v>
      </c>
      <c r="E472" s="2" t="str">
        <f ca="1">IFERROR(__xludf.DUMMYFUNCTION("GOOGLETRANSLATE(B472,""en"",""fr"")"),"s'il te plaît")</f>
        <v>s'il te plaît</v>
      </c>
      <c r="F472" s="2" t="str">
        <f ca="1">IFERROR(__xludf.DUMMYFUNCTION("GOOGLETRANSLATE(B472,""en"",""it"")"),"Per favore")</f>
        <v>Per favore</v>
      </c>
      <c r="G472" s="2" t="str">
        <f ca="1">IFERROR(__xludf.DUMMYFUNCTION("GOOGLETRANSLATE(B472,""en"",""de"")"),"Bitte")</f>
        <v>Bitte</v>
      </c>
      <c r="H472" s="2" t="str">
        <f ca="1">IFERROR(__xludf.DUMMYFUNCTION("GOOGLETRANSLATE(B472,""en"",""zh"")"),"请")</f>
        <v>请</v>
      </c>
      <c r="I472" s="2" t="str">
        <f ca="1">IFERROR(__xludf.DUMMYFUNCTION("GOOGLETRANSLATE(B472,""en"",""gd"")"),"mas e do thoil e")</f>
        <v>mas e do thoil e</v>
      </c>
    </row>
    <row r="473" spans="1:9" ht="14.25" customHeight="1" x14ac:dyDescent="0.3">
      <c r="A473" s="2">
        <v>472</v>
      </c>
      <c r="B473" s="3" t="s">
        <v>480</v>
      </c>
      <c r="C473" s="2" t="str">
        <f ca="1">IFERROR(__xludf.DUMMYFUNCTION("GOOGLETRANSLATE(B473, ""en"",""es"")"),"detalle")</f>
        <v>detalle</v>
      </c>
      <c r="D473" s="2" t="str">
        <f ca="1">IFERROR(__xludf.DUMMYFUNCTION("GOOGLETRANSLATE(B473,""en"",""ig"")"),"nju")</f>
        <v>nju</v>
      </c>
      <c r="E473" s="2" t="str">
        <f ca="1">IFERROR(__xludf.DUMMYFUNCTION("GOOGLETRANSLATE(B473,""en"",""fr"")"),"détail")</f>
        <v>détail</v>
      </c>
      <c r="F473" s="2" t="str">
        <f ca="1">IFERROR(__xludf.DUMMYFUNCTION("GOOGLETRANSLATE(B473,""en"",""it"")"),"dettaglio")</f>
        <v>dettaglio</v>
      </c>
      <c r="G473" s="2" t="str">
        <f ca="1">IFERROR(__xludf.DUMMYFUNCTION("GOOGLETRANSLATE(B473,""en"",""de"")"),"Detail")</f>
        <v>Detail</v>
      </c>
      <c r="H473" s="2" t="str">
        <f ca="1">IFERROR(__xludf.DUMMYFUNCTION("GOOGLETRANSLATE(B473,""en"",""zh"")"),"细节")</f>
        <v>细节</v>
      </c>
      <c r="I473" s="2" t="str">
        <f ca="1">IFERROR(__xludf.DUMMYFUNCTION("GOOGLETRANSLATE(B473,""en"",""gd"")"),"Mion-fhiosrachadh")</f>
        <v>Mion-fhiosrachadh</v>
      </c>
    </row>
    <row r="474" spans="1:9" ht="14.25" customHeight="1" x14ac:dyDescent="0.3">
      <c r="A474" s="2">
        <v>473</v>
      </c>
      <c r="B474" s="3" t="s">
        <v>481</v>
      </c>
      <c r="C474" s="2" t="str">
        <f ca="1">IFERROR(__xludf.DUMMYFUNCTION("GOOGLETRANSLATE(B474, ""en"",""es"")"),"diferencia")</f>
        <v>diferencia</v>
      </c>
      <c r="D474" s="2" t="str">
        <f ca="1">IFERROR(__xludf.DUMMYFUNCTION("GOOGLETRANSLATE(B474,""en"",""ig"")"),"ndimiiche")</f>
        <v>ndimiiche</v>
      </c>
      <c r="E474" s="2" t="str">
        <f ca="1">IFERROR(__xludf.DUMMYFUNCTION("GOOGLETRANSLATE(B474,""en"",""fr"")"),"différence")</f>
        <v>différence</v>
      </c>
      <c r="F474" s="2" t="str">
        <f ca="1">IFERROR(__xludf.DUMMYFUNCTION("GOOGLETRANSLATE(B474,""en"",""it"")"),"differenza")</f>
        <v>differenza</v>
      </c>
      <c r="G474" s="2" t="str">
        <f ca="1">IFERROR(__xludf.DUMMYFUNCTION("GOOGLETRANSLATE(B474,""en"",""de"")"),"Unterschied")</f>
        <v>Unterschied</v>
      </c>
      <c r="H474" s="2" t="str">
        <f ca="1">IFERROR(__xludf.DUMMYFUNCTION("GOOGLETRANSLATE(B474,""en"",""zh"")"),"不同之处")</f>
        <v>不同之处</v>
      </c>
      <c r="I474" s="2" t="str">
        <f ca="1">IFERROR(__xludf.DUMMYFUNCTION("GOOGLETRANSLATE(B474,""en"",""gd"")"),"eadar-dhealachadh")</f>
        <v>eadar-dhealachadh</v>
      </c>
    </row>
    <row r="475" spans="1:9" ht="14.25" customHeight="1" x14ac:dyDescent="0.3">
      <c r="A475" s="2">
        <v>474</v>
      </c>
      <c r="B475" s="3" t="s">
        <v>482</v>
      </c>
      <c r="C475" s="2" t="str">
        <f ca="1">IFERROR(__xludf.DUMMYFUNCTION("GOOGLETRANSLATE(B475, ""en"",""es"")"),"acción")</f>
        <v>acción</v>
      </c>
      <c r="D475" s="2" t="str">
        <f ca="1">IFERROR(__xludf.DUMMYFUNCTION("GOOGLETRANSLATE(B475,""en"",""ig"")"),"emereme")</f>
        <v>emereme</v>
      </c>
      <c r="E475" s="2" t="str">
        <f ca="1">IFERROR(__xludf.DUMMYFUNCTION("GOOGLETRANSLATE(B475,""en"",""fr"")"),"action")</f>
        <v>action</v>
      </c>
      <c r="F475" s="2" t="str">
        <f ca="1">IFERROR(__xludf.DUMMYFUNCTION("GOOGLETRANSLATE(B475,""en"",""it"")"),"azione")</f>
        <v>azione</v>
      </c>
      <c r="G475" s="2" t="str">
        <f ca="1">IFERROR(__xludf.DUMMYFUNCTION("GOOGLETRANSLATE(B475,""en"",""de"")"),"Aktion")</f>
        <v>Aktion</v>
      </c>
      <c r="H475" s="2" t="str">
        <f ca="1">IFERROR(__xludf.DUMMYFUNCTION("GOOGLETRANSLATE(B475,""en"",""zh"")"),"行动")</f>
        <v>行动</v>
      </c>
      <c r="I475" s="2" t="str">
        <f ca="1">IFERROR(__xludf.DUMMYFUNCTION("GOOGLETRANSLATE(B475,""en"",""gd"")"),"Gnìomh")</f>
        <v>Gnìomh</v>
      </c>
    </row>
    <row r="476" spans="1:9" ht="14.25" customHeight="1" x14ac:dyDescent="0.3">
      <c r="A476" s="2">
        <v>475</v>
      </c>
      <c r="B476" s="3" t="s">
        <v>483</v>
      </c>
      <c r="C476" s="2" t="str">
        <f ca="1">IFERROR(__xludf.DUMMYFUNCTION("GOOGLETRANSLATE(B476, ""en"",""es"")"),"salud")</f>
        <v>salud</v>
      </c>
      <c r="D476" s="2" t="str">
        <f ca="1">IFERROR(__xludf.DUMMYFUNCTION("GOOGLETRANSLATE(B476,""en"",""ig"")"),"ahu ike")</f>
        <v>ahu ike</v>
      </c>
      <c r="E476" s="2" t="str">
        <f ca="1">IFERROR(__xludf.DUMMYFUNCTION("GOOGLETRANSLATE(B476,""en"",""fr"")"),"santé")</f>
        <v>santé</v>
      </c>
      <c r="F476" s="2" t="str">
        <f ca="1">IFERROR(__xludf.DUMMYFUNCTION("GOOGLETRANSLATE(B476,""en"",""it"")"),"salute")</f>
        <v>salute</v>
      </c>
      <c r="G476" s="2" t="str">
        <f ca="1">IFERROR(__xludf.DUMMYFUNCTION("GOOGLETRANSLATE(B476,""en"",""de"")"),"Gesundheit")</f>
        <v>Gesundheit</v>
      </c>
      <c r="H476" s="2" t="str">
        <f ca="1">IFERROR(__xludf.DUMMYFUNCTION("GOOGLETRANSLATE(B476,""en"",""zh"")"),"健康")</f>
        <v>健康</v>
      </c>
      <c r="I476" s="2" t="str">
        <f ca="1">IFERROR(__xludf.DUMMYFUNCTION("GOOGLETRANSLATE(B476,""en"",""gd"")"),"Slàinte")</f>
        <v>Slàinte</v>
      </c>
    </row>
    <row r="477" spans="1:9" ht="14.25" customHeight="1" x14ac:dyDescent="0.3">
      <c r="A477" s="2">
        <v>476</v>
      </c>
      <c r="B477" s="3" t="s">
        <v>484</v>
      </c>
      <c r="C477" s="2" t="str">
        <f ca="1">IFERROR(__xludf.DUMMYFUNCTION("GOOGLETRANSLATE(B477, ""en"",""es"")"),"comer")</f>
        <v>comer</v>
      </c>
      <c r="D477" s="2" t="str">
        <f ca="1">IFERROR(__xludf.DUMMYFUNCTION("GOOGLETRANSLATE(B477,""en"",""ig"")"),"iri")</f>
        <v>iri</v>
      </c>
      <c r="E477" s="2" t="str">
        <f ca="1">IFERROR(__xludf.DUMMYFUNCTION("GOOGLETRANSLATE(B477,""en"",""fr"")"),"manger")</f>
        <v>manger</v>
      </c>
      <c r="F477" s="2" t="str">
        <f ca="1">IFERROR(__xludf.DUMMYFUNCTION("GOOGLETRANSLATE(B477,""en"",""it"")"),"mangiare")</f>
        <v>mangiare</v>
      </c>
      <c r="G477" s="2" t="str">
        <f ca="1">IFERROR(__xludf.DUMMYFUNCTION("GOOGLETRANSLATE(B477,""en"",""de"")"),"essen")</f>
        <v>essen</v>
      </c>
      <c r="H477" s="2" t="str">
        <f ca="1">IFERROR(__xludf.DUMMYFUNCTION("GOOGLETRANSLATE(B477,""en"",""zh"")"),"吃")</f>
        <v>吃</v>
      </c>
      <c r="I477" s="2" t="str">
        <f ca="1">IFERROR(__xludf.DUMMYFUNCTION("GOOGLETRANSLATE(B477,""en"",""gd"")"),"Ith")</f>
        <v>Ith</v>
      </c>
    </row>
    <row r="478" spans="1:9" ht="14.25" customHeight="1" x14ac:dyDescent="0.3">
      <c r="A478" s="2">
        <v>477</v>
      </c>
      <c r="B478" s="3" t="s">
        <v>485</v>
      </c>
      <c r="C478" s="2" t="str">
        <f ca="1">IFERROR(__xludf.DUMMYFUNCTION("GOOGLETRANSLATE(B478, ""en"",""es"")"),"paso")</f>
        <v>paso</v>
      </c>
      <c r="D478" s="2" t="str">
        <f ca="1">IFERROR(__xludf.DUMMYFUNCTION("GOOGLETRANSLATE(B478,""en"",""ig"")"),"izo")</f>
        <v>izo</v>
      </c>
      <c r="E478" s="2" t="str">
        <f ca="1">IFERROR(__xludf.DUMMYFUNCTION("GOOGLETRANSLATE(B478,""en"",""fr"")"),"étape")</f>
        <v>étape</v>
      </c>
      <c r="F478" s="2" t="str">
        <f ca="1">IFERROR(__xludf.DUMMYFUNCTION("GOOGLETRANSLATE(B478,""en"",""it"")"),"fare un passo")</f>
        <v>fare un passo</v>
      </c>
      <c r="G478" s="2" t="str">
        <f ca="1">IFERROR(__xludf.DUMMYFUNCTION("GOOGLETRANSLATE(B478,""en"",""de"")"),"Schritt")</f>
        <v>Schritt</v>
      </c>
      <c r="H478" s="2" t="str">
        <f ca="1">IFERROR(__xludf.DUMMYFUNCTION("GOOGLETRANSLATE(B478,""en"",""zh"")"),"步")</f>
        <v>步</v>
      </c>
      <c r="I478" s="2" t="str">
        <f ca="1">IFERROR(__xludf.DUMMYFUNCTION("GOOGLETRANSLATE(B478,""en"",""gd"")"),"Ceum")</f>
        <v>Ceum</v>
      </c>
    </row>
    <row r="479" spans="1:9" ht="14.25" customHeight="1" x14ac:dyDescent="0.3">
      <c r="A479" s="2">
        <v>478</v>
      </c>
      <c r="B479" s="3" t="s">
        <v>486</v>
      </c>
      <c r="C479" s="2" t="str">
        <f ca="1">IFERROR(__xludf.DUMMYFUNCTION("GOOGLETRANSLATE(B479, ""en"",""es"")"),"verdadero")</f>
        <v>verdadero</v>
      </c>
      <c r="D479" s="2" t="str">
        <f ca="1">IFERROR(__xludf.DUMMYFUNCTION("GOOGLETRANSLATE(B479,""en"",""ig"")"),"ke eziokwu")</f>
        <v>ke eziokwu</v>
      </c>
      <c r="E479" s="2" t="str">
        <f ca="1">IFERROR(__xludf.DUMMYFUNCTION("GOOGLETRANSLATE(B479,""en"",""fr"")"),"vrai")</f>
        <v>vrai</v>
      </c>
      <c r="F479" s="2" t="str">
        <f ca="1">IFERROR(__xludf.DUMMYFUNCTION("GOOGLETRANSLATE(B479,""en"",""it"")"),"VERO")</f>
        <v>VERO</v>
      </c>
      <c r="G479" s="2" t="str">
        <f ca="1">IFERROR(__xludf.DUMMYFUNCTION("GOOGLETRANSLATE(B479,""en"",""de"")"),"WAHR")</f>
        <v>WAHR</v>
      </c>
      <c r="H479" s="2" t="str">
        <f ca="1">IFERROR(__xludf.DUMMYFUNCTION("GOOGLETRANSLATE(B479,""en"",""zh"")"),"真的")</f>
        <v>真的</v>
      </c>
      <c r="I479" s="2" t="str">
        <f ca="1">IFERROR(__xludf.DUMMYFUNCTION("GOOGLETRANSLATE(B479,""en"",""gd"")"),"Fìor")</f>
        <v>Fìor</v>
      </c>
    </row>
    <row r="480" spans="1:9" ht="14.25" customHeight="1" x14ac:dyDescent="0.3">
      <c r="A480" s="2">
        <v>479</v>
      </c>
      <c r="B480" s="3" t="s">
        <v>487</v>
      </c>
      <c r="C480" s="2" t="str">
        <f ca="1">IFERROR(__xludf.DUMMYFUNCTION("GOOGLETRANSLATE(B480, ""en"",""es"")"),"teléfono")</f>
        <v>teléfono</v>
      </c>
      <c r="D480" s="2" t="str">
        <f ca="1">IFERROR(__xludf.DUMMYFUNCTION("GOOGLETRANSLATE(B480,""en"",""ig"")"),"Ekwentị")</f>
        <v>Ekwentị</v>
      </c>
      <c r="E480" s="2" t="str">
        <f ca="1">IFERROR(__xludf.DUMMYFUNCTION("GOOGLETRANSLATE(B480,""en"",""fr"")"),"téléphone")</f>
        <v>téléphone</v>
      </c>
      <c r="F480" s="2" t="str">
        <f ca="1">IFERROR(__xludf.DUMMYFUNCTION("GOOGLETRANSLATE(B480,""en"",""it"")"),"telefono")</f>
        <v>telefono</v>
      </c>
      <c r="G480" s="2" t="str">
        <f ca="1">IFERROR(__xludf.DUMMYFUNCTION("GOOGLETRANSLATE(B480,""en"",""de"")"),"Telefon")</f>
        <v>Telefon</v>
      </c>
      <c r="H480" s="2" t="str">
        <f ca="1">IFERROR(__xludf.DUMMYFUNCTION("GOOGLETRANSLATE(B480,""en"",""zh"")"),"电话")</f>
        <v>电话</v>
      </c>
      <c r="I480" s="2" t="str">
        <f ca="1">IFERROR(__xludf.DUMMYFUNCTION("GOOGLETRANSLATE(B480,""en"",""gd"")"),"Fòn")</f>
        <v>Fòn</v>
      </c>
    </row>
    <row r="481" spans="1:9" ht="14.25" customHeight="1" x14ac:dyDescent="0.3">
      <c r="A481" s="2">
        <v>480</v>
      </c>
      <c r="B481" s="3" t="s">
        <v>488</v>
      </c>
      <c r="C481" s="2" t="str">
        <f ca="1">IFERROR(__xludf.DUMMYFUNCTION("GOOGLETRANSLATE(B481, ""en"",""es"")"),"ellos mismos")</f>
        <v>ellos mismos</v>
      </c>
      <c r="D481" s="2" t="str">
        <f ca="1">IFERROR(__xludf.DUMMYFUNCTION("GOOGLETRANSLATE(B481,""en"",""ig"")"),"haonweha")</f>
        <v>haonweha</v>
      </c>
      <c r="E481" s="2" t="str">
        <f ca="1">IFERROR(__xludf.DUMMYFUNCTION("GOOGLETRANSLATE(B481,""en"",""fr"")"),"eux-mêmes")</f>
        <v>eux-mêmes</v>
      </c>
      <c r="F481" s="2" t="str">
        <f ca="1">IFERROR(__xludf.DUMMYFUNCTION("GOOGLETRANSLATE(B481,""en"",""it"")"),"loro stessi")</f>
        <v>loro stessi</v>
      </c>
      <c r="G481" s="2" t="str">
        <f ca="1">IFERROR(__xludf.DUMMYFUNCTION("GOOGLETRANSLATE(B481,""en"",""de"")"),"sich")</f>
        <v>sich</v>
      </c>
      <c r="H481" s="2" t="str">
        <f ca="1">IFERROR(__xludf.DUMMYFUNCTION("GOOGLETRANSLATE(B481,""en"",""zh"")"),"他们自己")</f>
        <v>他们自己</v>
      </c>
      <c r="I481" s="2" t="str">
        <f ca="1">IFERROR(__xludf.DUMMYFUNCTION("GOOGLETRANSLATE(B481,""en"",""gd"")"),"iad fhèin")</f>
        <v>iad fhèin</v>
      </c>
    </row>
    <row r="482" spans="1:9" ht="14.25" customHeight="1" x14ac:dyDescent="0.3">
      <c r="A482" s="2">
        <v>481</v>
      </c>
      <c r="B482" s="3" t="s">
        <v>489</v>
      </c>
      <c r="C482" s="2" t="str">
        <f ca="1">IFERROR(__xludf.DUMMYFUNCTION("GOOGLETRANSLATE(B482, ""en"",""es"")"),"dibujar")</f>
        <v>dibujar</v>
      </c>
      <c r="D482" s="2" t="str">
        <f ca="1">IFERROR(__xludf.DUMMYFUNCTION("GOOGLETRANSLATE(B482,""en"",""ig"")"),"ise")</f>
        <v>ise</v>
      </c>
      <c r="E482" s="2" t="str">
        <f ca="1">IFERROR(__xludf.DUMMYFUNCTION("GOOGLETRANSLATE(B482,""en"",""fr"")"),"dessiner")</f>
        <v>dessiner</v>
      </c>
      <c r="F482" s="2" t="str">
        <f ca="1">IFERROR(__xludf.DUMMYFUNCTION("GOOGLETRANSLATE(B482,""en"",""it"")"),"disegno")</f>
        <v>disegno</v>
      </c>
      <c r="G482" s="2" t="str">
        <f ca="1">IFERROR(__xludf.DUMMYFUNCTION("GOOGLETRANSLATE(B482,""en"",""de"")"),"ziehen")</f>
        <v>ziehen</v>
      </c>
      <c r="H482" s="2" t="str">
        <f ca="1">IFERROR(__xludf.DUMMYFUNCTION("GOOGLETRANSLATE(B482,""en"",""zh"")"),"画")</f>
        <v>画</v>
      </c>
      <c r="I482" s="2" t="str">
        <f ca="1">IFERROR(__xludf.DUMMYFUNCTION("GOOGLETRANSLATE(B482,""en"",""gd"")"),"Tarraing")</f>
        <v>Tarraing</v>
      </c>
    </row>
    <row r="483" spans="1:9" ht="14.25" customHeight="1" x14ac:dyDescent="0.3">
      <c r="A483" s="2">
        <v>482</v>
      </c>
      <c r="B483" s="3" t="s">
        <v>490</v>
      </c>
      <c r="C483" s="2" t="str">
        <f ca="1">IFERROR(__xludf.DUMMYFUNCTION("GOOGLETRANSLATE(B483, ""en"",""es"")"),"blanco")</f>
        <v>blanco</v>
      </c>
      <c r="D483" s="2" t="str">
        <f ca="1">IFERROR(__xludf.DUMMYFUNCTION("GOOGLETRANSLATE(B483,""en"",""ig"")"),"ucha")</f>
        <v>ucha</v>
      </c>
      <c r="E483" s="2" t="str">
        <f ca="1">IFERROR(__xludf.DUMMYFUNCTION("GOOGLETRANSLATE(B483,""en"",""fr"")"),"blanc")</f>
        <v>blanc</v>
      </c>
      <c r="F483" s="2" t="str">
        <f ca="1">IFERROR(__xludf.DUMMYFUNCTION("GOOGLETRANSLATE(B483,""en"",""it"")"),"bianco")</f>
        <v>bianco</v>
      </c>
      <c r="G483" s="2" t="str">
        <f ca="1">IFERROR(__xludf.DUMMYFUNCTION("GOOGLETRANSLATE(B483,""en"",""de"")"),"Weiß")</f>
        <v>Weiß</v>
      </c>
      <c r="H483" s="2" t="str">
        <f ca="1">IFERROR(__xludf.DUMMYFUNCTION("GOOGLETRANSLATE(B483,""en"",""zh"")"),"白色的")</f>
        <v>白色的</v>
      </c>
      <c r="I483" s="2" t="str">
        <f ca="1">IFERROR(__xludf.DUMMYFUNCTION("GOOGLETRANSLATE(B483,""en"",""gd"")"),"geal")</f>
        <v>geal</v>
      </c>
    </row>
    <row r="484" spans="1:9" ht="14.25" customHeight="1" x14ac:dyDescent="0.3">
      <c r="A484" s="2">
        <v>483</v>
      </c>
      <c r="B484" s="3" t="s">
        <v>491</v>
      </c>
      <c r="C484" s="2" t="str">
        <f ca="1">IFERROR(__xludf.DUMMYFUNCTION("GOOGLETRANSLATE(B484, ""en"",""es"")"),"fecha")</f>
        <v>fecha</v>
      </c>
      <c r="D484" s="2" t="str">
        <f ca="1">IFERROR(__xludf.DUMMYFUNCTION("GOOGLETRANSLATE(B484,""en"",""ig"")"),"deeti")</f>
        <v>deeti</v>
      </c>
      <c r="E484" s="2" t="str">
        <f ca="1">IFERROR(__xludf.DUMMYFUNCTION("GOOGLETRANSLATE(B484,""en"",""fr"")"),"date")</f>
        <v>date</v>
      </c>
      <c r="F484" s="2" t="str">
        <f ca="1">IFERROR(__xludf.DUMMYFUNCTION("GOOGLETRANSLATE(B484,""en"",""it"")"),"data")</f>
        <v>data</v>
      </c>
      <c r="G484" s="2" t="str">
        <f ca="1">IFERROR(__xludf.DUMMYFUNCTION("GOOGLETRANSLATE(B484,""en"",""de"")"),"Datum")</f>
        <v>Datum</v>
      </c>
      <c r="H484" s="2" t="str">
        <f ca="1">IFERROR(__xludf.DUMMYFUNCTION("GOOGLETRANSLATE(B484,""en"",""zh"")"),"日期")</f>
        <v>日期</v>
      </c>
      <c r="I484" s="2" t="str">
        <f ca="1">IFERROR(__xludf.DUMMYFUNCTION("GOOGLETRANSLATE(B484,""en"",""gd"")"),"Ceann-latha")</f>
        <v>Ceann-latha</v>
      </c>
    </row>
    <row r="485" spans="1:9" ht="14.25" customHeight="1" x14ac:dyDescent="0.3">
      <c r="A485" s="2">
        <v>484</v>
      </c>
      <c r="B485" s="3" t="s">
        <v>492</v>
      </c>
      <c r="C485" s="2" t="str">
        <f ca="1">IFERROR(__xludf.DUMMYFUNCTION("GOOGLETRANSLATE(B485, ""en"",""es"")"),"práctica")</f>
        <v>práctica</v>
      </c>
      <c r="D485" s="2" t="str">
        <f ca="1">IFERROR(__xludf.DUMMYFUNCTION("GOOGLETRANSLATE(B485,""en"",""ig"")"),"omume")</f>
        <v>omume</v>
      </c>
      <c r="E485" s="2" t="str">
        <f ca="1">IFERROR(__xludf.DUMMYFUNCTION("GOOGLETRANSLATE(B485,""en"",""fr"")"),"pratique")</f>
        <v>pratique</v>
      </c>
      <c r="F485" s="2" t="str">
        <f ca="1">IFERROR(__xludf.DUMMYFUNCTION("GOOGLETRANSLATE(B485,""en"",""it"")"),"pratica")</f>
        <v>pratica</v>
      </c>
      <c r="G485" s="2" t="str">
        <f ca="1">IFERROR(__xludf.DUMMYFUNCTION("GOOGLETRANSLATE(B485,""en"",""de"")"),"üben")</f>
        <v>üben</v>
      </c>
      <c r="H485" s="2" t="str">
        <f ca="1">IFERROR(__xludf.DUMMYFUNCTION("GOOGLETRANSLATE(B485,""en"",""zh"")"),"实践")</f>
        <v>实践</v>
      </c>
      <c r="I485" s="2" t="str">
        <f ca="1">IFERROR(__xludf.DUMMYFUNCTION("GOOGLETRANSLATE(B485,""en"",""gd"")"),"cleachdadh")</f>
        <v>cleachdadh</v>
      </c>
    </row>
    <row r="486" spans="1:9" ht="14.25" customHeight="1" x14ac:dyDescent="0.3">
      <c r="A486" s="2">
        <v>485</v>
      </c>
      <c r="B486" s="3" t="s">
        <v>493</v>
      </c>
      <c r="C486" s="2" t="str">
        <f ca="1">IFERROR(__xludf.DUMMYFUNCTION("GOOGLETRANSLATE(B486, ""en"",""es"")"),"modelo")</f>
        <v>modelo</v>
      </c>
      <c r="D486" s="2" t="str">
        <f ca="1">IFERROR(__xludf.DUMMYFUNCTION("GOOGLETRANSLATE(B486,""en"",""ig"")"),"mogosi")</f>
        <v>mogosi</v>
      </c>
      <c r="E486" s="2" t="str">
        <f ca="1">IFERROR(__xludf.DUMMYFUNCTION("GOOGLETRANSLATE(B486,""en"",""fr"")"),"modèle")</f>
        <v>modèle</v>
      </c>
      <c r="F486" s="2" t="str">
        <f ca="1">IFERROR(__xludf.DUMMYFUNCTION("GOOGLETRANSLATE(B486,""en"",""it"")"),"modello")</f>
        <v>modello</v>
      </c>
      <c r="G486" s="2" t="str">
        <f ca="1">IFERROR(__xludf.DUMMYFUNCTION("GOOGLETRANSLATE(B486,""en"",""de"")"),"Modell")</f>
        <v>Modell</v>
      </c>
      <c r="H486" s="2" t="str">
        <f ca="1">IFERROR(__xludf.DUMMYFUNCTION("GOOGLETRANSLATE(B486,""en"",""zh"")"),"模型")</f>
        <v>模型</v>
      </c>
      <c r="I486" s="2" t="str">
        <f ca="1">IFERROR(__xludf.DUMMYFUNCTION("GOOGLETRANSLATE(B486,""en"",""gd"")"),"Modail")</f>
        <v>Modail</v>
      </c>
    </row>
    <row r="487" spans="1:9" ht="14.25" customHeight="1" x14ac:dyDescent="0.3">
      <c r="A487" s="2">
        <v>486</v>
      </c>
      <c r="B487" s="3" t="s">
        <v>494</v>
      </c>
      <c r="C487" s="2" t="str">
        <f ca="1">IFERROR(__xludf.DUMMYFUNCTION("GOOGLETRANSLATE(B487, ""en"",""es"")"),"aumentar")</f>
        <v>aumentar</v>
      </c>
      <c r="D487" s="2" t="str">
        <f ca="1">IFERROR(__xludf.DUMMYFUNCTION("GOOGLETRANSLATE(B487,""en"",""ig"")"),"inako ego")</f>
        <v>inako ego</v>
      </c>
      <c r="E487" s="2" t="str">
        <f ca="1">IFERROR(__xludf.DUMMYFUNCTION("GOOGLETRANSLATE(B487,""en"",""fr"")"),"augmenter")</f>
        <v>augmenter</v>
      </c>
      <c r="F487" s="2" t="str">
        <f ca="1">IFERROR(__xludf.DUMMYFUNCTION("GOOGLETRANSLATE(B487,""en"",""it"")"),"aumentare")</f>
        <v>aumentare</v>
      </c>
      <c r="G487" s="2" t="str">
        <f ca="1">IFERROR(__xludf.DUMMYFUNCTION("GOOGLETRANSLATE(B487,""en"",""de"")"),"erheben")</f>
        <v>erheben</v>
      </c>
      <c r="H487" s="2" t="str">
        <f ca="1">IFERROR(__xludf.DUMMYFUNCTION("GOOGLETRANSLATE(B487,""en"",""zh"")"),"增加")</f>
        <v>增加</v>
      </c>
      <c r="I487" s="2" t="str">
        <f ca="1">IFERROR(__xludf.DUMMYFUNCTION("GOOGLETRANSLATE(B487,""en"",""gd"")"),"tog")</f>
        <v>tog</v>
      </c>
    </row>
    <row r="488" spans="1:9" ht="14.25" customHeight="1" x14ac:dyDescent="0.3">
      <c r="A488" s="2">
        <v>487</v>
      </c>
      <c r="B488" s="3" t="s">
        <v>495</v>
      </c>
      <c r="C488" s="2" t="str">
        <f ca="1">IFERROR(__xludf.DUMMYFUNCTION("GOOGLETRANSLATE(B488, ""en"",""es"")"),"cliente")</f>
        <v>cliente</v>
      </c>
      <c r="D488" s="2" t="str">
        <f ca="1">IFERROR(__xludf.DUMMYFUNCTION("GOOGLETRANSLATE(B488,""en"",""ig"")"),"onye ahia")</f>
        <v>onye ahia</v>
      </c>
      <c r="E488" s="2" t="str">
        <f ca="1">IFERROR(__xludf.DUMMYFUNCTION("GOOGLETRANSLATE(B488,""en"",""fr"")"),"client")</f>
        <v>client</v>
      </c>
      <c r="F488" s="2" t="str">
        <f ca="1">IFERROR(__xludf.DUMMYFUNCTION("GOOGLETRANSLATE(B488,""en"",""it"")"),"cliente")</f>
        <v>cliente</v>
      </c>
      <c r="G488" s="2" t="str">
        <f ca="1">IFERROR(__xludf.DUMMYFUNCTION("GOOGLETRANSLATE(B488,""en"",""de"")"),"Kunde")</f>
        <v>Kunde</v>
      </c>
      <c r="H488" s="2" t="str">
        <f ca="1">IFERROR(__xludf.DUMMYFUNCTION("GOOGLETRANSLATE(B488,""en"",""zh"")"),"顾客")</f>
        <v>顾客</v>
      </c>
      <c r="I488" s="2" t="str">
        <f ca="1">IFERROR(__xludf.DUMMYFUNCTION("GOOGLETRANSLATE(B488,""en"",""gd"")"),"Neach-ceannach Neach-ceannach")</f>
        <v>Neach-ceannach Neach-ceannach</v>
      </c>
    </row>
    <row r="489" spans="1:9" ht="14.25" customHeight="1" x14ac:dyDescent="0.3">
      <c r="A489" s="2">
        <v>488</v>
      </c>
      <c r="B489" s="3" t="s">
        <v>496</v>
      </c>
      <c r="C489" s="2" t="str">
        <f ca="1">IFERROR(__xludf.DUMMYFUNCTION("GOOGLETRANSLATE(B489, ""en"",""es"")"),"frente")</f>
        <v>frente</v>
      </c>
      <c r="D489" s="2" t="str">
        <f ca="1">IFERROR(__xludf.DUMMYFUNCTION("GOOGLETRANSLATE(B489,""en"",""ig"")"),"keihu")</f>
        <v>keihu</v>
      </c>
      <c r="E489" s="2" t="str">
        <f ca="1">IFERROR(__xludf.DUMMYFUNCTION("GOOGLETRANSLATE(B489,""en"",""fr"")"),"devant")</f>
        <v>devant</v>
      </c>
      <c r="F489" s="2" t="str">
        <f ca="1">IFERROR(__xludf.DUMMYFUNCTION("GOOGLETRANSLATE(B489,""en"",""it"")"),"davanti")</f>
        <v>davanti</v>
      </c>
      <c r="G489" s="2" t="str">
        <f ca="1">IFERROR(__xludf.DUMMYFUNCTION("GOOGLETRANSLATE(B489,""en"",""de"")"),"Vorderseite")</f>
        <v>Vorderseite</v>
      </c>
      <c r="H489" s="2" t="str">
        <f ca="1">IFERROR(__xludf.DUMMYFUNCTION("GOOGLETRANSLATE(B489,""en"",""zh"")"),"正面")</f>
        <v>正面</v>
      </c>
      <c r="I489" s="2" t="str">
        <f ca="1">IFERROR(__xludf.DUMMYFUNCTION("GOOGLETRANSLATE(B489,""en"",""gd"")"),"Beulaibh")</f>
        <v>Beulaibh</v>
      </c>
    </row>
    <row r="490" spans="1:9" ht="14.25" customHeight="1" x14ac:dyDescent="0.3">
      <c r="A490" s="2">
        <v>489</v>
      </c>
      <c r="B490" s="3" t="s">
        <v>497</v>
      </c>
      <c r="C490" s="2" t="str">
        <f ca="1">IFERROR(__xludf.DUMMYFUNCTION("GOOGLETRANSLATE(B490, ""en"",""es"")"),"explicar")</f>
        <v>explicar</v>
      </c>
      <c r="D490" s="2" t="str">
        <f ca="1">IFERROR(__xludf.DUMMYFUNCTION("GOOGLETRANSLATE(B490,""en"",""ig"")"),"ikowa")</f>
        <v>ikowa</v>
      </c>
      <c r="E490" s="2" t="str">
        <f ca="1">IFERROR(__xludf.DUMMYFUNCTION("GOOGLETRANSLATE(B490,""en"",""fr"")"),"expliquer")</f>
        <v>expliquer</v>
      </c>
      <c r="F490" s="2" t="str">
        <f ca="1">IFERROR(__xludf.DUMMYFUNCTION("GOOGLETRANSLATE(B490,""en"",""it"")"),"spiegare")</f>
        <v>spiegare</v>
      </c>
      <c r="G490" s="2" t="str">
        <f ca="1">IFERROR(__xludf.DUMMYFUNCTION("GOOGLETRANSLATE(B490,""en"",""de"")"),"erklären")</f>
        <v>erklären</v>
      </c>
      <c r="H490" s="2" t="str">
        <f ca="1">IFERROR(__xludf.DUMMYFUNCTION("GOOGLETRANSLATE(B490,""en"",""zh"")"),"解释")</f>
        <v>解释</v>
      </c>
      <c r="I490" s="2" t="str">
        <f ca="1">IFERROR(__xludf.DUMMYFUNCTION("GOOGLETRANSLATE(B490,""en"",""gd"")"),"Mìnich")</f>
        <v>Mìnich</v>
      </c>
    </row>
    <row r="491" spans="1:9" ht="14.25" customHeight="1" x14ac:dyDescent="0.3">
      <c r="A491" s="2">
        <v>490</v>
      </c>
      <c r="B491" s="3" t="s">
        <v>498</v>
      </c>
      <c r="C491" s="2" t="str">
        <f ca="1">IFERROR(__xludf.DUMMYFUNCTION("GOOGLETRANSLATE(B491, ""en"",""es"")"),"puerta")</f>
        <v>puerta</v>
      </c>
      <c r="D491" s="2" t="str">
        <f ca="1">IFERROR(__xludf.DUMMYFUNCTION("GOOGLETRANSLATE(B491,""en"",""ig"")"),"uzo")</f>
        <v>uzo</v>
      </c>
      <c r="E491" s="2" t="str">
        <f ca="1">IFERROR(__xludf.DUMMYFUNCTION("GOOGLETRANSLATE(B491,""en"",""fr"")"),"porte")</f>
        <v>porte</v>
      </c>
      <c r="F491" s="2" t="str">
        <f ca="1">IFERROR(__xludf.DUMMYFUNCTION("GOOGLETRANSLATE(B491,""en"",""it"")"),"porta")</f>
        <v>porta</v>
      </c>
      <c r="G491" s="2" t="str">
        <f ca="1">IFERROR(__xludf.DUMMYFUNCTION("GOOGLETRANSLATE(B491,""en"",""de"")"),"Tür")</f>
        <v>Tür</v>
      </c>
      <c r="H491" s="2" t="str">
        <f ca="1">IFERROR(__xludf.DUMMYFUNCTION("GOOGLETRANSLATE(B491,""en"",""zh"")"),"门")</f>
        <v>门</v>
      </c>
      <c r="I491" s="2" t="str">
        <f ca="1">IFERROR(__xludf.DUMMYFUNCTION("GOOGLETRANSLATE(B491,""en"",""gd"")"),"doras")</f>
        <v>doras</v>
      </c>
    </row>
    <row r="492" spans="1:9" ht="14.25" customHeight="1" x14ac:dyDescent="0.3">
      <c r="A492" s="2">
        <v>491</v>
      </c>
      <c r="B492" s="3" t="s">
        <v>499</v>
      </c>
      <c r="C492" s="2" t="str">
        <f ca="1">IFERROR(__xludf.DUMMYFUNCTION("GOOGLETRANSLATE(B492, ""en"",""es"")"),"afuera")</f>
        <v>afuera</v>
      </c>
      <c r="D492" s="2" t="str">
        <f ca="1">IFERROR(__xludf.DUMMYFUNCTION("GOOGLETRANSLATE(B492,""en"",""ig"")"),"n'ilo")</f>
        <v>n'ilo</v>
      </c>
      <c r="E492" s="2" t="str">
        <f ca="1">IFERROR(__xludf.DUMMYFUNCTION("GOOGLETRANSLATE(B492,""en"",""fr"")"),"dehors")</f>
        <v>dehors</v>
      </c>
      <c r="F492" s="2" t="str">
        <f ca="1">IFERROR(__xludf.DUMMYFUNCTION("GOOGLETRANSLATE(B492,""en"",""it"")"),"al di fuori")</f>
        <v>al di fuori</v>
      </c>
      <c r="G492" s="2" t="str">
        <f ca="1">IFERROR(__xludf.DUMMYFUNCTION("GOOGLETRANSLATE(B492,""en"",""de"")"),"draußen")</f>
        <v>draußen</v>
      </c>
      <c r="H492" s="2" t="str">
        <f ca="1">IFERROR(__xludf.DUMMYFUNCTION("GOOGLETRANSLATE(B492,""en"",""zh"")"),"外部")</f>
        <v>外部</v>
      </c>
      <c r="I492" s="2" t="str">
        <f ca="1">IFERROR(__xludf.DUMMYFUNCTION("GOOGLETRANSLATE(B492,""en"",""gd"")"),"Taobh a-muigh")</f>
        <v>Taobh a-muigh</v>
      </c>
    </row>
    <row r="493" spans="1:9" ht="14.25" customHeight="1" x14ac:dyDescent="0.3">
      <c r="A493" s="2">
        <v>492</v>
      </c>
      <c r="B493" s="3" t="s">
        <v>500</v>
      </c>
      <c r="C493" s="2" t="str">
        <f ca="1">IFERROR(__xludf.DUMMYFUNCTION("GOOGLETRANSLATE(B493, ""en"",""es"")"),"detrás")</f>
        <v>detrás</v>
      </c>
      <c r="D493" s="2" t="str">
        <f ca="1">IFERROR(__xludf.DUMMYFUNCTION("GOOGLETRANSLATE(B493,""en"",""ig"")"),"azu")</f>
        <v>azu</v>
      </c>
      <c r="E493" s="2" t="str">
        <f ca="1">IFERROR(__xludf.DUMMYFUNCTION("GOOGLETRANSLATE(B493,""en"",""fr"")"),"derrière")</f>
        <v>derrière</v>
      </c>
      <c r="F493" s="2" t="str">
        <f ca="1">IFERROR(__xludf.DUMMYFUNCTION("GOOGLETRANSLATE(B493,""en"",""it"")"),"dietro")</f>
        <v>dietro</v>
      </c>
      <c r="G493" s="2" t="str">
        <f ca="1">IFERROR(__xludf.DUMMYFUNCTION("GOOGLETRANSLATE(B493,""en"",""de"")"),"hinter")</f>
        <v>hinter</v>
      </c>
      <c r="H493" s="2" t="str">
        <f ca="1">IFERROR(__xludf.DUMMYFUNCTION("GOOGLETRANSLATE(B493,""en"",""zh"")"),"在后面")</f>
        <v>在后面</v>
      </c>
      <c r="I493" s="2" t="str">
        <f ca="1">IFERROR(__xludf.DUMMYFUNCTION("GOOGLETRANSLATE(B493,""en"",""gd"")"),"Air a chùlaibh")</f>
        <v>Air a chùlaibh</v>
      </c>
    </row>
    <row r="494" spans="1:9" ht="14.25" customHeight="1" x14ac:dyDescent="0.3">
      <c r="A494" s="2">
        <v>493</v>
      </c>
      <c r="B494" s="3" t="s">
        <v>501</v>
      </c>
      <c r="C494" s="2" t="str">
        <f ca="1">IFERROR(__xludf.DUMMYFUNCTION("GOOGLETRANSLATE(B494, ""en"",""es"")"),"económico")</f>
        <v>económico</v>
      </c>
      <c r="D494" s="2" t="str">
        <f ca="1">IFERROR(__xludf.DUMMYFUNCTION("GOOGLETRANSLATE(B494,""en"",""ig"")"),"ekonomik")</f>
        <v>ekonomik</v>
      </c>
      <c r="E494" s="2" t="str">
        <f ca="1">IFERROR(__xludf.DUMMYFUNCTION("GOOGLETRANSLATE(B494,""en"",""fr"")"),"économique")</f>
        <v>économique</v>
      </c>
      <c r="F494" s="2" t="str">
        <f ca="1">IFERROR(__xludf.DUMMYFUNCTION("GOOGLETRANSLATE(B494,""en"",""it"")"),"economico")</f>
        <v>economico</v>
      </c>
      <c r="G494" s="2" t="str">
        <f ca="1">IFERROR(__xludf.DUMMYFUNCTION("GOOGLETRANSLATE(B494,""en"",""de"")"),"wirtschaftlich")</f>
        <v>wirtschaftlich</v>
      </c>
      <c r="H494" s="2" t="str">
        <f ca="1">IFERROR(__xludf.DUMMYFUNCTION("GOOGLETRANSLATE(B494,""en"",""zh"")"),"经济的")</f>
        <v>经济的</v>
      </c>
      <c r="I494" s="2" t="str">
        <f ca="1">IFERROR(__xludf.DUMMYFUNCTION("GOOGLETRANSLATE(B494,""en"",""gd"")"),"Eaconamach")</f>
        <v>Eaconamach</v>
      </c>
    </row>
    <row r="495" spans="1:9" ht="14.25" customHeight="1" x14ac:dyDescent="0.3">
      <c r="A495" s="2">
        <v>494</v>
      </c>
      <c r="B495" s="3" t="s">
        <v>502</v>
      </c>
      <c r="C495" s="2" t="str">
        <f ca="1">IFERROR(__xludf.DUMMYFUNCTION("GOOGLETRANSLATE(B495, ""en"",""es"")"),"sitio")</f>
        <v>sitio</v>
      </c>
      <c r="D495" s="2" t="str">
        <f ca="1">IFERROR(__xludf.DUMMYFUNCTION("GOOGLETRANSLATE(B495,""en"",""ig"")"),"sanet")</f>
        <v>sanet</v>
      </c>
      <c r="E495" s="2" t="str">
        <f ca="1">IFERROR(__xludf.DUMMYFUNCTION("GOOGLETRANSLATE(B495,""en"",""fr"")"),"site")</f>
        <v>site</v>
      </c>
      <c r="F495" s="2" t="str">
        <f ca="1">IFERROR(__xludf.DUMMYFUNCTION("GOOGLETRANSLATE(B495,""en"",""it"")"),"luogo")</f>
        <v>luogo</v>
      </c>
      <c r="G495" s="2" t="str">
        <f ca="1">IFERROR(__xludf.DUMMYFUNCTION("GOOGLETRANSLATE(B495,""en"",""de"")"),"Website")</f>
        <v>Website</v>
      </c>
      <c r="H495" s="2" t="str">
        <f ca="1">IFERROR(__xludf.DUMMYFUNCTION("GOOGLETRANSLATE(B495,""en"",""zh"")"),"地点")</f>
        <v>地点</v>
      </c>
      <c r="I495" s="2" t="str">
        <f ca="1">IFERROR(__xludf.DUMMYFUNCTION("GOOGLETRANSLATE(B495,""en"",""gd"")"),"Làrach")</f>
        <v>Làrach</v>
      </c>
    </row>
    <row r="496" spans="1:9" ht="14.25" customHeight="1" x14ac:dyDescent="0.3">
      <c r="A496" s="2">
        <v>495</v>
      </c>
      <c r="B496" s="3" t="s">
        <v>503</v>
      </c>
      <c r="C496" s="2" t="str">
        <f ca="1">IFERROR(__xludf.DUMMYFUNCTION("GOOGLETRANSLATE(B496, ""en"",""es"")"),"acercarse")</f>
        <v>acercarse</v>
      </c>
      <c r="D496" s="2" t="str">
        <f ca="1">IFERROR(__xludf.DUMMYFUNCTION("GOOGLETRANSLATE(B496,""en"",""ig"")"),"ibia nso")</f>
        <v>ibia nso</v>
      </c>
      <c r="E496" s="2" t="str">
        <f ca="1">IFERROR(__xludf.DUMMYFUNCTION("GOOGLETRANSLATE(B496,""en"",""fr"")"),"approche")</f>
        <v>approche</v>
      </c>
      <c r="F496" s="2" t="str">
        <f ca="1">IFERROR(__xludf.DUMMYFUNCTION("GOOGLETRANSLATE(B496,""en"",""it"")"),"approccio")</f>
        <v>approccio</v>
      </c>
      <c r="G496" s="2" t="str">
        <f ca="1">IFERROR(__xludf.DUMMYFUNCTION("GOOGLETRANSLATE(B496,""en"",""de"")"),"Ansatz")</f>
        <v>Ansatz</v>
      </c>
      <c r="H496" s="2" t="str">
        <f ca="1">IFERROR(__xludf.DUMMYFUNCTION("GOOGLETRANSLATE(B496,""en"",""zh"")"),"方法")</f>
        <v>方法</v>
      </c>
      <c r="I496" s="2" t="str">
        <f ca="1">IFERROR(__xludf.DUMMYFUNCTION("GOOGLETRANSLATE(B496,""en"",""gd"")"),"Dòigh-obrach")</f>
        <v>Dòigh-obrach</v>
      </c>
    </row>
    <row r="497" spans="1:9" ht="14.25" customHeight="1" x14ac:dyDescent="0.3">
      <c r="A497" s="2">
        <v>496</v>
      </c>
      <c r="B497" s="3" t="s">
        <v>504</v>
      </c>
      <c r="C497" s="2" t="str">
        <f ca="1">IFERROR(__xludf.DUMMYFUNCTION("GOOGLETRANSLATE(B497, ""en"",""es"")"),"maestro")</f>
        <v>maestro</v>
      </c>
      <c r="D497" s="2" t="str">
        <f ca="1">IFERROR(__xludf.DUMMYFUNCTION("GOOGLETRANSLATE(B497,""en"",""ig"")"),"onyenkuzi nwoke")</f>
        <v>onyenkuzi nwoke</v>
      </c>
      <c r="E497" s="2" t="str">
        <f ca="1">IFERROR(__xludf.DUMMYFUNCTION("GOOGLETRANSLATE(B497,""en"",""fr"")"),"professeur")</f>
        <v>professeur</v>
      </c>
      <c r="F497" s="2" t="str">
        <f ca="1">IFERROR(__xludf.DUMMYFUNCTION("GOOGLETRANSLATE(B497,""en"",""it"")"),"insegnante")</f>
        <v>insegnante</v>
      </c>
      <c r="G497" s="2" t="str">
        <f ca="1">IFERROR(__xludf.DUMMYFUNCTION("GOOGLETRANSLATE(B497,""en"",""de"")"),"Lehrer")</f>
        <v>Lehrer</v>
      </c>
      <c r="H497" s="2" t="str">
        <f ca="1">IFERROR(__xludf.DUMMYFUNCTION("GOOGLETRANSLATE(B497,""en"",""zh"")"),"老师")</f>
        <v>老师</v>
      </c>
      <c r="I497" s="2" t="str">
        <f ca="1">IFERROR(__xludf.DUMMYFUNCTION("GOOGLETRANSLATE(B497,""en"",""gd"")"),"Tidsear")</f>
        <v>Tidsear</v>
      </c>
    </row>
    <row r="498" spans="1:9" ht="14.25" customHeight="1" x14ac:dyDescent="0.3">
      <c r="A498" s="2">
        <v>497</v>
      </c>
      <c r="B498" s="3" t="s">
        <v>505</v>
      </c>
      <c r="C498" s="2" t="str">
        <f ca="1">IFERROR(__xludf.DUMMYFUNCTION("GOOGLETRANSLATE(B498, ""en"",""es"")"),"tierra")</f>
        <v>tierra</v>
      </c>
      <c r="D498" s="2" t="str">
        <f ca="1">IFERROR(__xludf.DUMMYFUNCTION("GOOGLETRANSLATE(B498,""en"",""ig"")"),"nlodata")</f>
        <v>nlodata</v>
      </c>
      <c r="E498" s="2" t="str">
        <f ca="1">IFERROR(__xludf.DUMMYFUNCTION("GOOGLETRANSLATE(B498,""en"",""fr"")"),"atterrir")</f>
        <v>atterrir</v>
      </c>
      <c r="F498" s="2" t="str">
        <f ca="1">IFERROR(__xludf.DUMMYFUNCTION("GOOGLETRANSLATE(B498,""en"",""it"")"),"terra")</f>
        <v>terra</v>
      </c>
      <c r="G498" s="2" t="str">
        <f ca="1">IFERROR(__xludf.DUMMYFUNCTION("GOOGLETRANSLATE(B498,""en"",""de"")"),"Land")</f>
        <v>Land</v>
      </c>
      <c r="H498" s="2" t="str">
        <f ca="1">IFERROR(__xludf.DUMMYFUNCTION("GOOGLETRANSLATE(B498,""en"",""zh"")"),"土地")</f>
        <v>土地</v>
      </c>
      <c r="I498" s="2" t="str">
        <f ca="1">IFERROR(__xludf.DUMMYFUNCTION("GOOGLETRANSLATE(B498,""en"",""gd"")"),"Fearann")</f>
        <v>Fearann</v>
      </c>
    </row>
    <row r="499" spans="1:9" ht="14.25" customHeight="1" x14ac:dyDescent="0.3">
      <c r="A499" s="2">
        <v>498</v>
      </c>
      <c r="B499" s="3" t="s">
        <v>506</v>
      </c>
      <c r="C499" s="2" t="str">
        <f ca="1">IFERROR(__xludf.DUMMYFUNCTION("GOOGLETRANSLATE(B499, ""en"",""es"")"),"cargar")</f>
        <v>cargar</v>
      </c>
      <c r="D499" s="2" t="str">
        <f ca="1">IFERROR(__xludf.DUMMYFUNCTION("GOOGLETRANSLATE(B499,""en"",""ig"")"),"ijali")</f>
        <v>ijali</v>
      </c>
      <c r="E499" s="2" t="str">
        <f ca="1">IFERROR(__xludf.DUMMYFUNCTION("GOOGLETRANSLATE(B499,""en"",""fr"")"),"charge")</f>
        <v>charge</v>
      </c>
      <c r="F499" s="2" t="str">
        <f ca="1">IFERROR(__xludf.DUMMYFUNCTION("GOOGLETRANSLATE(B499,""en"",""it"")"),"carica")</f>
        <v>carica</v>
      </c>
      <c r="G499" s="2" t="str">
        <f ca="1">IFERROR(__xludf.DUMMYFUNCTION("GOOGLETRANSLATE(B499,""en"",""de"")"),"Aufladung")</f>
        <v>Aufladung</v>
      </c>
      <c r="H499" s="2" t="str">
        <f ca="1">IFERROR(__xludf.DUMMYFUNCTION("GOOGLETRANSLATE(B499,""en"",""zh"")"),"收费")</f>
        <v>收费</v>
      </c>
      <c r="I499" s="2" t="str">
        <f ca="1">IFERROR(__xludf.DUMMYFUNCTION("GOOGLETRANSLATE(B499,""en"",""gd"")"),"cosgais")</f>
        <v>cosgais</v>
      </c>
    </row>
    <row r="500" spans="1:9" ht="14.25" customHeight="1" x14ac:dyDescent="0.3">
      <c r="A500" s="2">
        <v>499</v>
      </c>
      <c r="B500" s="3" t="s">
        <v>507</v>
      </c>
      <c r="C500" s="2" t="str">
        <f ca="1">IFERROR(__xludf.DUMMYFUNCTION("GOOGLETRANSLATE(B500, ""en"",""es"")"),"finalmente")</f>
        <v>finalmente</v>
      </c>
      <c r="D500" s="2" t="str">
        <f ca="1">IFERROR(__xludf.DUMMYFUNCTION("GOOGLETRANSLATE(B500,""en"",""ig"")"),"n'ikpaazu")</f>
        <v>n'ikpaazu</v>
      </c>
      <c r="E500" s="2" t="str">
        <f ca="1">IFERROR(__xludf.DUMMYFUNCTION("GOOGLETRANSLATE(B500,""en"",""fr"")"),"enfin")</f>
        <v>enfin</v>
      </c>
      <c r="F500" s="2" t="str">
        <f ca="1">IFERROR(__xludf.DUMMYFUNCTION("GOOGLETRANSLATE(B500,""en"",""it"")"),"Finalmente")</f>
        <v>Finalmente</v>
      </c>
      <c r="G500" s="2" t="str">
        <f ca="1">IFERROR(__xludf.DUMMYFUNCTION("GOOGLETRANSLATE(B500,""en"",""de"")"),"Endlich")</f>
        <v>Endlich</v>
      </c>
      <c r="H500" s="2" t="str">
        <f ca="1">IFERROR(__xludf.DUMMYFUNCTION("GOOGLETRANSLATE(B500,""en"",""zh"")"),"最后")</f>
        <v>最后</v>
      </c>
      <c r="I500" s="2" t="str">
        <f ca="1">IFERROR(__xludf.DUMMYFUNCTION("GOOGLETRANSLATE(B500,""en"",""gd"")"),"Mu dheireadh")</f>
        <v>Mu dheireadh</v>
      </c>
    </row>
    <row r="501" spans="1:9" ht="14.25" customHeight="1" x14ac:dyDescent="0.3">
      <c r="A501" s="2">
        <v>500</v>
      </c>
      <c r="B501" s="3" t="s">
        <v>508</v>
      </c>
      <c r="C501" s="2" t="str">
        <f ca="1">IFERROR(__xludf.DUMMYFUNCTION("GOOGLETRANSLATE(B501, ""en"",""es"")"),"firmar")</f>
        <v>firmar</v>
      </c>
      <c r="D501" s="2" t="str">
        <f ca="1">IFERROR(__xludf.DUMMYFUNCTION("GOOGLETRANSLATE(B501,""en"",""ig"")"),"ruaka")</f>
        <v>ruaka</v>
      </c>
      <c r="E501" s="2" t="str">
        <f ca="1">IFERROR(__xludf.DUMMYFUNCTION("GOOGLETRANSLATE(B501,""en"",""fr"")"),"signe")</f>
        <v>signe</v>
      </c>
      <c r="F501" s="2" t="str">
        <f ca="1">IFERROR(__xludf.DUMMYFUNCTION("GOOGLETRANSLATE(B501,""en"",""it"")"),"cartello")</f>
        <v>cartello</v>
      </c>
      <c r="G501" s="2" t="str">
        <f ca="1">IFERROR(__xludf.DUMMYFUNCTION("GOOGLETRANSLATE(B501,""en"",""de"")"),"Zeichen")</f>
        <v>Zeichen</v>
      </c>
      <c r="H501" s="2" t="str">
        <f ca="1">IFERROR(__xludf.DUMMYFUNCTION("GOOGLETRANSLATE(B501,""en"",""zh"")"),"符号")</f>
        <v>符号</v>
      </c>
      <c r="I501" s="2" t="str">
        <f ca="1">IFERROR(__xludf.DUMMYFUNCTION("GOOGLETRANSLATE(B501,""en"",""gd"")"),"Soidhne")</f>
        <v>Soidhne</v>
      </c>
    </row>
    <row r="502" spans="1:9" ht="14.25" customHeight="1" x14ac:dyDescent="0.3">
      <c r="A502" s="2">
        <v>501</v>
      </c>
      <c r="B502" s="3" t="s">
        <v>509</v>
      </c>
      <c r="C502" s="2" t="str">
        <f ca="1">IFERROR(__xludf.DUMMYFUNCTION("GOOGLETRANSLATE(B502, ""en"",""es"")"),"afirmar")</f>
        <v>afirmar</v>
      </c>
      <c r="D502" s="2" t="str">
        <f ca="1">IFERROR(__xludf.DUMMYFUNCTION("GOOGLETRANSLATE(B502,""en"",""ig"")"),"Mgbarakwa")</f>
        <v>Mgbarakwa</v>
      </c>
      <c r="E502" s="2" t="str">
        <f ca="1">IFERROR(__xludf.DUMMYFUNCTION("GOOGLETRANSLATE(B502,""en"",""fr"")"),"réclamer")</f>
        <v>réclamer</v>
      </c>
      <c r="F502" s="2" t="str">
        <f ca="1">IFERROR(__xludf.DUMMYFUNCTION("GOOGLETRANSLATE(B502,""en"",""it"")"),"reclamo")</f>
        <v>reclamo</v>
      </c>
      <c r="G502" s="2" t="str">
        <f ca="1">IFERROR(__xludf.DUMMYFUNCTION("GOOGLETRANSLATE(B502,""en"",""de"")"),"beanspruchen")</f>
        <v>beanspruchen</v>
      </c>
      <c r="H502" s="2" t="str">
        <f ca="1">IFERROR(__xludf.DUMMYFUNCTION("GOOGLETRANSLATE(B502,""en"",""zh"")"),"宣称")</f>
        <v>宣称</v>
      </c>
      <c r="I502" s="2" t="str">
        <f ca="1">IFERROR(__xludf.DUMMYFUNCTION("GOOGLETRANSLATE(B502,""en"",""gd"")"),"Tagradh")</f>
        <v>Tagradh</v>
      </c>
    </row>
    <row r="503" spans="1:9" ht="14.25" customHeight="1" x14ac:dyDescent="0.3">
      <c r="A503" s="2">
        <v>502</v>
      </c>
      <c r="B503" s="3" t="s">
        <v>510</v>
      </c>
      <c r="C503" s="2" t="str">
        <f ca="1">IFERROR(__xludf.DUMMYFUNCTION("GOOGLETRANSLATE(B503, ""en"",""es"")"),"relación")</f>
        <v>relación</v>
      </c>
      <c r="D503" s="2" t="str">
        <f ca="1">IFERROR(__xludf.DUMMYFUNCTION("GOOGLETRANSLATE(B503,""en"",""ig"")"),"ndi mmekorita")</f>
        <v>ndi mmekorita</v>
      </c>
      <c r="E503" s="2" t="str">
        <f ca="1">IFERROR(__xludf.DUMMYFUNCTION("GOOGLETRANSLATE(B503,""en"",""fr"")"),"relation")</f>
        <v>relation</v>
      </c>
      <c r="F503" s="2" t="str">
        <f ca="1">IFERROR(__xludf.DUMMYFUNCTION("GOOGLETRANSLATE(B503,""en"",""it"")"),"relazione")</f>
        <v>relazione</v>
      </c>
      <c r="G503" s="2" t="str">
        <f ca="1">IFERROR(__xludf.DUMMYFUNCTION("GOOGLETRANSLATE(B503,""en"",""de"")"),"Beziehung")</f>
        <v>Beziehung</v>
      </c>
      <c r="H503" s="2" t="str">
        <f ca="1">IFERROR(__xludf.DUMMYFUNCTION("GOOGLETRANSLATE(B503,""en"",""zh"")"),"关系")</f>
        <v>关系</v>
      </c>
      <c r="I503" s="2" t="str">
        <f ca="1">IFERROR(__xludf.DUMMYFUNCTION("GOOGLETRANSLATE(B503,""en"",""gd"")"),"dàimh")</f>
        <v>dàimh</v>
      </c>
    </row>
    <row r="504" spans="1:9" ht="14.25" customHeight="1" x14ac:dyDescent="0.3">
      <c r="A504" s="2">
        <v>503</v>
      </c>
      <c r="B504" s="3" t="s">
        <v>511</v>
      </c>
      <c r="C504" s="2" t="str">
        <f ca="1">IFERROR(__xludf.DUMMYFUNCTION("GOOGLETRANSLATE(B504, ""en"",""es"")"),"viajar")</f>
        <v>viajar</v>
      </c>
      <c r="D504" s="2" t="str">
        <f ca="1">IFERROR(__xludf.DUMMYFUNCTION("GOOGLETRANSLATE(B504,""en"",""ig"")"),"ijenjem")</f>
        <v>ijenjem</v>
      </c>
      <c r="E504" s="2" t="str">
        <f ca="1">IFERROR(__xludf.DUMMYFUNCTION("GOOGLETRANSLATE(B504,""en"",""fr"")"),"voyage")</f>
        <v>voyage</v>
      </c>
      <c r="F504" s="2" t="str">
        <f ca="1">IFERROR(__xludf.DUMMYFUNCTION("GOOGLETRANSLATE(B504,""en"",""it"")"),"viaggio")</f>
        <v>viaggio</v>
      </c>
      <c r="G504" s="2" t="str">
        <f ca="1">IFERROR(__xludf.DUMMYFUNCTION("GOOGLETRANSLATE(B504,""en"",""de"")"),"reisen")</f>
        <v>reisen</v>
      </c>
      <c r="H504" s="2" t="str">
        <f ca="1">IFERROR(__xludf.DUMMYFUNCTION("GOOGLETRANSLATE(B504,""en"",""zh"")"),"旅行")</f>
        <v>旅行</v>
      </c>
      <c r="I504" s="2" t="str">
        <f ca="1">IFERROR(__xludf.DUMMYFUNCTION("GOOGLETRANSLATE(B504,""en"",""gd"")"),"Siubhal")</f>
        <v>Siubhal</v>
      </c>
    </row>
    <row r="505" spans="1:9" ht="14.25" customHeight="1" x14ac:dyDescent="0.3">
      <c r="A505" s="2">
        <v>504</v>
      </c>
      <c r="B505" s="3" t="s">
        <v>512</v>
      </c>
      <c r="C505" s="2" t="str">
        <f ca="1">IFERROR(__xludf.DUMMYFUNCTION("GOOGLETRANSLATE(B505, ""en"",""es"")"),"disfrutar")</f>
        <v>disfrutar</v>
      </c>
      <c r="D505" s="2" t="str">
        <f ca="1">IFERROR(__xludf.DUMMYFUNCTION("GOOGLETRANSLATE(B505,""en"",""ig"")"),"obi anuri")</f>
        <v>obi anuri</v>
      </c>
      <c r="E505" s="2" t="str">
        <f ca="1">IFERROR(__xludf.DUMMYFUNCTION("GOOGLETRANSLATE(B505,""en"",""fr"")"),"apprécier")</f>
        <v>apprécier</v>
      </c>
      <c r="F505" s="2" t="str">
        <f ca="1">IFERROR(__xludf.DUMMYFUNCTION("GOOGLETRANSLATE(B505,""en"",""it"")"),"Godere")</f>
        <v>Godere</v>
      </c>
      <c r="G505" s="2" t="str">
        <f ca="1">IFERROR(__xludf.DUMMYFUNCTION("GOOGLETRANSLATE(B505,""en"",""de"")"),"genießen")</f>
        <v>genießen</v>
      </c>
      <c r="H505" s="2" t="str">
        <f ca="1">IFERROR(__xludf.DUMMYFUNCTION("GOOGLETRANSLATE(B505,""en"",""zh"")"),"享受")</f>
        <v>享受</v>
      </c>
      <c r="I505" s="2" t="str">
        <f ca="1">IFERROR(__xludf.DUMMYFUNCTION("GOOGLETRANSLATE(B505,""en"",""gd"")"),"Tlachd a ghabhail")</f>
        <v>Tlachd a ghabhail</v>
      </c>
    </row>
    <row r="506" spans="1:9" ht="14.25" customHeight="1" x14ac:dyDescent="0.3">
      <c r="A506" s="2">
        <v>505</v>
      </c>
      <c r="B506" s="3" t="s">
        <v>513</v>
      </c>
      <c r="C506" s="2" t="str">
        <f ca="1">IFERROR(__xludf.DUMMYFUNCTION("GOOGLETRANSLATE(B506, ""en"",""es"")"),"muerte")</f>
        <v>muerte</v>
      </c>
      <c r="D506" s="2" t="str">
        <f ca="1">IFERROR(__xludf.DUMMYFUNCTION("GOOGLETRANSLATE(B506,""en"",""ig"")"),"onwu")</f>
        <v>onwu</v>
      </c>
      <c r="E506" s="2" t="str">
        <f ca="1">IFERROR(__xludf.DUMMYFUNCTION("GOOGLETRANSLATE(B506,""en"",""fr"")"),"la mort")</f>
        <v>la mort</v>
      </c>
      <c r="F506" s="2" t="str">
        <f ca="1">IFERROR(__xludf.DUMMYFUNCTION("GOOGLETRANSLATE(B506,""en"",""it"")"),"morte")</f>
        <v>morte</v>
      </c>
      <c r="G506" s="2" t="str">
        <f ca="1">IFERROR(__xludf.DUMMYFUNCTION("GOOGLETRANSLATE(B506,""en"",""de"")"),"Tod")</f>
        <v>Tod</v>
      </c>
      <c r="H506" s="2" t="str">
        <f ca="1">IFERROR(__xludf.DUMMYFUNCTION("GOOGLETRANSLATE(B506,""en"",""zh"")"),"死亡")</f>
        <v>死亡</v>
      </c>
      <c r="I506" s="2" t="str">
        <f ca="1">IFERROR(__xludf.DUMMYFUNCTION("GOOGLETRANSLATE(B506,""en"",""gd"")"),"bàs")</f>
        <v>bàs</v>
      </c>
    </row>
    <row r="507" spans="1:9" ht="14.25" customHeight="1" x14ac:dyDescent="0.3">
      <c r="A507" s="2">
        <v>506</v>
      </c>
      <c r="B507" s="3" t="s">
        <v>514</v>
      </c>
      <c r="C507" s="2" t="str">
        <f ca="1">IFERROR(__xludf.DUMMYFUNCTION("GOOGLETRANSLATE(B507, ""en"",""es"")"),"lindo")</f>
        <v>lindo</v>
      </c>
      <c r="D507" s="2" t="str">
        <f ca="1">IFERROR(__xludf.DUMMYFUNCTION("GOOGLETRANSLATE(B507,""en"",""ig"")"),"mma")</f>
        <v>mma</v>
      </c>
      <c r="E507" s="2" t="str">
        <f ca="1">IFERROR(__xludf.DUMMYFUNCTION("GOOGLETRANSLATE(B507,""en"",""fr"")"),"bon")</f>
        <v>bon</v>
      </c>
      <c r="F507" s="2" t="str">
        <f ca="1">IFERROR(__xludf.DUMMYFUNCTION("GOOGLETRANSLATE(B507,""en"",""it"")"),"Carino")</f>
        <v>Carino</v>
      </c>
      <c r="G507" s="2" t="str">
        <f ca="1">IFERROR(__xludf.DUMMYFUNCTION("GOOGLETRANSLATE(B507,""en"",""de"")"),"Hübsch")</f>
        <v>Hübsch</v>
      </c>
      <c r="H507" s="2" t="str">
        <f ca="1">IFERROR(__xludf.DUMMYFUNCTION("GOOGLETRANSLATE(B507,""en"",""zh"")"),"好的")</f>
        <v>好的</v>
      </c>
      <c r="I507" s="2" t="str">
        <f ca="1">IFERROR(__xludf.DUMMYFUNCTION("GOOGLETRANSLATE(B507,""en"",""gd"")"),"snog")</f>
        <v>snog</v>
      </c>
    </row>
    <row r="508" spans="1:9" ht="14.25" customHeight="1" x14ac:dyDescent="0.3">
      <c r="A508" s="2">
        <v>507</v>
      </c>
      <c r="B508" s="3" t="s">
        <v>515</v>
      </c>
      <c r="C508" s="2" t="str">
        <f ca="1">IFERROR(__xludf.DUMMYFUNCTION("GOOGLETRANSLATE(B508, ""en"",""es"")"),"cantidad")</f>
        <v>cantidad</v>
      </c>
      <c r="D508" s="2" t="str">
        <f ca="1">IFERROR(__xludf.DUMMYFUNCTION("GOOGLETRANSLATE(B508,""en"",""ig"")"),"ego")</f>
        <v>ego</v>
      </c>
      <c r="E508" s="2" t="str">
        <f ca="1">IFERROR(__xludf.DUMMYFUNCTION("GOOGLETRANSLATE(B508,""en"",""fr"")"),"montant")</f>
        <v>montant</v>
      </c>
      <c r="F508" s="2" t="str">
        <f ca="1">IFERROR(__xludf.DUMMYFUNCTION("GOOGLETRANSLATE(B508,""en"",""it"")"),"quantità")</f>
        <v>quantità</v>
      </c>
      <c r="G508" s="2" t="str">
        <f ca="1">IFERROR(__xludf.DUMMYFUNCTION("GOOGLETRANSLATE(B508,""en"",""de"")"),"Menge")</f>
        <v>Menge</v>
      </c>
      <c r="H508" s="2" t="str">
        <f ca="1">IFERROR(__xludf.DUMMYFUNCTION("GOOGLETRANSLATE(B508,""en"",""zh"")"),"数量")</f>
        <v>数量</v>
      </c>
      <c r="I508" s="2" t="str">
        <f ca="1">IFERROR(__xludf.DUMMYFUNCTION("GOOGLETRANSLATE(B508,""en"",""gd"")"),"suim")</f>
        <v>suim</v>
      </c>
    </row>
    <row r="509" spans="1:9" ht="14.25" customHeight="1" x14ac:dyDescent="0.3">
      <c r="A509" s="2">
        <v>508</v>
      </c>
      <c r="B509" s="3" t="s">
        <v>516</v>
      </c>
      <c r="C509" s="2" t="str">
        <f ca="1">IFERROR(__xludf.DUMMYFUNCTION("GOOGLETRANSLATE(B509, ""en"",""es"")"),"mejorar")</f>
        <v>mejorar</v>
      </c>
      <c r="D509" s="2" t="str">
        <f ca="1">IFERROR(__xludf.DUMMYFUNCTION("GOOGLETRANSLATE(B509,""en"",""ig"")"),"inwe oganiihu")</f>
        <v>inwe oganiihu</v>
      </c>
      <c r="E509" s="2" t="str">
        <f ca="1">IFERROR(__xludf.DUMMYFUNCTION("GOOGLETRANSLATE(B509,""en"",""fr"")"),"améliorer")</f>
        <v>améliorer</v>
      </c>
      <c r="F509" s="2" t="str">
        <f ca="1">IFERROR(__xludf.DUMMYFUNCTION("GOOGLETRANSLATE(B509,""en"",""it"")"),"migliorare")</f>
        <v>migliorare</v>
      </c>
      <c r="G509" s="2" t="str">
        <f ca="1">IFERROR(__xludf.DUMMYFUNCTION("GOOGLETRANSLATE(B509,""en"",""de"")"),"verbessern")</f>
        <v>verbessern</v>
      </c>
      <c r="H509" s="2" t="str">
        <f ca="1">IFERROR(__xludf.DUMMYFUNCTION("GOOGLETRANSLATE(B509,""en"",""zh"")"),"提升")</f>
        <v>提升</v>
      </c>
      <c r="I509" s="2" t="str">
        <f ca="1">IFERROR(__xludf.DUMMYFUNCTION("GOOGLETRANSLATE(B509,""en"",""gd"")"),"Leasachadh")</f>
        <v>Leasachadh</v>
      </c>
    </row>
    <row r="510" spans="1:9" ht="14.25" customHeight="1" x14ac:dyDescent="0.3">
      <c r="A510" s="2">
        <v>509</v>
      </c>
      <c r="B510" s="3" t="s">
        <v>517</v>
      </c>
      <c r="C510" s="2" t="str">
        <f ca="1">IFERROR(__xludf.DUMMYFUNCTION("GOOGLETRANSLATE(B510, ""en"",""es"")"),"imagen")</f>
        <v>imagen</v>
      </c>
      <c r="D510" s="2" t="str">
        <f ca="1">IFERROR(__xludf.DUMMYFUNCTION("GOOGLETRANSLATE(B510,""en"",""ig"")"),"esemese")</f>
        <v>esemese</v>
      </c>
      <c r="E510" s="2" t="str">
        <f ca="1">IFERROR(__xludf.DUMMYFUNCTION("GOOGLETRANSLATE(B510,""en"",""fr"")"),"image")</f>
        <v>image</v>
      </c>
      <c r="F510" s="2" t="str">
        <f ca="1">IFERROR(__xludf.DUMMYFUNCTION("GOOGLETRANSLATE(B510,""en"",""it"")"),"immagine")</f>
        <v>immagine</v>
      </c>
      <c r="G510" s="2" t="str">
        <f ca="1">IFERROR(__xludf.DUMMYFUNCTION("GOOGLETRANSLATE(B510,""en"",""de"")"),"Bild")</f>
        <v>Bild</v>
      </c>
      <c r="H510" s="2" t="str">
        <f ca="1">IFERROR(__xludf.DUMMYFUNCTION("GOOGLETRANSLATE(B510,""en"",""zh"")"),"图片")</f>
        <v>图片</v>
      </c>
      <c r="I510" s="2" t="str">
        <f ca="1">IFERROR(__xludf.DUMMYFUNCTION("GOOGLETRANSLATE(B510,""en"",""gd"")"),"dealbh")</f>
        <v>dealbh</v>
      </c>
    </row>
    <row r="511" spans="1:9" ht="14.25" customHeight="1" x14ac:dyDescent="0.3">
      <c r="A511" s="2">
        <v>510</v>
      </c>
      <c r="B511" s="3" t="s">
        <v>518</v>
      </c>
      <c r="C511" s="2" t="str">
        <f ca="1">IFERROR(__xludf.DUMMYFUNCTION("GOOGLETRANSLATE(B511, ""en"",""es"")"),"chico")</f>
        <v>chico</v>
      </c>
      <c r="D511" s="2" t="str">
        <f ca="1">IFERROR(__xludf.DUMMYFUNCTION("GOOGLETRANSLATE(B511,""en"",""ig"")"),"nwata nwoke")</f>
        <v>nwata nwoke</v>
      </c>
      <c r="E511" s="2" t="str">
        <f ca="1">IFERROR(__xludf.DUMMYFUNCTION("GOOGLETRANSLATE(B511,""en"",""fr"")"),"garçon")</f>
        <v>garçon</v>
      </c>
      <c r="F511" s="2" t="str">
        <f ca="1">IFERROR(__xludf.DUMMYFUNCTION("GOOGLETRANSLATE(B511,""en"",""it"")"),"ragazzo")</f>
        <v>ragazzo</v>
      </c>
      <c r="G511" s="2" t="str">
        <f ca="1">IFERROR(__xludf.DUMMYFUNCTION("GOOGLETRANSLATE(B511,""en"",""de"")"),"Junge")</f>
        <v>Junge</v>
      </c>
      <c r="H511" s="2" t="str">
        <f ca="1">IFERROR(__xludf.DUMMYFUNCTION("GOOGLETRANSLATE(B511,""en"",""zh"")"),"男生")</f>
        <v>男生</v>
      </c>
      <c r="I511" s="2" t="str">
        <f ca="1">IFERROR(__xludf.DUMMYFUNCTION("GOOGLETRANSLATE(B511,""en"",""gd"")"),"Balach")</f>
        <v>Balach</v>
      </c>
    </row>
    <row r="512" spans="1:9" ht="14.25" customHeight="1" x14ac:dyDescent="0.3">
      <c r="A512" s="2">
        <v>511</v>
      </c>
      <c r="B512" s="3" t="s">
        <v>519</v>
      </c>
      <c r="C512" s="2" t="str">
        <f ca="1">IFERROR(__xludf.DUMMYFUNCTION("GOOGLETRANSLATE(B512, ""en"",""es"")"),"respecto")</f>
        <v>respecto</v>
      </c>
      <c r="D512" s="2" t="str">
        <f ca="1">IFERROR(__xludf.DUMMYFUNCTION("GOOGLETRANSLATE(B512,""en"",""ig"")"),"lee")</f>
        <v>lee</v>
      </c>
      <c r="E512" s="2" t="str">
        <f ca="1">IFERROR(__xludf.DUMMYFUNCTION("GOOGLETRANSLATE(B512,""en"",""fr"")"),"égard")</f>
        <v>égard</v>
      </c>
      <c r="F512" s="2" t="str">
        <f ca="1">IFERROR(__xludf.DUMMYFUNCTION("GOOGLETRANSLATE(B512,""en"",""it"")"),"considerare")</f>
        <v>considerare</v>
      </c>
      <c r="G512" s="2" t="str">
        <f ca="1">IFERROR(__xludf.DUMMYFUNCTION("GOOGLETRANSLATE(B512,""en"",""de"")"),"betrachten")</f>
        <v>betrachten</v>
      </c>
      <c r="H512" s="2" t="str">
        <f ca="1">IFERROR(__xludf.DUMMYFUNCTION("GOOGLETRANSLATE(B512,""en"",""zh"")"),"看待")</f>
        <v>看待</v>
      </c>
      <c r="I512" s="2" t="str">
        <f ca="1">IFERROR(__xludf.DUMMYFUNCTION("GOOGLETRANSLATE(B512,""en"",""gd"")"),"deimhneachd")</f>
        <v>deimhneachd</v>
      </c>
    </row>
    <row r="513" spans="1:9" ht="14.25" customHeight="1" x14ac:dyDescent="0.3">
      <c r="A513" s="2">
        <v>512</v>
      </c>
      <c r="B513" s="3" t="s">
        <v>520</v>
      </c>
      <c r="C513" s="2" t="str">
        <f ca="1">IFERROR(__xludf.DUMMYFUNCTION("GOOGLETRANSLATE(B513, ""en"",""es"")"),"organización")</f>
        <v>organización</v>
      </c>
      <c r="D513" s="2" t="str">
        <f ca="1">IFERROR(__xludf.DUMMYFUNCTION("GOOGLETRANSLATE(B513,""en"",""ig"")"),"oganizashion")</f>
        <v>oganizashion</v>
      </c>
      <c r="E513" s="2" t="str">
        <f ca="1">IFERROR(__xludf.DUMMYFUNCTION("GOOGLETRANSLATE(B513,""en"",""fr"")"),"organisation")</f>
        <v>organisation</v>
      </c>
      <c r="F513" s="2" t="str">
        <f ca="1">IFERROR(__xludf.DUMMYFUNCTION("GOOGLETRANSLATE(B513,""en"",""it"")"),"organizzazione")</f>
        <v>organizzazione</v>
      </c>
      <c r="G513" s="2" t="str">
        <f ca="1">IFERROR(__xludf.DUMMYFUNCTION("GOOGLETRANSLATE(B513,""en"",""de"")"),"Organisation")</f>
        <v>Organisation</v>
      </c>
      <c r="H513" s="2" t="str">
        <f ca="1">IFERROR(__xludf.DUMMYFUNCTION("GOOGLETRANSLATE(B513,""en"",""zh"")"),"组织")</f>
        <v>组织</v>
      </c>
      <c r="I513" s="2" t="str">
        <f ca="1">IFERROR(__xludf.DUMMYFUNCTION("GOOGLETRANSLATE(B513,""en"",""gd"")"),"Eagrachadh")</f>
        <v>Eagrachadh</v>
      </c>
    </row>
    <row r="514" spans="1:9" ht="14.25" customHeight="1" x14ac:dyDescent="0.3">
      <c r="A514" s="2">
        <v>513</v>
      </c>
      <c r="B514" s="3" t="s">
        <v>521</v>
      </c>
      <c r="C514" s="2" t="str">
        <f ca="1">IFERROR(__xludf.DUMMYFUNCTION("GOOGLETRANSLATE(B514, ""en"",""es"")"),"feliz")</f>
        <v>feliz</v>
      </c>
      <c r="D514" s="2" t="str">
        <f ca="1">IFERROR(__xludf.DUMMYFUNCTION("GOOGLETRANSLATE(B514,""en"",""ig"")"),"keobi anuri")</f>
        <v>keobi anuri</v>
      </c>
      <c r="E514" s="2" t="str">
        <f ca="1">IFERROR(__xludf.DUMMYFUNCTION("GOOGLETRANSLATE(B514,""en"",""fr"")"),"heureux")</f>
        <v>heureux</v>
      </c>
      <c r="F514" s="2" t="str">
        <f ca="1">IFERROR(__xludf.DUMMYFUNCTION("GOOGLETRANSLATE(B514,""en"",""it"")"),"Contento")</f>
        <v>Contento</v>
      </c>
      <c r="G514" s="2" t="str">
        <f ca="1">IFERROR(__xludf.DUMMYFUNCTION("GOOGLETRANSLATE(B514,""en"",""de"")"),"Glücklich")</f>
        <v>Glücklich</v>
      </c>
      <c r="H514" s="2" t="str">
        <f ca="1">IFERROR(__xludf.DUMMYFUNCTION("GOOGLETRANSLATE(B514,""en"",""zh"")"),"快乐的")</f>
        <v>快乐的</v>
      </c>
      <c r="I514" s="2" t="str">
        <f ca="1">IFERROR(__xludf.DUMMYFUNCTION("GOOGLETRANSLATE(B514,""en"",""gd"")"),"toilichte")</f>
        <v>toilichte</v>
      </c>
    </row>
    <row r="515" spans="1:9" ht="14.25" customHeight="1" x14ac:dyDescent="0.3">
      <c r="A515" s="2">
        <v>514</v>
      </c>
      <c r="B515" s="3" t="s">
        <v>522</v>
      </c>
      <c r="C515" s="2" t="str">
        <f ca="1">IFERROR(__xludf.DUMMYFUNCTION("GOOGLETRANSLATE(B515, ""en"",""es"")"),"pareja")</f>
        <v>pareja</v>
      </c>
      <c r="D515" s="2" t="str">
        <f ca="1">IFERROR(__xludf.DUMMYFUNCTION("GOOGLETRANSLATE(B515,""en"",""ig"")"),"di na nwunye")</f>
        <v>di na nwunye</v>
      </c>
      <c r="E515" s="2" t="str">
        <f ca="1">IFERROR(__xludf.DUMMYFUNCTION("GOOGLETRANSLATE(B515,""en"",""fr"")"),"couple")</f>
        <v>couple</v>
      </c>
      <c r="F515" s="2" t="str">
        <f ca="1">IFERROR(__xludf.DUMMYFUNCTION("GOOGLETRANSLATE(B515,""en"",""it"")"),"coppia")</f>
        <v>coppia</v>
      </c>
      <c r="G515" s="2" t="str">
        <f ca="1">IFERROR(__xludf.DUMMYFUNCTION("GOOGLETRANSLATE(B515,""en"",""de"")"),"Paar")</f>
        <v>Paar</v>
      </c>
      <c r="H515" s="2" t="str">
        <f ca="1">IFERROR(__xludf.DUMMYFUNCTION("GOOGLETRANSLATE(B515,""en"",""zh"")"),"夫妻")</f>
        <v>夫妻</v>
      </c>
      <c r="I515" s="2" t="str">
        <f ca="1">IFERROR(__xludf.DUMMYFUNCTION("GOOGLETRANSLATE(B515,""en"",""gd"")"),"càraid")</f>
        <v>càraid</v>
      </c>
    </row>
    <row r="516" spans="1:9" ht="14.25" customHeight="1" x14ac:dyDescent="0.3">
      <c r="A516" s="2">
        <v>515</v>
      </c>
      <c r="B516" s="3" t="s">
        <v>523</v>
      </c>
      <c r="C516" s="2" t="str">
        <f ca="1">IFERROR(__xludf.DUMMYFUNCTION("GOOGLETRANSLATE(B516, ""en"",""es"")"),"acto")</f>
        <v>acto</v>
      </c>
      <c r="D516" s="2" t="str">
        <f ca="1">IFERROR(__xludf.DUMMYFUNCTION("GOOGLETRANSLATE(B516,""en"",""ig"")"),"ime emume")</f>
        <v>ime emume</v>
      </c>
      <c r="E516" s="2" t="str">
        <f ca="1">IFERROR(__xludf.DUMMYFUNCTION("GOOGLETRANSLATE(B516,""en"",""fr"")"),"acte")</f>
        <v>acte</v>
      </c>
      <c r="F516" s="2" t="str">
        <f ca="1">IFERROR(__xludf.DUMMYFUNCTION("GOOGLETRANSLATE(B516,""en"",""it"")"),"atto")</f>
        <v>atto</v>
      </c>
      <c r="G516" s="2" t="str">
        <f ca="1">IFERROR(__xludf.DUMMYFUNCTION("GOOGLETRANSLATE(B516,""en"",""de"")"),"Akt")</f>
        <v>Akt</v>
      </c>
      <c r="H516" s="2" t="str">
        <f ca="1">IFERROR(__xludf.DUMMYFUNCTION("GOOGLETRANSLATE(B516,""en"",""zh"")"),"行为")</f>
        <v>行为</v>
      </c>
      <c r="I516" s="2" t="str">
        <f ca="1">IFERROR(__xludf.DUMMYFUNCTION("GOOGLETRANSLATE(B516,""en"",""gd"")"),"Achd")</f>
        <v>Achd</v>
      </c>
    </row>
    <row r="517" spans="1:9" ht="14.25" customHeight="1" x14ac:dyDescent="0.3">
      <c r="A517" s="2">
        <v>516</v>
      </c>
      <c r="B517" s="3" t="s">
        <v>524</v>
      </c>
      <c r="C517" s="2" t="str">
        <f ca="1">IFERROR(__xludf.DUMMYFUNCTION("GOOGLETRANSLATE(B517, ""en"",""es"")"),"rango")</f>
        <v>rango</v>
      </c>
      <c r="D517" s="2" t="str">
        <f ca="1">IFERROR(__xludf.DUMMYFUNCTION("GOOGLETRANSLATE(B517,""en"",""ig"")"),"renji")</f>
        <v>renji</v>
      </c>
      <c r="E517" s="2" t="str">
        <f ca="1">IFERROR(__xludf.DUMMYFUNCTION("GOOGLETRANSLATE(B517,""en"",""fr"")"),"gamme")</f>
        <v>gamme</v>
      </c>
      <c r="F517" s="2" t="str">
        <f ca="1">IFERROR(__xludf.DUMMYFUNCTION("GOOGLETRANSLATE(B517,""en"",""it"")"),"allineare")</f>
        <v>allineare</v>
      </c>
      <c r="G517" s="2" t="str">
        <f ca="1">IFERROR(__xludf.DUMMYFUNCTION("GOOGLETRANSLATE(B517,""en"",""de"")"),"Reichweite")</f>
        <v>Reichweite</v>
      </c>
      <c r="H517" s="2" t="str">
        <f ca="1">IFERROR(__xludf.DUMMYFUNCTION("GOOGLETRANSLATE(B517,""en"",""zh"")"),"范围")</f>
        <v>范围</v>
      </c>
      <c r="I517" s="2" t="str">
        <f ca="1">IFERROR(__xludf.DUMMYFUNCTION("GOOGLETRANSLATE(B517,""en"",""gd"")"),"Raon")</f>
        <v>Raon</v>
      </c>
    </row>
    <row r="518" spans="1:9" ht="14.25" customHeight="1" x14ac:dyDescent="0.3">
      <c r="A518" s="2">
        <v>517</v>
      </c>
      <c r="B518" s="3" t="s">
        <v>525</v>
      </c>
      <c r="C518" s="2" t="str">
        <f ca="1">IFERROR(__xludf.DUMMYFUNCTION("GOOGLETRANSLATE(B518, ""en"",""es"")"),"calidad")</f>
        <v>calidad</v>
      </c>
      <c r="D518" s="2" t="str">
        <f ca="1">IFERROR(__xludf.DUMMYFUNCTION("GOOGLETRANSLATE(B518,""en"",""ig"")"),"mma")</f>
        <v>mma</v>
      </c>
      <c r="E518" s="2" t="str">
        <f ca="1">IFERROR(__xludf.DUMMYFUNCTION("GOOGLETRANSLATE(B518,""en"",""fr"")"),"qualité")</f>
        <v>qualité</v>
      </c>
      <c r="F518" s="2" t="str">
        <f ca="1">IFERROR(__xludf.DUMMYFUNCTION("GOOGLETRANSLATE(B518,""en"",""it"")"),"qualità")</f>
        <v>qualità</v>
      </c>
      <c r="G518" s="2" t="str">
        <f ca="1">IFERROR(__xludf.DUMMYFUNCTION("GOOGLETRANSLATE(B518,""en"",""de"")"),"Qualität")</f>
        <v>Qualität</v>
      </c>
      <c r="H518" s="2" t="str">
        <f ca="1">IFERROR(__xludf.DUMMYFUNCTION("GOOGLETRANSLATE(B518,""en"",""zh"")"),"质量")</f>
        <v>质量</v>
      </c>
      <c r="I518" s="2" t="str">
        <f ca="1">IFERROR(__xludf.DUMMYFUNCTION("GOOGLETRANSLATE(B518,""en"",""gd"")"),"Càileachd")</f>
        <v>Càileachd</v>
      </c>
    </row>
    <row r="519" spans="1:9" ht="14.25" customHeight="1" x14ac:dyDescent="0.3">
      <c r="A519" s="2">
        <v>518</v>
      </c>
      <c r="B519" s="3" t="s">
        <v>526</v>
      </c>
      <c r="C519" s="2" t="str">
        <f ca="1">IFERROR(__xludf.DUMMYFUNCTION("GOOGLETRANSLATE(B519, ""en"",""es"")"),"proyecto")</f>
        <v>proyecto</v>
      </c>
      <c r="D519" s="2" t="str">
        <f ca="1">IFERROR(__xludf.DUMMYFUNCTION("GOOGLETRANSLATE(B519,""en"",""ig"")"),"arumaru")</f>
        <v>arumaru</v>
      </c>
      <c r="E519" s="2" t="str">
        <f ca="1">IFERROR(__xludf.DUMMYFUNCTION("GOOGLETRANSLATE(B519,""en"",""fr"")"),"projet")</f>
        <v>projet</v>
      </c>
      <c r="F519" s="2" t="str">
        <f ca="1">IFERROR(__xludf.DUMMYFUNCTION("GOOGLETRANSLATE(B519,""en"",""it"")"),"progetto")</f>
        <v>progetto</v>
      </c>
      <c r="G519" s="2" t="str">
        <f ca="1">IFERROR(__xludf.DUMMYFUNCTION("GOOGLETRANSLATE(B519,""en"",""de"")"),"Projekt")</f>
        <v>Projekt</v>
      </c>
      <c r="H519" s="2" t="str">
        <f ca="1">IFERROR(__xludf.DUMMYFUNCTION("GOOGLETRANSLATE(B519,""en"",""zh"")"),"项目")</f>
        <v>项目</v>
      </c>
      <c r="I519" s="2" t="str">
        <f ca="1">IFERROR(__xludf.DUMMYFUNCTION("GOOGLETRANSLATE(B519,""en"",""gd"")"),"Pròiseact")</f>
        <v>Pròiseact</v>
      </c>
    </row>
    <row r="520" spans="1:9" ht="14.25" customHeight="1" x14ac:dyDescent="0.3">
      <c r="A520" s="2">
        <v>519</v>
      </c>
      <c r="B520" s="3" t="s">
        <v>527</v>
      </c>
      <c r="C520" s="2" t="str">
        <f ca="1">IFERROR(__xludf.DUMMYFUNCTION("GOOGLETRANSLATE(B520, ""en"",""es"")"),"redondo")</f>
        <v>redondo</v>
      </c>
      <c r="D520" s="2" t="str">
        <f ca="1">IFERROR(__xludf.DUMMYFUNCTION("GOOGLETRANSLATE(B520,""en"",""ig"")"),"gburugburu")</f>
        <v>gburugburu</v>
      </c>
      <c r="E520" s="2" t="str">
        <f ca="1">IFERROR(__xludf.DUMMYFUNCTION("GOOGLETRANSLATE(B520,""en"",""fr"")"),"rond")</f>
        <v>rond</v>
      </c>
      <c r="F520" s="2" t="str">
        <f ca="1">IFERROR(__xludf.DUMMYFUNCTION("GOOGLETRANSLATE(B520,""en"",""it"")"),"girare")</f>
        <v>girare</v>
      </c>
      <c r="G520" s="2" t="str">
        <f ca="1">IFERROR(__xludf.DUMMYFUNCTION("GOOGLETRANSLATE(B520,""en"",""de"")"),"runden")</f>
        <v>runden</v>
      </c>
      <c r="H520" s="2" t="str">
        <f ca="1">IFERROR(__xludf.DUMMYFUNCTION("GOOGLETRANSLATE(B520,""en"",""zh"")"),"圆形的")</f>
        <v>圆形的</v>
      </c>
      <c r="I520" s="2" t="str">
        <f ca="1">IFERROR(__xludf.DUMMYFUNCTION("GOOGLETRANSLATE(B520,""en"",""gd"")"),"cruinn")</f>
        <v>cruinn</v>
      </c>
    </row>
    <row r="521" spans="1:9" ht="14.25" customHeight="1" x14ac:dyDescent="0.3">
      <c r="A521" s="2">
        <v>520</v>
      </c>
      <c r="B521" s="3" t="s">
        <v>528</v>
      </c>
      <c r="C521" s="2" t="str">
        <f ca="1">IFERROR(__xludf.DUMMYFUNCTION("GOOGLETRANSLATE(B521, ""en"",""es"")"),"oportunidad")</f>
        <v>oportunidad</v>
      </c>
      <c r="D521" s="2" t="str">
        <f ca="1">IFERROR(__xludf.DUMMYFUNCTION("GOOGLETRANSLATE(B521,""en"",""ig"")"),"ndaba")</f>
        <v>ndaba</v>
      </c>
      <c r="E521" s="2" t="str">
        <f ca="1">IFERROR(__xludf.DUMMYFUNCTION("GOOGLETRANSLATE(B521,""en"",""fr"")"),"opportunité")</f>
        <v>opportunité</v>
      </c>
      <c r="F521" s="2" t="str">
        <f ca="1">IFERROR(__xludf.DUMMYFUNCTION("GOOGLETRANSLATE(B521,""en"",""it"")"),"opportunità")</f>
        <v>opportunità</v>
      </c>
      <c r="G521" s="2" t="str">
        <f ca="1">IFERROR(__xludf.DUMMYFUNCTION("GOOGLETRANSLATE(B521,""en"",""de"")"),"Gelegenheit")</f>
        <v>Gelegenheit</v>
      </c>
      <c r="H521" s="2" t="str">
        <f ca="1">IFERROR(__xludf.DUMMYFUNCTION("GOOGLETRANSLATE(B521,""en"",""zh"")"),"机会")</f>
        <v>机会</v>
      </c>
      <c r="I521" s="2" t="str">
        <f ca="1">IFERROR(__xludf.DUMMYFUNCTION("GOOGLETRANSLATE(B521,""en"",""gd"")"),"Cothrom")</f>
        <v>Cothrom</v>
      </c>
    </row>
    <row r="522" spans="1:9" ht="14.25" customHeight="1" x14ac:dyDescent="0.3">
      <c r="A522" s="2">
        <v>521</v>
      </c>
      <c r="B522" s="3" t="s">
        <v>529</v>
      </c>
      <c r="C522" s="2" t="str">
        <f ca="1">IFERROR(__xludf.DUMMYFUNCTION("GOOGLETRANSLATE(B522, ""en"",""es"")"),"camino")</f>
        <v>camino</v>
      </c>
      <c r="D522" s="2" t="str">
        <f ca="1">IFERROR(__xludf.DUMMYFUNCTION("GOOGLETRANSLATE(B522,""en"",""ig"")"),"okporouzo")</f>
        <v>okporouzo</v>
      </c>
      <c r="E522" s="2" t="str">
        <f ca="1">IFERROR(__xludf.DUMMYFUNCTION("GOOGLETRANSLATE(B522,""en"",""fr"")"),"route")</f>
        <v>route</v>
      </c>
      <c r="F522" s="2" t="str">
        <f ca="1">IFERROR(__xludf.DUMMYFUNCTION("GOOGLETRANSLATE(B522,""en"",""it"")"),"strada")</f>
        <v>strada</v>
      </c>
      <c r="G522" s="2" t="str">
        <f ca="1">IFERROR(__xludf.DUMMYFUNCTION("GOOGLETRANSLATE(B522,""en"",""de"")"),"Straße")</f>
        <v>Straße</v>
      </c>
      <c r="H522" s="2" t="str">
        <f ca="1">IFERROR(__xludf.DUMMYFUNCTION("GOOGLETRANSLATE(B522,""en"",""zh"")"),"路")</f>
        <v>路</v>
      </c>
      <c r="I522" s="2" t="str">
        <f ca="1">IFERROR(__xludf.DUMMYFUNCTION("GOOGLETRANSLATE(B522,""en"",""gd"")"),"Rathad")</f>
        <v>Rathad</v>
      </c>
    </row>
    <row r="523" spans="1:9" ht="14.25" customHeight="1" x14ac:dyDescent="0.3">
      <c r="A523" s="2">
        <v>522</v>
      </c>
      <c r="B523" s="3" t="s">
        <v>530</v>
      </c>
      <c r="C523" s="2" t="str">
        <f ca="1">IFERROR(__xludf.DUMMYFUNCTION("GOOGLETRANSLATE(B523, ""en"",""es"")"),"acuerdo")</f>
        <v>acuerdo</v>
      </c>
      <c r="D523" s="2" t="str">
        <f ca="1">IFERROR(__xludf.DUMMYFUNCTION("GOOGLETRANSLATE(B523,""en"",""ig"")"),"mnyemeaka")</f>
        <v>mnyemeaka</v>
      </c>
      <c r="E523" s="2" t="str">
        <f ca="1">IFERROR(__xludf.DUMMYFUNCTION("GOOGLETRANSLATE(B523,""en"",""fr"")"),"accord")</f>
        <v>accord</v>
      </c>
      <c r="F523" s="2" t="str">
        <f ca="1">IFERROR(__xludf.DUMMYFUNCTION("GOOGLETRANSLATE(B523,""en"",""it"")"),"accordo")</f>
        <v>accordo</v>
      </c>
      <c r="G523" s="2" t="str">
        <f ca="1">IFERROR(__xludf.DUMMYFUNCTION("GOOGLETRANSLATE(B523,""en"",""de"")"),"Übereinstimmung")</f>
        <v>Übereinstimmung</v>
      </c>
      <c r="H523" s="2" t="str">
        <f ca="1">IFERROR(__xludf.DUMMYFUNCTION("GOOGLETRANSLATE(B523,""en"",""zh"")"),"符合")</f>
        <v>符合</v>
      </c>
      <c r="I523" s="2" t="str">
        <f ca="1">IFERROR(__xludf.DUMMYFUNCTION("GOOGLETRANSLATE(B523,""en"",""gd"")"),"Accord")</f>
        <v>Accord</v>
      </c>
    </row>
    <row r="524" spans="1:9" ht="14.25" customHeight="1" x14ac:dyDescent="0.3">
      <c r="A524" s="2">
        <v>523</v>
      </c>
      <c r="B524" s="3" t="s">
        <v>531</v>
      </c>
      <c r="C524" s="2" t="str">
        <f ca="1">IFERROR(__xludf.DUMMYFUNCTION("GOOGLETRANSLATE(B524, ""en"",""es"")"),"lista")</f>
        <v>lista</v>
      </c>
      <c r="D524" s="2" t="str">
        <f ca="1">IFERROR(__xludf.DUMMYFUNCTION("GOOGLETRANSLATE(B524,""en"",""ig"")"),"ilisti")</f>
        <v>ilisti</v>
      </c>
      <c r="E524" s="2" t="str">
        <f ca="1">IFERROR(__xludf.DUMMYFUNCTION("GOOGLETRANSLATE(B524,""en"",""fr"")"),"liste")</f>
        <v>liste</v>
      </c>
      <c r="F524" s="2" t="str">
        <f ca="1">IFERROR(__xludf.DUMMYFUNCTION("GOOGLETRANSLATE(B524,""en"",""it"")"),"elenco")</f>
        <v>elenco</v>
      </c>
      <c r="G524" s="2" t="str">
        <f ca="1">IFERROR(__xludf.DUMMYFUNCTION("GOOGLETRANSLATE(B524,""en"",""de"")"),"Liste")</f>
        <v>Liste</v>
      </c>
      <c r="H524" s="2" t="str">
        <f ca="1">IFERROR(__xludf.DUMMYFUNCTION("GOOGLETRANSLATE(B524,""en"",""zh"")"),"列表")</f>
        <v>列表</v>
      </c>
      <c r="I524" s="2" t="str">
        <f ca="1">IFERROR(__xludf.DUMMYFUNCTION("GOOGLETRANSLATE(B524,""en"",""gd"")"),"Liosta")</f>
        <v>Liosta</v>
      </c>
    </row>
    <row r="525" spans="1:9" ht="14.25" customHeight="1" x14ac:dyDescent="0.3">
      <c r="A525" s="2">
        <v>524</v>
      </c>
      <c r="B525" s="3" t="s">
        <v>532</v>
      </c>
      <c r="C525" s="2" t="str">
        <f ca="1">IFERROR(__xludf.DUMMYFUNCTION("GOOGLETRANSLATE(B525, ""en"",""es"")"),"desear")</f>
        <v>desear</v>
      </c>
      <c r="D525" s="2" t="str">
        <f ca="1">IFERROR(__xludf.DUMMYFUNCTION("GOOGLETRANSLATE(B525,""en"",""ig"")"),"chee")</f>
        <v>chee</v>
      </c>
      <c r="E525" s="2" t="str">
        <f ca="1">IFERROR(__xludf.DUMMYFUNCTION("GOOGLETRANSLATE(B525,""en"",""fr"")"),"souhait")</f>
        <v>souhait</v>
      </c>
      <c r="F525" s="2" t="str">
        <f ca="1">IFERROR(__xludf.DUMMYFUNCTION("GOOGLETRANSLATE(B525,""en"",""it"")"),"desiderio")</f>
        <v>desiderio</v>
      </c>
      <c r="G525" s="2" t="str">
        <f ca="1">IFERROR(__xludf.DUMMYFUNCTION("GOOGLETRANSLATE(B525,""en"",""de"")"),"Wunsch")</f>
        <v>Wunsch</v>
      </c>
      <c r="H525" s="2" t="str">
        <f ca="1">IFERROR(__xludf.DUMMYFUNCTION("GOOGLETRANSLATE(B525,""en"",""zh"")"),"希望")</f>
        <v>希望</v>
      </c>
      <c r="I525" s="2" t="str">
        <f ca="1">IFERROR(__xludf.DUMMYFUNCTION("GOOGLETRANSLATE(B525,""en"",""gd"")"),"miann")</f>
        <v>miann</v>
      </c>
    </row>
    <row r="526" spans="1:9" ht="14.25" customHeight="1" x14ac:dyDescent="0.3">
      <c r="A526" s="2">
        <v>525</v>
      </c>
      <c r="B526" s="3" t="s">
        <v>533</v>
      </c>
      <c r="C526" s="2" t="str">
        <f ca="1">IFERROR(__xludf.DUMMYFUNCTION("GOOGLETRANSLATE(B526, ""en"",""es"")"),"por lo tanto")</f>
        <v>por lo tanto</v>
      </c>
      <c r="D526" s="2" t="str">
        <f ca="1">IFERROR(__xludf.DUMMYFUNCTION("GOOGLETRANSLATE(B526,""en"",""ig"")"),"makankeahu")</f>
        <v>makankeahu</v>
      </c>
      <c r="E526" s="2" t="str">
        <f ca="1">IFERROR(__xludf.DUMMYFUNCTION("GOOGLETRANSLATE(B526,""en"",""fr"")"),"donc")</f>
        <v>donc</v>
      </c>
      <c r="F526" s="2" t="str">
        <f ca="1">IFERROR(__xludf.DUMMYFUNCTION("GOOGLETRANSLATE(B526,""en"",""it"")"),"Perciò")</f>
        <v>Perciò</v>
      </c>
      <c r="G526" s="2" t="str">
        <f ca="1">IFERROR(__xludf.DUMMYFUNCTION("GOOGLETRANSLATE(B526,""en"",""de"")"),"daher")</f>
        <v>daher</v>
      </c>
      <c r="H526" s="2" t="str">
        <f ca="1">IFERROR(__xludf.DUMMYFUNCTION("GOOGLETRANSLATE(B526,""en"",""zh"")"),"所以")</f>
        <v>所以</v>
      </c>
      <c r="I526" s="2" t="str">
        <f ca="1">IFERROR(__xludf.DUMMYFUNCTION("GOOGLETRANSLATE(B526,""en"",""gd"")"),"Mar sin")</f>
        <v>Mar sin</v>
      </c>
    </row>
    <row r="527" spans="1:9" ht="14.25" customHeight="1" x14ac:dyDescent="0.3">
      <c r="A527" s="2">
        <v>526</v>
      </c>
      <c r="B527" s="3" t="s">
        <v>534</v>
      </c>
      <c r="C527" s="2" t="str">
        <f ca="1">IFERROR(__xludf.DUMMYFUNCTION("GOOGLETRANSLATE(B527, ""en"",""es"")"),"tener puesto")</f>
        <v>tener puesto</v>
      </c>
      <c r="D527" s="2" t="str">
        <f ca="1">IFERROR(__xludf.DUMMYFUNCTION("GOOGLETRANSLATE(B527,""en"",""ig"")"),"yiri")</f>
        <v>yiri</v>
      </c>
      <c r="E527" s="2" t="str">
        <f ca="1">IFERROR(__xludf.DUMMYFUNCTION("GOOGLETRANSLATE(B527,""en"",""fr"")"),"porter")</f>
        <v>porter</v>
      </c>
      <c r="F527" s="2" t="str">
        <f ca="1">IFERROR(__xludf.DUMMYFUNCTION("GOOGLETRANSLATE(B527,""en"",""it"")"),"Indossare")</f>
        <v>Indossare</v>
      </c>
      <c r="G527" s="2" t="str">
        <f ca="1">IFERROR(__xludf.DUMMYFUNCTION("GOOGLETRANSLATE(B527,""en"",""de"")"),"tragen")</f>
        <v>tragen</v>
      </c>
      <c r="H527" s="2" t="str">
        <f ca="1">IFERROR(__xludf.DUMMYFUNCTION("GOOGLETRANSLATE(B527,""en"",""zh"")"),"穿")</f>
        <v>穿</v>
      </c>
      <c r="I527" s="2" t="str">
        <f ca="1">IFERROR(__xludf.DUMMYFUNCTION("GOOGLETRANSLATE(B527,""en"",""gd"")"),"caitheamh")</f>
        <v>caitheamh</v>
      </c>
    </row>
    <row r="528" spans="1:9" ht="14.25" customHeight="1" x14ac:dyDescent="0.3">
      <c r="A528" s="2">
        <v>527</v>
      </c>
      <c r="B528" s="3" t="s">
        <v>535</v>
      </c>
      <c r="C528" s="2" t="str">
        <f ca="1">IFERROR(__xludf.DUMMYFUNCTION("GOOGLETRANSLATE(B528, ""en"",""es"")"),"fondo")</f>
        <v>fondo</v>
      </c>
      <c r="D528" s="2" t="str">
        <f ca="1">IFERROR(__xludf.DUMMYFUNCTION("GOOGLETRANSLATE(B528,""en"",""ig"")"),"ego oru")</f>
        <v>ego oru</v>
      </c>
      <c r="E528" s="2" t="str">
        <f ca="1">IFERROR(__xludf.DUMMYFUNCTION("GOOGLETRANSLATE(B528,""en"",""fr"")"),"fonds")</f>
        <v>fonds</v>
      </c>
      <c r="F528" s="2" t="str">
        <f ca="1">IFERROR(__xludf.DUMMYFUNCTION("GOOGLETRANSLATE(B528,""en"",""it"")"),"finanziare")</f>
        <v>finanziare</v>
      </c>
      <c r="G528" s="2" t="str">
        <f ca="1">IFERROR(__xludf.DUMMYFUNCTION("GOOGLETRANSLATE(B528,""en"",""de"")"),"Fonds")</f>
        <v>Fonds</v>
      </c>
      <c r="H528" s="2" t="str">
        <f ca="1">IFERROR(__xludf.DUMMYFUNCTION("GOOGLETRANSLATE(B528,""en"",""zh"")"),"基金")</f>
        <v>基金</v>
      </c>
      <c r="I528" s="2" t="str">
        <f ca="1">IFERROR(__xludf.DUMMYFUNCTION("GOOGLETRANSLATE(B528,""en"",""gd"")"),"Maoin")</f>
        <v>Maoin</v>
      </c>
    </row>
    <row r="529" spans="1:9" ht="14.25" customHeight="1" x14ac:dyDescent="0.3">
      <c r="A529" s="2">
        <v>528</v>
      </c>
      <c r="B529" s="3" t="s">
        <v>536</v>
      </c>
      <c r="C529" s="2" t="str">
        <f ca="1">IFERROR(__xludf.DUMMYFUNCTION("GOOGLETRANSLATE(B529, ""en"",""es"")"),"descansar")</f>
        <v>descansar</v>
      </c>
      <c r="D529" s="2" t="str">
        <f ca="1">IFERROR(__xludf.DUMMYFUNCTION("GOOGLETRANSLATE(B529,""en"",""ig"")"),"nzuike")</f>
        <v>nzuike</v>
      </c>
      <c r="E529" s="2" t="str">
        <f ca="1">IFERROR(__xludf.DUMMYFUNCTION("GOOGLETRANSLATE(B529,""en"",""fr"")"),"repos")</f>
        <v>repos</v>
      </c>
      <c r="F529" s="2" t="str">
        <f ca="1">IFERROR(__xludf.DUMMYFUNCTION("GOOGLETRANSLATE(B529,""en"",""it"")"),"riposo")</f>
        <v>riposo</v>
      </c>
      <c r="G529" s="2" t="str">
        <f ca="1">IFERROR(__xludf.DUMMYFUNCTION("GOOGLETRANSLATE(B529,""en"",""de"")"),"ausruhen")</f>
        <v>ausruhen</v>
      </c>
      <c r="H529" s="2" t="str">
        <f ca="1">IFERROR(__xludf.DUMMYFUNCTION("GOOGLETRANSLATE(B529,""en"",""zh"")"),"休息")</f>
        <v>休息</v>
      </c>
      <c r="I529" s="2" t="str">
        <f ca="1">IFERROR(__xludf.DUMMYFUNCTION("GOOGLETRANSLATE(B529,""en"",""gd"")"),"gabh fois")</f>
        <v>gabh fois</v>
      </c>
    </row>
    <row r="530" spans="1:9" ht="14.25" customHeight="1" x14ac:dyDescent="0.3">
      <c r="A530" s="2">
        <v>529</v>
      </c>
      <c r="B530" s="3" t="s">
        <v>537</v>
      </c>
      <c r="C530" s="2" t="str">
        <f ca="1">IFERROR(__xludf.DUMMYFUNCTION("GOOGLETRANSLATE(B530, ""en"",""es"")"),"niño")</f>
        <v>niño</v>
      </c>
      <c r="D530" s="2" t="str">
        <f ca="1">IFERROR(__xludf.DUMMYFUNCTION("GOOGLETRANSLATE(B530,""en"",""ig"")"),"nwata")</f>
        <v>nwata</v>
      </c>
      <c r="E530" s="2" t="str">
        <f ca="1">IFERROR(__xludf.DUMMYFUNCTION("GOOGLETRANSLATE(B530,""en"",""fr"")"),"enfant")</f>
        <v>enfant</v>
      </c>
      <c r="F530" s="2" t="str">
        <f ca="1">IFERROR(__xludf.DUMMYFUNCTION("GOOGLETRANSLATE(B530,""en"",""it"")"),"ragazzo")</f>
        <v>ragazzo</v>
      </c>
      <c r="G530" s="2" t="str">
        <f ca="1">IFERROR(__xludf.DUMMYFUNCTION("GOOGLETRANSLATE(B530,""en"",""de"")"),"Kind")</f>
        <v>Kind</v>
      </c>
      <c r="H530" s="2" t="str">
        <f ca="1">IFERROR(__xludf.DUMMYFUNCTION("GOOGLETRANSLATE(B530,""en"",""zh"")"),"孩子")</f>
        <v>孩子</v>
      </c>
      <c r="I530" s="2" t="str">
        <f ca="1">IFERROR(__xludf.DUMMYFUNCTION("GOOGLETRANSLATE(B530,""en"",""gd"")"),"Kid")</f>
        <v>Kid</v>
      </c>
    </row>
    <row r="531" spans="1:9" ht="14.25" customHeight="1" x14ac:dyDescent="0.3">
      <c r="A531" s="2">
        <v>530</v>
      </c>
      <c r="B531" s="3" t="s">
        <v>538</v>
      </c>
      <c r="C531" s="2" t="str">
        <f ca="1">IFERROR(__xludf.DUMMYFUNCTION("GOOGLETRANSLATE(B531, ""en"",""es"")"),"industria")</f>
        <v>industria</v>
      </c>
      <c r="D531" s="2" t="str">
        <f ca="1">IFERROR(__xludf.DUMMYFUNCTION("GOOGLETRANSLATE(B531,""en"",""ig"")"),"ndostri")</f>
        <v>ndostri</v>
      </c>
      <c r="E531" s="2" t="str">
        <f ca="1">IFERROR(__xludf.DUMMYFUNCTION("GOOGLETRANSLATE(B531,""en"",""fr"")"),"industrie")</f>
        <v>industrie</v>
      </c>
      <c r="F531" s="2" t="str">
        <f ca="1">IFERROR(__xludf.DUMMYFUNCTION("GOOGLETRANSLATE(B531,""en"",""it"")"),"industria")</f>
        <v>industria</v>
      </c>
      <c r="G531" s="2" t="str">
        <f ca="1">IFERROR(__xludf.DUMMYFUNCTION("GOOGLETRANSLATE(B531,""en"",""de"")"),"Industrie")</f>
        <v>Industrie</v>
      </c>
      <c r="H531" s="2" t="str">
        <f ca="1">IFERROR(__xludf.DUMMYFUNCTION("GOOGLETRANSLATE(B531,""en"",""zh"")"),"行业")</f>
        <v>行业</v>
      </c>
      <c r="I531" s="2" t="str">
        <f ca="1">IFERROR(__xludf.DUMMYFUNCTION("GOOGLETRANSLATE(B531,""en"",""gd"")"),"gnìomhachas")</f>
        <v>gnìomhachas</v>
      </c>
    </row>
    <row r="532" spans="1:9" ht="14.25" customHeight="1" x14ac:dyDescent="0.3">
      <c r="A532" s="2">
        <v>531</v>
      </c>
      <c r="B532" s="3" t="s">
        <v>539</v>
      </c>
      <c r="C532" s="2" t="str">
        <f ca="1">IFERROR(__xludf.DUMMYFUNCTION("GOOGLETRANSLATE(B532, ""en"",""es"")"),"educación")</f>
        <v>educación</v>
      </c>
      <c r="D532" s="2" t="str">
        <f ca="1">IFERROR(__xludf.DUMMYFUNCTION("GOOGLETRANSLATE(B532,""en"",""ig"")"),"mmuta")</f>
        <v>mmuta</v>
      </c>
      <c r="E532" s="2" t="str">
        <f ca="1">IFERROR(__xludf.DUMMYFUNCTION("GOOGLETRANSLATE(B532,""en"",""fr"")"),"éducation")</f>
        <v>éducation</v>
      </c>
      <c r="F532" s="2" t="str">
        <f ca="1">IFERROR(__xludf.DUMMYFUNCTION("GOOGLETRANSLATE(B532,""en"",""it"")"),"formazione scolastica")</f>
        <v>formazione scolastica</v>
      </c>
      <c r="G532" s="2" t="str">
        <f ca="1">IFERROR(__xludf.DUMMYFUNCTION("GOOGLETRANSLATE(B532,""en"",""de"")"),"Ausbildung")</f>
        <v>Ausbildung</v>
      </c>
      <c r="H532" s="2" t="str">
        <f ca="1">IFERROR(__xludf.DUMMYFUNCTION("GOOGLETRANSLATE(B532,""en"",""zh"")"),"教育")</f>
        <v>教育</v>
      </c>
      <c r="I532" s="2" t="str">
        <f ca="1">IFERROR(__xludf.DUMMYFUNCTION("GOOGLETRANSLATE(B532,""en"",""gd"")"),"Foghlam")</f>
        <v>Foghlam</v>
      </c>
    </row>
    <row r="533" spans="1:9" ht="14.25" customHeight="1" x14ac:dyDescent="0.3">
      <c r="A533" s="2">
        <v>532</v>
      </c>
      <c r="B533" s="3" t="s">
        <v>540</v>
      </c>
      <c r="C533" s="2" t="str">
        <f ca="1">IFERROR(__xludf.DUMMYFUNCTION("GOOGLETRANSLATE(B533, ""en"",""es"")"),"medida")</f>
        <v>medida</v>
      </c>
      <c r="D533" s="2" t="str">
        <f ca="1">IFERROR(__xludf.DUMMYFUNCTION("GOOGLETRANSLATE(B533,""en"",""ig"")"),"mesho")</f>
        <v>mesho</v>
      </c>
      <c r="E533" s="2" t="str">
        <f ca="1">IFERROR(__xludf.DUMMYFUNCTION("GOOGLETRANSLATE(B533,""en"",""fr"")"),"mesure")</f>
        <v>mesure</v>
      </c>
      <c r="F533" s="2" t="str">
        <f ca="1">IFERROR(__xludf.DUMMYFUNCTION("GOOGLETRANSLATE(B533,""en"",""it"")"),"misurare")</f>
        <v>misurare</v>
      </c>
      <c r="G533" s="2" t="str">
        <f ca="1">IFERROR(__xludf.DUMMYFUNCTION("GOOGLETRANSLATE(B533,""en"",""de"")"),"messen")</f>
        <v>messen</v>
      </c>
      <c r="H533" s="2" t="str">
        <f ca="1">IFERROR(__xludf.DUMMYFUNCTION("GOOGLETRANSLATE(B533,""en"",""zh"")"),"措施")</f>
        <v>措施</v>
      </c>
      <c r="I533" s="2" t="str">
        <f ca="1">IFERROR(__xludf.DUMMYFUNCTION("GOOGLETRANSLATE(B533,""en"",""gd"")"),"tomhas")</f>
        <v>tomhas</v>
      </c>
    </row>
    <row r="534" spans="1:9" ht="14.25" customHeight="1" x14ac:dyDescent="0.3">
      <c r="A534" s="2">
        <v>533</v>
      </c>
      <c r="B534" s="3" t="s">
        <v>541</v>
      </c>
      <c r="C534" s="2" t="str">
        <f ca="1">IFERROR(__xludf.DUMMYFUNCTION("GOOGLETRANSLATE(B534, ""en"",""es"")"),"matar")</f>
        <v>matar</v>
      </c>
      <c r="D534" s="2" t="str">
        <f ca="1">IFERROR(__xludf.DUMMYFUNCTION("GOOGLETRANSLATE(B534,""en"",""ig"")"),"igbu")</f>
        <v>igbu</v>
      </c>
      <c r="E534" s="2" t="str">
        <f ca="1">IFERROR(__xludf.DUMMYFUNCTION("GOOGLETRANSLATE(B534,""en"",""fr"")"),"tuer")</f>
        <v>tuer</v>
      </c>
      <c r="F534" s="2" t="str">
        <f ca="1">IFERROR(__xludf.DUMMYFUNCTION("GOOGLETRANSLATE(B534,""en"",""it"")"),"uccisione")</f>
        <v>uccisione</v>
      </c>
      <c r="G534" s="2" t="str">
        <f ca="1">IFERROR(__xludf.DUMMYFUNCTION("GOOGLETRANSLATE(B534,""en"",""de"")"),"töten")</f>
        <v>töten</v>
      </c>
      <c r="H534" s="2" t="str">
        <f ca="1">IFERROR(__xludf.DUMMYFUNCTION("GOOGLETRANSLATE(B534,""en"",""zh"")"),"杀")</f>
        <v>杀</v>
      </c>
      <c r="I534" s="2" t="str">
        <f ca="1">IFERROR(__xludf.DUMMYFUNCTION("GOOGLETRANSLATE(B534,""en"",""gd"")"),"marbhadh")</f>
        <v>marbhadh</v>
      </c>
    </row>
    <row r="535" spans="1:9" ht="14.25" customHeight="1" x14ac:dyDescent="0.3">
      <c r="A535" s="2">
        <v>534</v>
      </c>
      <c r="B535" s="3" t="s">
        <v>542</v>
      </c>
      <c r="C535" s="2" t="str">
        <f ca="1">IFERROR(__xludf.DUMMYFUNCTION("GOOGLETRANSLATE(B535, ""en"",""es"")"),"atender")</f>
        <v>atender</v>
      </c>
      <c r="D535" s="2" t="str">
        <f ca="1">IFERROR(__xludf.DUMMYFUNCTION("GOOGLETRANSLATE(B535,""en"",""ig"")"),"ijeozi")</f>
        <v>ijeozi</v>
      </c>
      <c r="E535" s="2" t="str">
        <f ca="1">IFERROR(__xludf.DUMMYFUNCTION("GOOGLETRANSLATE(B535,""en"",""fr"")"),"servir")</f>
        <v>servir</v>
      </c>
      <c r="F535" s="2" t="str">
        <f ca="1">IFERROR(__xludf.DUMMYFUNCTION("GOOGLETRANSLATE(B535,""en"",""it"")"),"servire")</f>
        <v>servire</v>
      </c>
      <c r="G535" s="2" t="str">
        <f ca="1">IFERROR(__xludf.DUMMYFUNCTION("GOOGLETRANSLATE(B535,""en"",""de"")"),"Aufschlag")</f>
        <v>Aufschlag</v>
      </c>
      <c r="H535" s="2" t="str">
        <f ca="1">IFERROR(__xludf.DUMMYFUNCTION("GOOGLETRANSLATE(B535,""en"",""zh"")"),"服务")</f>
        <v>服务</v>
      </c>
      <c r="I535" s="2" t="str">
        <f ca="1">IFERROR(__xludf.DUMMYFUNCTION("GOOGLETRANSLATE(B535,""en"",""gd"")"),"frithealadh")</f>
        <v>frithealadh</v>
      </c>
    </row>
    <row r="536" spans="1:9" ht="14.25" customHeight="1" x14ac:dyDescent="0.3">
      <c r="A536" s="2">
        <v>535</v>
      </c>
      <c r="B536" s="3" t="s">
        <v>543</v>
      </c>
      <c r="C536" s="2" t="str">
        <f ca="1">IFERROR(__xludf.DUMMYFUNCTION("GOOGLETRANSLATE(B536, ""en"",""es"")"),"probable")</f>
        <v>probable</v>
      </c>
      <c r="D536" s="2" t="str">
        <f ca="1">IFERROR(__xludf.DUMMYFUNCTION("GOOGLETRANSLATE(B536,""en"",""ig"")"),"kwesiri")</f>
        <v>kwesiri</v>
      </c>
      <c r="E536" s="2" t="str">
        <f ca="1">IFERROR(__xludf.DUMMYFUNCTION("GOOGLETRANSLATE(B536,""en"",""fr"")"),"probable")</f>
        <v>probable</v>
      </c>
      <c r="F536" s="2" t="str">
        <f ca="1">IFERROR(__xludf.DUMMYFUNCTION("GOOGLETRANSLATE(B536,""en"",""it"")"),"probabile")</f>
        <v>probabile</v>
      </c>
      <c r="G536" s="2" t="str">
        <f ca="1">IFERROR(__xludf.DUMMYFUNCTION("GOOGLETRANSLATE(B536,""en"",""de"")"),"wahrscheinlich")</f>
        <v>wahrscheinlich</v>
      </c>
      <c r="H536" s="2" t="str">
        <f ca="1">IFERROR(__xludf.DUMMYFUNCTION("GOOGLETRANSLATE(B536,""en"",""zh"")"),"可能")</f>
        <v>可能</v>
      </c>
      <c r="I536" s="2" t="str">
        <f ca="1">IFERROR(__xludf.DUMMYFUNCTION("GOOGLETRANSLATE(B536,""en"",""gd"")"),"dualtach")</f>
        <v>dualtach</v>
      </c>
    </row>
    <row r="537" spans="1:9" ht="14.25" customHeight="1" x14ac:dyDescent="0.3">
      <c r="A537" s="2">
        <v>536</v>
      </c>
      <c r="B537" s="3" t="s">
        <v>544</v>
      </c>
      <c r="C537" s="2" t="str">
        <f ca="1">IFERROR(__xludf.DUMMYFUNCTION("GOOGLETRANSLATE(B537, ""en"",""es"")"),"ciertamente")</f>
        <v>ciertamente</v>
      </c>
      <c r="D537" s="2" t="str">
        <f ca="1">IFERROR(__xludf.DUMMYFUNCTION("GOOGLETRANSLATE(B537,""en"",""ig"")"),"amaaama")</f>
        <v>amaaama</v>
      </c>
      <c r="E537" s="2" t="str">
        <f ca="1">IFERROR(__xludf.DUMMYFUNCTION("GOOGLETRANSLATE(B537,""en"",""fr"")"),"certainement")</f>
        <v>certainement</v>
      </c>
      <c r="F537" s="2" t="str">
        <f ca="1">IFERROR(__xludf.DUMMYFUNCTION("GOOGLETRANSLATE(B537,""en"",""it"")"),"certamente")</f>
        <v>certamente</v>
      </c>
      <c r="G537" s="2" t="str">
        <f ca="1">IFERROR(__xludf.DUMMYFUNCTION("GOOGLETRANSLATE(B537,""en"",""de"")"),"sicherlich")</f>
        <v>sicherlich</v>
      </c>
      <c r="H537" s="2" t="str">
        <f ca="1">IFERROR(__xludf.DUMMYFUNCTION("GOOGLETRANSLATE(B537,""en"",""zh"")"),"当然")</f>
        <v>当然</v>
      </c>
      <c r="I537" s="2" t="str">
        <f ca="1">IFERROR(__xludf.DUMMYFUNCTION("GOOGLETRANSLATE(B537,""en"",""gd"")"),"gu cinnteach")</f>
        <v>gu cinnteach</v>
      </c>
    </row>
    <row r="538" spans="1:9" ht="14.25" customHeight="1" x14ac:dyDescent="0.3">
      <c r="A538" s="2">
        <v>537</v>
      </c>
      <c r="B538" s="3" t="s">
        <v>545</v>
      </c>
      <c r="C538" s="2" t="str">
        <f ca="1">IFERROR(__xludf.DUMMYFUNCTION("GOOGLETRANSLATE(B538, ""en"",""es"")"),"nacional")</f>
        <v>nacional</v>
      </c>
      <c r="D538" s="2" t="str">
        <f ca="1">IFERROR(__xludf.DUMMYFUNCTION("GOOGLETRANSLATE(B538,""en"",""ig"")"),"nkeobodo")</f>
        <v>nkeobodo</v>
      </c>
      <c r="E538" s="2" t="str">
        <f ca="1">IFERROR(__xludf.DUMMYFUNCTION("GOOGLETRANSLATE(B538,""en"",""fr"")"),"national")</f>
        <v>national</v>
      </c>
      <c r="F538" s="2" t="str">
        <f ca="1">IFERROR(__xludf.DUMMYFUNCTION("GOOGLETRANSLATE(B538,""en"",""it"")"),"nazionale")</f>
        <v>nazionale</v>
      </c>
      <c r="G538" s="2" t="str">
        <f ca="1">IFERROR(__xludf.DUMMYFUNCTION("GOOGLETRANSLATE(B538,""en"",""de"")"),"National")</f>
        <v>National</v>
      </c>
      <c r="H538" s="2" t="str">
        <f ca="1">IFERROR(__xludf.DUMMYFUNCTION("GOOGLETRANSLATE(B538,""en"",""zh"")"),"国家的")</f>
        <v>国家的</v>
      </c>
      <c r="I538" s="2" t="str">
        <f ca="1">IFERROR(__xludf.DUMMYFUNCTION("GOOGLETRANSLATE(B538,""en"",""gd"")"),"Nàiseanta")</f>
        <v>Nàiseanta</v>
      </c>
    </row>
    <row r="539" spans="1:9" ht="14.25" customHeight="1" x14ac:dyDescent="0.3">
      <c r="A539" s="2">
        <v>538</v>
      </c>
      <c r="B539" s="3" t="s">
        <v>546</v>
      </c>
      <c r="C539" s="2" t="str">
        <f ca="1">IFERROR(__xludf.DUMMYFUNCTION("GOOGLETRANSLATE(B539, ""en"",""es"")"),"sí mismo")</f>
        <v>sí mismo</v>
      </c>
      <c r="D539" s="2" t="str">
        <f ca="1">IFERROR(__xludf.DUMMYFUNCTION("GOOGLETRANSLATE(B539,""en"",""ig"")"),"ofu")</f>
        <v>ofu</v>
      </c>
      <c r="E539" s="2" t="str">
        <f ca="1">IFERROR(__xludf.DUMMYFUNCTION("GOOGLETRANSLATE(B539,""en"",""fr"")"),"lui-même")</f>
        <v>lui-même</v>
      </c>
      <c r="F539" s="2" t="str">
        <f ca="1">IFERROR(__xludf.DUMMYFUNCTION("GOOGLETRANSLATE(B539,""en"",""it"")"),"si")</f>
        <v>si</v>
      </c>
      <c r="G539" s="2" t="str">
        <f ca="1">IFERROR(__xludf.DUMMYFUNCTION("GOOGLETRANSLATE(B539,""en"",""de"")"),"selbst")</f>
        <v>selbst</v>
      </c>
      <c r="H539" s="2" t="str">
        <f ca="1">IFERROR(__xludf.DUMMYFUNCTION("GOOGLETRANSLATE(B539,""en"",""zh"")"),"本身")</f>
        <v>本身</v>
      </c>
      <c r="I539" s="2" t="str">
        <f ca="1">IFERROR(__xludf.DUMMYFUNCTION("GOOGLETRANSLATE(B539,""en"",""gd"")"),"fhèin")</f>
        <v>fhèin</v>
      </c>
    </row>
    <row r="540" spans="1:9" ht="14.25" customHeight="1" x14ac:dyDescent="0.3">
      <c r="A540" s="2">
        <v>539</v>
      </c>
      <c r="B540" s="3" t="s">
        <v>547</v>
      </c>
      <c r="C540" s="2" t="str">
        <f ca="1">IFERROR(__xludf.DUMMYFUNCTION("GOOGLETRANSLATE(B540, ""en"",""es"")"),"enseñar")</f>
        <v>enseñar</v>
      </c>
      <c r="D540" s="2" t="str">
        <f ca="1">IFERROR(__xludf.DUMMYFUNCTION("GOOGLETRANSLATE(B540,""en"",""ig"")"),"izi")</f>
        <v>izi</v>
      </c>
      <c r="E540" s="2" t="str">
        <f ca="1">IFERROR(__xludf.DUMMYFUNCTION("GOOGLETRANSLATE(B540,""en"",""fr"")"),"enseigner")</f>
        <v>enseigner</v>
      </c>
      <c r="F540" s="2" t="str">
        <f ca="1">IFERROR(__xludf.DUMMYFUNCTION("GOOGLETRANSLATE(B540,""en"",""it"")"),"insegnare")</f>
        <v>insegnare</v>
      </c>
      <c r="G540" s="2" t="str">
        <f ca="1">IFERROR(__xludf.DUMMYFUNCTION("GOOGLETRANSLATE(B540,""en"",""de"")"),"unterrichten")</f>
        <v>unterrichten</v>
      </c>
      <c r="H540" s="2" t="str">
        <f ca="1">IFERROR(__xludf.DUMMYFUNCTION("GOOGLETRANSLATE(B540,""en"",""zh"")"),"教")</f>
        <v>教</v>
      </c>
      <c r="I540" s="2" t="str">
        <f ca="1">IFERROR(__xludf.DUMMYFUNCTION("GOOGLETRANSLATE(B540,""en"",""gd"")"),"TEAGASG")</f>
        <v>TEAGASG</v>
      </c>
    </row>
    <row r="541" spans="1:9" ht="14.25" customHeight="1" x14ac:dyDescent="0.3">
      <c r="A541" s="2">
        <v>540</v>
      </c>
      <c r="B541" s="3" t="s">
        <v>548</v>
      </c>
      <c r="C541" s="2" t="str">
        <f ca="1">IFERROR(__xludf.DUMMYFUNCTION("GOOGLETRANSLATE(B541, ""en"",""es"")"),"campo")</f>
        <v>campo</v>
      </c>
      <c r="D541" s="2" t="str">
        <f ca="1">IFERROR(__xludf.DUMMYFUNCTION("GOOGLETRANSLATE(B541,""en"",""ig"")"),"fiilidi")</f>
        <v>fiilidi</v>
      </c>
      <c r="E541" s="2" t="str">
        <f ca="1">IFERROR(__xludf.DUMMYFUNCTION("GOOGLETRANSLATE(B541,""en"",""fr"")"),"champ")</f>
        <v>champ</v>
      </c>
      <c r="F541" s="2" t="str">
        <f ca="1">IFERROR(__xludf.DUMMYFUNCTION("GOOGLETRANSLATE(B541,""en"",""it"")"),"campo")</f>
        <v>campo</v>
      </c>
      <c r="G541" s="2" t="str">
        <f ca="1">IFERROR(__xludf.DUMMYFUNCTION("GOOGLETRANSLATE(B541,""en"",""de"")"),"Feld")</f>
        <v>Feld</v>
      </c>
      <c r="H541" s="2" t="str">
        <f ca="1">IFERROR(__xludf.DUMMYFUNCTION("GOOGLETRANSLATE(B541,""en"",""zh"")"),"场地")</f>
        <v>场地</v>
      </c>
      <c r="I541" s="2" t="str">
        <f ca="1">IFERROR(__xludf.DUMMYFUNCTION("GOOGLETRANSLATE(B541,""en"",""gd"")"),"achadh")</f>
        <v>achadh</v>
      </c>
    </row>
    <row r="542" spans="1:9" ht="14.25" customHeight="1" x14ac:dyDescent="0.3">
      <c r="A542" s="2">
        <v>541</v>
      </c>
      <c r="B542" s="3" t="s">
        <v>549</v>
      </c>
      <c r="C542" s="2" t="str">
        <f ca="1">IFERROR(__xludf.DUMMYFUNCTION("GOOGLETRANSLATE(B542, ""en"",""es"")"),"seguridad")</f>
        <v>seguridad</v>
      </c>
      <c r="D542" s="2" t="str">
        <f ca="1">IFERROR(__xludf.DUMMYFUNCTION("GOOGLETRANSLATE(B542,""en"",""ig"")"),"onye akaebe")</f>
        <v>onye akaebe</v>
      </c>
      <c r="E542" s="2" t="str">
        <f ca="1">IFERROR(__xludf.DUMMYFUNCTION("GOOGLETRANSLATE(B542,""en"",""fr"")"),"sécurité")</f>
        <v>sécurité</v>
      </c>
      <c r="F542" s="2" t="str">
        <f ca="1">IFERROR(__xludf.DUMMYFUNCTION("GOOGLETRANSLATE(B542,""en"",""it"")"),"sicurezza")</f>
        <v>sicurezza</v>
      </c>
      <c r="G542" s="2" t="str">
        <f ca="1">IFERROR(__xludf.DUMMYFUNCTION("GOOGLETRANSLATE(B542,""en"",""de"")"),"Sicherheit")</f>
        <v>Sicherheit</v>
      </c>
      <c r="H542" s="2" t="str">
        <f ca="1">IFERROR(__xludf.DUMMYFUNCTION("GOOGLETRANSLATE(B542,""en"",""zh"")"),"安全")</f>
        <v>安全</v>
      </c>
      <c r="I542" s="2" t="str">
        <f ca="1">IFERROR(__xludf.DUMMYFUNCTION("GOOGLETRANSLATE(B542,""en"",""gd"")"),"Tèarainteachd")</f>
        <v>Tèarainteachd</v>
      </c>
    </row>
    <row r="543" spans="1:9" ht="14.25" customHeight="1" x14ac:dyDescent="0.3">
      <c r="A543" s="2">
        <v>542</v>
      </c>
      <c r="B543" s="3" t="s">
        <v>550</v>
      </c>
      <c r="C543" s="2" t="str">
        <f ca="1">IFERROR(__xludf.DUMMYFUNCTION("GOOGLETRANSLATE(B543, ""en"",""es"")"),"aire")</f>
        <v>aire</v>
      </c>
      <c r="D543" s="2" t="str">
        <f ca="1">IFERROR(__xludf.DUMMYFUNCTION("GOOGLETRANSLATE(B543,""en"",""ig"")"),"ikuku")</f>
        <v>ikuku</v>
      </c>
      <c r="E543" s="2" t="str">
        <f ca="1">IFERROR(__xludf.DUMMYFUNCTION("GOOGLETRANSLATE(B543,""en"",""fr"")"),"air")</f>
        <v>air</v>
      </c>
      <c r="F543" s="2" t="str">
        <f ca="1">IFERROR(__xludf.DUMMYFUNCTION("GOOGLETRANSLATE(B543,""en"",""it"")"),"aria")</f>
        <v>aria</v>
      </c>
      <c r="G543" s="2" t="str">
        <f ca="1">IFERROR(__xludf.DUMMYFUNCTION("GOOGLETRANSLATE(B543,""en"",""de"")"),"Luft")</f>
        <v>Luft</v>
      </c>
      <c r="H543" s="2" t="str">
        <f ca="1">IFERROR(__xludf.DUMMYFUNCTION("GOOGLETRANSLATE(B543,""en"",""zh"")"),"空气")</f>
        <v>空气</v>
      </c>
      <c r="I543" s="2" t="str">
        <f ca="1">IFERROR(__xludf.DUMMYFUNCTION("GOOGLETRANSLATE(B543,""en"",""gd"")"),"adhair")</f>
        <v>adhair</v>
      </c>
    </row>
    <row r="544" spans="1:9" ht="14.25" customHeight="1" x14ac:dyDescent="0.3">
      <c r="A544" s="2">
        <v>543</v>
      </c>
      <c r="B544" s="3" t="s">
        <v>551</v>
      </c>
      <c r="C544" s="2" t="str">
        <f ca="1">IFERROR(__xludf.DUMMYFUNCTION("GOOGLETRANSLATE(B544, ""en"",""es"")"),"beneficio")</f>
        <v>beneficio</v>
      </c>
      <c r="D544" s="2" t="str">
        <f ca="1">IFERROR(__xludf.DUMMYFUNCTION("GOOGLETRANSLATE(B544,""en"",""ig"")"),"iba uru")</f>
        <v>iba uru</v>
      </c>
      <c r="E544" s="2" t="str">
        <f ca="1">IFERROR(__xludf.DUMMYFUNCTION("GOOGLETRANSLATE(B544,""en"",""fr"")"),"avantage")</f>
        <v>avantage</v>
      </c>
      <c r="F544" s="2" t="str">
        <f ca="1">IFERROR(__xludf.DUMMYFUNCTION("GOOGLETRANSLATE(B544,""en"",""it"")"),"beneficio")</f>
        <v>beneficio</v>
      </c>
      <c r="G544" s="2" t="str">
        <f ca="1">IFERROR(__xludf.DUMMYFUNCTION("GOOGLETRANSLATE(B544,""en"",""de"")"),"Nutzen")</f>
        <v>Nutzen</v>
      </c>
      <c r="H544" s="2" t="str">
        <f ca="1">IFERROR(__xludf.DUMMYFUNCTION("GOOGLETRANSLATE(B544,""en"",""zh"")"),"益处")</f>
        <v>益处</v>
      </c>
      <c r="I544" s="2" t="str">
        <f ca="1">IFERROR(__xludf.DUMMYFUNCTION("GOOGLETRANSLATE(B544,""en"",""gd"")"),"Sochair Sochair")</f>
        <v>Sochair Sochair</v>
      </c>
    </row>
    <row r="545" spans="1:9" ht="14.25" customHeight="1" x14ac:dyDescent="0.3">
      <c r="A545" s="2">
        <v>544</v>
      </c>
      <c r="B545" s="3" t="s">
        <v>552</v>
      </c>
      <c r="C545" s="2" t="str">
        <f ca="1">IFERROR(__xludf.DUMMYFUNCTION("GOOGLETRANSLATE(B545, ""en"",""es"")"),"comercio")</f>
        <v>comercio</v>
      </c>
      <c r="D545" s="2" t="str">
        <f ca="1">IFERROR(__xludf.DUMMYFUNCTION("GOOGLETRANSLATE(B545,""en"",""ig"")"),"izu ahia")</f>
        <v>izu ahia</v>
      </c>
      <c r="E545" s="2" t="str">
        <f ca="1">IFERROR(__xludf.DUMMYFUNCTION("GOOGLETRANSLATE(B545,""en"",""fr"")"),"commerce")</f>
        <v>commerce</v>
      </c>
      <c r="F545" s="2" t="str">
        <f ca="1">IFERROR(__xludf.DUMMYFUNCTION("GOOGLETRANSLATE(B545,""en"",""it"")"),"commercio")</f>
        <v>commercio</v>
      </c>
      <c r="G545" s="2" t="str">
        <f ca="1">IFERROR(__xludf.DUMMYFUNCTION("GOOGLETRANSLATE(B545,""en"",""de"")"),"Handel")</f>
        <v>Handel</v>
      </c>
      <c r="H545" s="2" t="str">
        <f ca="1">IFERROR(__xludf.DUMMYFUNCTION("GOOGLETRANSLATE(B545,""en"",""zh"")"),"贸易")</f>
        <v>贸易</v>
      </c>
      <c r="I545" s="2" t="str">
        <f ca="1">IFERROR(__xludf.DUMMYFUNCTION("GOOGLETRANSLATE(B545,""en"",""gd"")"),"Malairt")</f>
        <v>Malairt</v>
      </c>
    </row>
    <row r="546" spans="1:9" ht="14.25" customHeight="1" x14ac:dyDescent="0.3">
      <c r="A546" s="2">
        <v>545</v>
      </c>
      <c r="B546" s="3" t="s">
        <v>553</v>
      </c>
      <c r="C546" s="2" t="str">
        <f ca="1">IFERROR(__xludf.DUMMYFUNCTION("GOOGLETRANSLATE(B546, ""en"",""es"")"),"riesgo")</f>
        <v>riesgo</v>
      </c>
      <c r="D546" s="2" t="str">
        <f ca="1">IFERROR(__xludf.DUMMYFUNCTION("GOOGLETRANSLATE(B546,""en"",""ig"")"),"ihe na-eweta njo")</f>
        <v>ihe na-eweta njo</v>
      </c>
      <c r="E546" s="2" t="str">
        <f ca="1">IFERROR(__xludf.DUMMYFUNCTION("GOOGLETRANSLATE(B546,""en"",""fr"")"),"risque")</f>
        <v>risque</v>
      </c>
      <c r="F546" s="2" t="str">
        <f ca="1">IFERROR(__xludf.DUMMYFUNCTION("GOOGLETRANSLATE(B546,""en"",""it"")"),"rischio")</f>
        <v>rischio</v>
      </c>
      <c r="G546" s="2" t="str">
        <f ca="1">IFERROR(__xludf.DUMMYFUNCTION("GOOGLETRANSLATE(B546,""en"",""de"")"),"Risiko")</f>
        <v>Risiko</v>
      </c>
      <c r="H546" s="2" t="str">
        <f ca="1">IFERROR(__xludf.DUMMYFUNCTION("GOOGLETRANSLATE(B546,""en"",""zh"")"),"风险")</f>
        <v>风险</v>
      </c>
      <c r="I546" s="2" t="str">
        <f ca="1">IFERROR(__xludf.DUMMYFUNCTION("GOOGLETRANSLATE(B546,""en"",""gd"")"),"cunnart")</f>
        <v>cunnart</v>
      </c>
    </row>
    <row r="547" spans="1:9" ht="14.25" customHeight="1" x14ac:dyDescent="0.3">
      <c r="A547" s="2">
        <v>546</v>
      </c>
      <c r="B547" s="3" t="s">
        <v>554</v>
      </c>
      <c r="C547" s="2" t="str">
        <f ca="1">IFERROR(__xludf.DUMMYFUNCTION("GOOGLETRANSLATE(B547, ""en"",""es"")"),"noticias")</f>
        <v>noticias</v>
      </c>
      <c r="D547" s="2" t="str">
        <f ca="1">IFERROR(__xludf.DUMMYFUNCTION("GOOGLETRANSLATE(B547,""en"",""ig"")"),"ububo")</f>
        <v>ububo</v>
      </c>
      <c r="E547" s="2" t="str">
        <f ca="1">IFERROR(__xludf.DUMMYFUNCTION("GOOGLETRANSLATE(B547,""en"",""fr"")"),"nouvelles")</f>
        <v>nouvelles</v>
      </c>
      <c r="F547" s="2" t="str">
        <f ca="1">IFERROR(__xludf.DUMMYFUNCTION("GOOGLETRANSLATE(B547,""en"",""it"")"),"notizia")</f>
        <v>notizia</v>
      </c>
      <c r="G547" s="2" t="str">
        <f ca="1">IFERROR(__xludf.DUMMYFUNCTION("GOOGLETRANSLATE(B547,""en"",""de"")"),"Nachricht")</f>
        <v>Nachricht</v>
      </c>
      <c r="H547" s="2" t="str">
        <f ca="1">IFERROR(__xludf.DUMMYFUNCTION("GOOGLETRANSLATE(B547,""en"",""zh"")"),"消息")</f>
        <v>消息</v>
      </c>
      <c r="I547" s="2" t="str">
        <f ca="1">IFERROR(__xludf.DUMMYFUNCTION("GOOGLETRANSLATE(B547,""en"",""gd"")"),"Naidheachdan")</f>
        <v>Naidheachdan</v>
      </c>
    </row>
    <row r="548" spans="1:9" ht="14.25" customHeight="1" x14ac:dyDescent="0.3">
      <c r="A548" s="2">
        <v>547</v>
      </c>
      <c r="B548" s="3" t="s">
        <v>555</v>
      </c>
      <c r="C548" s="2" t="str">
        <f ca="1">IFERROR(__xludf.DUMMYFUNCTION("GOOGLETRANSLATE(B548, ""en"",""es"")"),"estándar")</f>
        <v>estándar</v>
      </c>
      <c r="D548" s="2" t="str">
        <f ca="1">IFERROR(__xludf.DUMMYFUNCTION("GOOGLETRANSLATE(B548,""en"",""ig"")"),"standadi")</f>
        <v>standadi</v>
      </c>
      <c r="E548" s="2" t="str">
        <f ca="1">IFERROR(__xludf.DUMMYFUNCTION("GOOGLETRANSLATE(B548,""en"",""fr"")"),"standard")</f>
        <v>standard</v>
      </c>
      <c r="F548" s="2" t="str">
        <f ca="1">IFERROR(__xludf.DUMMYFUNCTION("GOOGLETRANSLATE(B548,""en"",""it"")"),"standard")</f>
        <v>standard</v>
      </c>
      <c r="G548" s="2" t="str">
        <f ca="1">IFERROR(__xludf.DUMMYFUNCTION("GOOGLETRANSLATE(B548,""en"",""de"")"),"Standard")</f>
        <v>Standard</v>
      </c>
      <c r="H548" s="2" t="str">
        <f ca="1">IFERROR(__xludf.DUMMYFUNCTION("GOOGLETRANSLATE(B548,""en"",""zh"")"),"标准")</f>
        <v>标准</v>
      </c>
      <c r="I548" s="2" t="str">
        <f ca="1">IFERROR(__xludf.DUMMYFUNCTION("GOOGLETRANSLATE(B548,""en"",""gd"")"),"àbhaisteach")</f>
        <v>àbhaisteach</v>
      </c>
    </row>
    <row r="549" spans="1:9" ht="14.25" customHeight="1" x14ac:dyDescent="0.3">
      <c r="A549" s="2">
        <v>548</v>
      </c>
      <c r="B549" s="3" t="s">
        <v>556</v>
      </c>
      <c r="C549" s="2" t="str">
        <f ca="1">IFERROR(__xludf.DUMMYFUNCTION("GOOGLETRANSLATE(B549, ""en"",""es"")"),"votar")</f>
        <v>votar</v>
      </c>
      <c r="D549" s="2" t="str">
        <f ca="1">IFERROR(__xludf.DUMMYFUNCTION("GOOGLETRANSLATE(B549,""en"",""ig"")"),"votu")</f>
        <v>votu</v>
      </c>
      <c r="E549" s="2" t="str">
        <f ca="1">IFERROR(__xludf.DUMMYFUNCTION("GOOGLETRANSLATE(B549,""en"",""fr"")"),"vote")</f>
        <v>vote</v>
      </c>
      <c r="F549" s="2" t="str">
        <f ca="1">IFERROR(__xludf.DUMMYFUNCTION("GOOGLETRANSLATE(B549,""en"",""it"")"),"votazione")</f>
        <v>votazione</v>
      </c>
      <c r="G549" s="2" t="str">
        <f ca="1">IFERROR(__xludf.DUMMYFUNCTION("GOOGLETRANSLATE(B549,""en"",""de"")"),"Abstimmung")</f>
        <v>Abstimmung</v>
      </c>
      <c r="H549" s="2" t="str">
        <f ca="1">IFERROR(__xludf.DUMMYFUNCTION("GOOGLETRANSLATE(B549,""en"",""zh"")"),"投票")</f>
        <v>投票</v>
      </c>
      <c r="I549" s="2" t="str">
        <f ca="1">IFERROR(__xludf.DUMMYFUNCTION("GOOGLETRANSLATE(B549,""en"",""gd"")"),"Bhòt")</f>
        <v>Bhòt</v>
      </c>
    </row>
    <row r="550" spans="1:9" ht="14.25" customHeight="1" x14ac:dyDescent="0.3">
      <c r="A550" s="2">
        <v>549</v>
      </c>
      <c r="B550" s="3" t="s">
        <v>557</v>
      </c>
      <c r="C550" s="2" t="str">
        <f ca="1">IFERROR(__xludf.DUMMYFUNCTION("GOOGLETRANSLATE(B550, ""en"",""es"")"),"por ciento")</f>
        <v>por ciento</v>
      </c>
      <c r="D550" s="2" t="str">
        <f ca="1">IFERROR(__xludf.DUMMYFUNCTION("GOOGLETRANSLATE(B550,""en"",""ig"")"),"peri")</f>
        <v>peri</v>
      </c>
      <c r="E550" s="2" t="str">
        <f ca="1">IFERROR(__xludf.DUMMYFUNCTION("GOOGLETRANSLATE(B550,""en"",""fr"")"),"pour cent")</f>
        <v>pour cent</v>
      </c>
      <c r="F550" s="2" t="str">
        <f ca="1">IFERROR(__xludf.DUMMYFUNCTION("GOOGLETRANSLATE(B550,""en"",""it"")"),"per cento")</f>
        <v>per cento</v>
      </c>
      <c r="G550" s="2" t="str">
        <f ca="1">IFERROR(__xludf.DUMMYFUNCTION("GOOGLETRANSLATE(B550,""en"",""de"")"),"Prozent")</f>
        <v>Prozent</v>
      </c>
      <c r="H550" s="2" t="str">
        <f ca="1">IFERROR(__xludf.DUMMYFUNCTION("GOOGLETRANSLATE(B550,""en"",""zh"")"),"百分")</f>
        <v>百分</v>
      </c>
      <c r="I550" s="2" t="str">
        <f ca="1">IFERROR(__xludf.DUMMYFUNCTION("GOOGLETRANSLATE(B550,""en"",""gd"")"),"sa cheud")</f>
        <v>sa cheud</v>
      </c>
    </row>
    <row r="551" spans="1:9" ht="14.25" customHeight="1" x14ac:dyDescent="0.3">
      <c r="A551" s="2">
        <v>550</v>
      </c>
      <c r="B551" s="3" t="s">
        <v>558</v>
      </c>
      <c r="C551" s="2" t="str">
        <f ca="1">IFERROR(__xludf.DUMMYFUNCTION("GOOGLETRANSLATE(B551, ""en"",""es"")"),"enfocar")</f>
        <v>enfocar</v>
      </c>
      <c r="D551" s="2" t="str">
        <f ca="1">IFERROR(__xludf.DUMMYFUNCTION("GOOGLETRANSLATE(B551,""en"",""ig"")"),"ike ele anya")</f>
        <v>ike ele anya</v>
      </c>
      <c r="E551" s="2" t="str">
        <f ca="1">IFERROR(__xludf.DUMMYFUNCTION("GOOGLETRANSLATE(B551,""en"",""fr"")"),"se concentrer")</f>
        <v>se concentrer</v>
      </c>
      <c r="F551" s="2" t="str">
        <f ca="1">IFERROR(__xludf.DUMMYFUNCTION("GOOGLETRANSLATE(B551,""en"",""it"")"),"messa a fuoco")</f>
        <v>messa a fuoco</v>
      </c>
      <c r="G551" s="2" t="str">
        <f ca="1">IFERROR(__xludf.DUMMYFUNCTION("GOOGLETRANSLATE(B551,""en"",""de"")"),"Fokus")</f>
        <v>Fokus</v>
      </c>
      <c r="H551" s="2" t="str">
        <f ca="1">IFERROR(__xludf.DUMMYFUNCTION("GOOGLETRANSLATE(B551,""en"",""zh"")"),"重点")</f>
        <v>重点</v>
      </c>
      <c r="I551" s="2" t="str">
        <f ca="1">IFERROR(__xludf.DUMMYFUNCTION("GOOGLETRANSLATE(B551,""en"",""gd"")"),"Fòcas")</f>
        <v>Fòcas</v>
      </c>
    </row>
    <row r="552" spans="1:9" ht="14.25" customHeight="1" x14ac:dyDescent="0.3">
      <c r="A552" s="2">
        <v>551</v>
      </c>
      <c r="B552" s="3" t="s">
        <v>559</v>
      </c>
      <c r="C552" s="2" t="str">
        <f ca="1">IFERROR(__xludf.DUMMYFUNCTION("GOOGLETRANSLATE(B552, ""en"",""es"")"),"escenario")</f>
        <v>escenario</v>
      </c>
      <c r="D552" s="2" t="str">
        <f ca="1">IFERROR(__xludf.DUMMYFUNCTION("GOOGLETRANSLATE(B552,""en"",""ig"")"),"ogbo")</f>
        <v>ogbo</v>
      </c>
      <c r="E552" s="2" t="str">
        <f ca="1">IFERROR(__xludf.DUMMYFUNCTION("GOOGLETRANSLATE(B552,""en"",""fr"")"),"scène")</f>
        <v>scène</v>
      </c>
      <c r="F552" s="2" t="str">
        <f ca="1">IFERROR(__xludf.DUMMYFUNCTION("GOOGLETRANSLATE(B552,""en"",""it"")"),"palcoscenico")</f>
        <v>palcoscenico</v>
      </c>
      <c r="G552" s="2" t="str">
        <f ca="1">IFERROR(__xludf.DUMMYFUNCTION("GOOGLETRANSLATE(B552,""en"",""de"")"),"Bühne")</f>
        <v>Bühne</v>
      </c>
      <c r="H552" s="2" t="str">
        <f ca="1">IFERROR(__xludf.DUMMYFUNCTION("GOOGLETRANSLATE(B552,""en"",""zh"")"),"阶段")</f>
        <v>阶段</v>
      </c>
      <c r="I552" s="2" t="str">
        <f ca="1">IFERROR(__xludf.DUMMYFUNCTION("GOOGLETRANSLATE(B552,""en"",""gd"")"),"Ìre")</f>
        <v>Ìre</v>
      </c>
    </row>
    <row r="553" spans="1:9" ht="14.25" customHeight="1" x14ac:dyDescent="0.3">
      <c r="A553" s="2">
        <v>552</v>
      </c>
      <c r="B553" s="3" t="s">
        <v>560</v>
      </c>
      <c r="C553" s="2" t="str">
        <f ca="1">IFERROR(__xludf.DUMMYFUNCTION("GOOGLETRANSLATE(B553, ""en"",""es"")"),"espacio")</f>
        <v>espacio</v>
      </c>
      <c r="D553" s="2" t="str">
        <f ca="1">IFERROR(__xludf.DUMMYFUNCTION("GOOGLETRANSLATE(B553,""en"",""ig"")"),"eluuwa")</f>
        <v>eluuwa</v>
      </c>
      <c r="E553" s="2" t="str">
        <f ca="1">IFERROR(__xludf.DUMMYFUNCTION("GOOGLETRANSLATE(B553,""en"",""fr"")"),"espace")</f>
        <v>espace</v>
      </c>
      <c r="F553" s="2" t="str">
        <f ca="1">IFERROR(__xludf.DUMMYFUNCTION("GOOGLETRANSLATE(B553,""en"",""it"")"),"spazio")</f>
        <v>spazio</v>
      </c>
      <c r="G553" s="2" t="str">
        <f ca="1">IFERROR(__xludf.DUMMYFUNCTION("GOOGLETRANSLATE(B553,""en"",""de"")"),"Raum")</f>
        <v>Raum</v>
      </c>
      <c r="H553" s="2" t="str">
        <f ca="1">IFERROR(__xludf.DUMMYFUNCTION("GOOGLETRANSLATE(B553,""en"",""zh"")"),"空间")</f>
        <v>空间</v>
      </c>
      <c r="I553" s="2" t="str">
        <f ca="1">IFERROR(__xludf.DUMMYFUNCTION("GOOGLETRANSLATE(B553,""en"",""gd"")"),"àite")</f>
        <v>àite</v>
      </c>
    </row>
    <row r="554" spans="1:9" ht="14.25" customHeight="1" x14ac:dyDescent="0.3">
      <c r="A554" s="2">
        <v>553</v>
      </c>
      <c r="B554" s="3" t="s">
        <v>561</v>
      </c>
      <c r="C554" s="2" t="str">
        <f ca="1">IFERROR(__xludf.DUMMYFUNCTION("GOOGLETRANSLATE(B554, ""en"",""es"")"),"en cambio")</f>
        <v>en cambio</v>
      </c>
      <c r="D554" s="2" t="str">
        <f ca="1">IFERROR(__xludf.DUMMYFUNCTION("GOOGLETRANSLATE(B554,""en"",""ig"")"),"kama")</f>
        <v>kama</v>
      </c>
      <c r="E554" s="2" t="str">
        <f ca="1">IFERROR(__xludf.DUMMYFUNCTION("GOOGLETRANSLATE(B554,""en"",""fr"")"),"plutôt")</f>
        <v>plutôt</v>
      </c>
      <c r="F554" s="2" t="str">
        <f ca="1">IFERROR(__xludf.DUMMYFUNCTION("GOOGLETRANSLATE(B554,""en"",""it"")"),"Invece")</f>
        <v>Invece</v>
      </c>
      <c r="G554" s="2" t="str">
        <f ca="1">IFERROR(__xludf.DUMMYFUNCTION("GOOGLETRANSLATE(B554,""en"",""de"")"),"stattdessen")</f>
        <v>stattdessen</v>
      </c>
      <c r="H554" s="2" t="str">
        <f ca="1">IFERROR(__xludf.DUMMYFUNCTION("GOOGLETRANSLATE(B554,""en"",""zh"")"),"反而")</f>
        <v>反而</v>
      </c>
      <c r="I554" s="2" t="str">
        <f ca="1">IFERROR(__xludf.DUMMYFUNCTION("GOOGLETRANSLATE(B554,""en"",""gd"")"),"na àite")</f>
        <v>na àite</v>
      </c>
    </row>
    <row r="555" spans="1:9" ht="14.25" customHeight="1" x14ac:dyDescent="0.3">
      <c r="A555" s="2">
        <v>554</v>
      </c>
      <c r="B555" s="3" t="s">
        <v>562</v>
      </c>
      <c r="C555" s="2" t="str">
        <f ca="1">IFERROR(__xludf.DUMMYFUNCTION("GOOGLETRANSLATE(B555, ""en"",""es"")"),"darse cuenta")</f>
        <v>darse cuenta</v>
      </c>
      <c r="D555" s="2" t="str">
        <f ca="1">IFERROR(__xludf.DUMMYFUNCTION("GOOGLETRANSLATE(B555,""en"",""ig"")"),"mgbanuuche")</f>
        <v>mgbanuuche</v>
      </c>
      <c r="E555" s="2" t="str">
        <f ca="1">IFERROR(__xludf.DUMMYFUNCTION("GOOGLETRANSLATE(B555,""en"",""fr"")"),"réaliser")</f>
        <v>réaliser</v>
      </c>
      <c r="F555" s="2" t="str">
        <f ca="1">IFERROR(__xludf.DUMMYFUNCTION("GOOGLETRANSLATE(B555,""en"",""it"")"),"rendersi conto")</f>
        <v>rendersi conto</v>
      </c>
      <c r="G555" s="2" t="str">
        <f ca="1">IFERROR(__xludf.DUMMYFUNCTION("GOOGLETRANSLATE(B555,""en"",""de"")"),"realisieren")</f>
        <v>realisieren</v>
      </c>
      <c r="H555" s="2" t="str">
        <f ca="1">IFERROR(__xludf.DUMMYFUNCTION("GOOGLETRANSLATE(B555,""en"",""zh"")"),"意识到")</f>
        <v>意识到</v>
      </c>
      <c r="I555" s="2" t="str">
        <f ca="1">IFERROR(__xludf.DUMMYFUNCTION("GOOGLETRANSLATE(B555,""en"",""gd"")"),"tuig")</f>
        <v>tuig</v>
      </c>
    </row>
    <row r="556" spans="1:9" ht="14.25" customHeight="1" x14ac:dyDescent="0.3">
      <c r="A556" s="2">
        <v>555</v>
      </c>
      <c r="B556" s="3" t="s">
        <v>563</v>
      </c>
      <c r="C556" s="2" t="str">
        <f ca="1">IFERROR(__xludf.DUMMYFUNCTION("GOOGLETRANSLATE(B556, ""en"",""es"")"),"generalmente")</f>
        <v>generalmente</v>
      </c>
      <c r="D556" s="2" t="str">
        <f ca="1">IFERROR(__xludf.DUMMYFUNCTION("GOOGLETRANSLATE(B556,""en"",""ig"")"),"mgbedum")</f>
        <v>mgbedum</v>
      </c>
      <c r="E556" s="2" t="str">
        <f ca="1">IFERROR(__xludf.DUMMYFUNCTION("GOOGLETRANSLATE(B556,""en"",""fr"")"),"généralement")</f>
        <v>généralement</v>
      </c>
      <c r="F556" s="2" t="str">
        <f ca="1">IFERROR(__xludf.DUMMYFUNCTION("GOOGLETRANSLATE(B556,""en"",""it"")"),"Generalmente")</f>
        <v>Generalmente</v>
      </c>
      <c r="G556" s="2" t="str">
        <f ca="1">IFERROR(__xludf.DUMMYFUNCTION("GOOGLETRANSLATE(B556,""en"",""de"")"),"normalerweise")</f>
        <v>normalerweise</v>
      </c>
      <c r="H556" s="2" t="str">
        <f ca="1">IFERROR(__xludf.DUMMYFUNCTION("GOOGLETRANSLATE(B556,""en"",""zh"")"),"通常")</f>
        <v>通常</v>
      </c>
      <c r="I556" s="2" t="str">
        <f ca="1">IFERROR(__xludf.DUMMYFUNCTION("GOOGLETRANSLATE(B556,""en"",""gd"")"),"mar as trice")</f>
        <v>mar as trice</v>
      </c>
    </row>
    <row r="557" spans="1:9" ht="14.25" customHeight="1" x14ac:dyDescent="0.3">
      <c r="A557" s="2">
        <v>556</v>
      </c>
      <c r="B557" s="3" t="s">
        <v>564</v>
      </c>
      <c r="C557" s="2" t="str">
        <f ca="1">IFERROR(__xludf.DUMMYFUNCTION("GOOGLETRANSLATE(B557, ""en"",""es"")"),"datos")</f>
        <v>datos</v>
      </c>
      <c r="D557" s="2" t="str">
        <f ca="1">IFERROR(__xludf.DUMMYFUNCTION("GOOGLETRANSLATE(B557,""en"",""ig"")"),"data")</f>
        <v>data</v>
      </c>
      <c r="E557" s="2" t="str">
        <f ca="1">IFERROR(__xludf.DUMMYFUNCTION("GOOGLETRANSLATE(B557,""en"",""fr"")"),"données")</f>
        <v>données</v>
      </c>
      <c r="F557" s="2" t="str">
        <f ca="1">IFERROR(__xludf.DUMMYFUNCTION("GOOGLETRANSLATE(B557,""en"",""it"")"),"dati")</f>
        <v>dati</v>
      </c>
      <c r="G557" s="2" t="str">
        <f ca="1">IFERROR(__xludf.DUMMYFUNCTION("GOOGLETRANSLATE(B557,""en"",""de"")"),"Daten")</f>
        <v>Daten</v>
      </c>
      <c r="H557" s="2" t="str">
        <f ca="1">IFERROR(__xludf.DUMMYFUNCTION("GOOGLETRANSLATE(B557,""en"",""zh"")"),"数据")</f>
        <v>数据</v>
      </c>
      <c r="I557" s="2" t="str">
        <f ca="1">IFERROR(__xludf.DUMMYFUNCTION("GOOGLETRANSLATE(B557,""en"",""gd"")"),"Dàta")</f>
        <v>Dàta</v>
      </c>
    </row>
    <row r="558" spans="1:9" ht="14.25" customHeight="1" x14ac:dyDescent="0.3">
      <c r="A558" s="2">
        <v>557</v>
      </c>
      <c r="B558" s="3" t="s">
        <v>565</v>
      </c>
      <c r="C558" s="2" t="str">
        <f ca="1">IFERROR(__xludf.DUMMYFUNCTION("GOOGLETRANSLATE(B558, ""en"",""es"")"),"soltero")</f>
        <v>soltero</v>
      </c>
      <c r="D558" s="2" t="str">
        <f ca="1">IFERROR(__xludf.DUMMYFUNCTION("GOOGLETRANSLATE(B558,""en"",""ig"")"),"otu")</f>
        <v>otu</v>
      </c>
      <c r="E558" s="2" t="str">
        <f ca="1">IFERROR(__xludf.DUMMYFUNCTION("GOOGLETRANSLATE(B558,""en"",""fr"")"),"célibataire")</f>
        <v>célibataire</v>
      </c>
      <c r="F558" s="2" t="str">
        <f ca="1">IFERROR(__xludf.DUMMYFUNCTION("GOOGLETRANSLATE(B558,""en"",""it"")"),"separare")</f>
        <v>separare</v>
      </c>
      <c r="G558" s="2" t="str">
        <f ca="1">IFERROR(__xludf.DUMMYFUNCTION("GOOGLETRANSLATE(B558,""en"",""de"")"),"einzel")</f>
        <v>einzel</v>
      </c>
      <c r="H558" s="2" t="str">
        <f ca="1">IFERROR(__xludf.DUMMYFUNCTION("GOOGLETRANSLATE(B558,""en"",""zh"")"),"单身的")</f>
        <v>单身的</v>
      </c>
      <c r="I558" s="2" t="str">
        <f ca="1">IFERROR(__xludf.DUMMYFUNCTION("GOOGLETRANSLATE(B558,""en"",""gd"")"),"singilte")</f>
        <v>singilte</v>
      </c>
    </row>
    <row r="559" spans="1:9" ht="14.25" customHeight="1" x14ac:dyDescent="0.3">
      <c r="A559" s="2">
        <v>558</v>
      </c>
      <c r="B559" s="3" t="s">
        <v>566</v>
      </c>
      <c r="C559" s="2" t="str">
        <f ca="1">IFERROR(__xludf.DUMMYFUNCTION("GOOGLETRANSLATE(B559, ""en"",""es"")"),"DIRECCIÓN")</f>
        <v>DIRECCIÓN</v>
      </c>
      <c r="D559" s="2" t="str">
        <f ca="1">IFERROR(__xludf.DUMMYFUNCTION("GOOGLETRANSLATE(B559,""en"",""ig"")"),"ikwu okwu")</f>
        <v>ikwu okwu</v>
      </c>
      <c r="E559" s="2" t="str">
        <f ca="1">IFERROR(__xludf.DUMMYFUNCTION("GOOGLETRANSLATE(B559,""en"",""fr"")"),"adresse")</f>
        <v>adresse</v>
      </c>
      <c r="F559" s="2" t="str">
        <f ca="1">IFERROR(__xludf.DUMMYFUNCTION("GOOGLETRANSLATE(B559,""en"",""it"")"),"indirizzo")</f>
        <v>indirizzo</v>
      </c>
      <c r="G559" s="2" t="str">
        <f ca="1">IFERROR(__xludf.DUMMYFUNCTION("GOOGLETRANSLATE(B559,""en"",""de"")"),"Adresse")</f>
        <v>Adresse</v>
      </c>
      <c r="H559" s="2" t="str">
        <f ca="1">IFERROR(__xludf.DUMMYFUNCTION("GOOGLETRANSLATE(B559,""en"",""zh"")"),"地址")</f>
        <v>地址</v>
      </c>
      <c r="I559" s="2" t="str">
        <f ca="1">IFERROR(__xludf.DUMMYFUNCTION("GOOGLETRANSLATE(B559,""en"",""gd"")"),"Seòladh")</f>
        <v>Seòladh</v>
      </c>
    </row>
    <row r="560" spans="1:9" ht="14.25" customHeight="1" x14ac:dyDescent="0.3">
      <c r="A560" s="2">
        <v>559</v>
      </c>
      <c r="B560" s="3" t="s">
        <v>567</v>
      </c>
      <c r="C560" s="2" t="str">
        <f ca="1">IFERROR(__xludf.DUMMYFUNCTION("GOOGLETRANSLATE(B560, ""en"",""es"")"),"actuación")</f>
        <v>actuación</v>
      </c>
      <c r="D560" s="2" t="str">
        <f ca="1">IFERROR(__xludf.DUMMYFUNCTION("GOOGLETRANSLATE(B560,""en"",""ig"")"),"emume ngosi")</f>
        <v>emume ngosi</v>
      </c>
      <c r="E560" s="2" t="str">
        <f ca="1">IFERROR(__xludf.DUMMYFUNCTION("GOOGLETRANSLATE(B560,""en"",""fr"")"),"performance")</f>
        <v>performance</v>
      </c>
      <c r="F560" s="2" t="str">
        <f ca="1">IFERROR(__xludf.DUMMYFUNCTION("GOOGLETRANSLATE(B560,""en"",""it"")"),"prestazione")</f>
        <v>prestazione</v>
      </c>
      <c r="G560" s="2" t="str">
        <f ca="1">IFERROR(__xludf.DUMMYFUNCTION("GOOGLETRANSLATE(B560,""en"",""de"")"),"Leistung")</f>
        <v>Leistung</v>
      </c>
      <c r="H560" s="2" t="str">
        <f ca="1">IFERROR(__xludf.DUMMYFUNCTION("GOOGLETRANSLATE(B560,""en"",""zh"")"),"表现")</f>
        <v>表现</v>
      </c>
      <c r="I560" s="2" t="str">
        <f ca="1">IFERROR(__xludf.DUMMYFUNCTION("GOOGLETRANSLATE(B560,""en"",""gd"")"),"Coileanadh")</f>
        <v>Coileanadh</v>
      </c>
    </row>
    <row r="561" spans="1:9" ht="14.25" customHeight="1" x14ac:dyDescent="0.3">
      <c r="A561" s="2">
        <v>560</v>
      </c>
      <c r="B561" s="3" t="s">
        <v>568</v>
      </c>
      <c r="C561" s="2" t="str">
        <f ca="1">IFERROR(__xludf.DUMMYFUNCTION("GOOGLETRANSLATE(B561, ""en"",""es"")"),"oportunidad")</f>
        <v>oportunidad</v>
      </c>
      <c r="D561" s="2" t="str">
        <f ca="1">IFERROR(__xludf.DUMMYFUNCTION("GOOGLETRANSLATE(B561,""en"",""ig"")"),"oge")</f>
        <v>oge</v>
      </c>
      <c r="E561" s="2" t="str">
        <f ca="1">IFERROR(__xludf.DUMMYFUNCTION("GOOGLETRANSLATE(B561,""en"",""fr"")"),"chance")</f>
        <v>chance</v>
      </c>
      <c r="F561" s="2" t="str">
        <f ca="1">IFERROR(__xludf.DUMMYFUNCTION("GOOGLETRANSLATE(B561,""en"",""it"")"),"opportunità")</f>
        <v>opportunità</v>
      </c>
      <c r="G561" s="2" t="str">
        <f ca="1">IFERROR(__xludf.DUMMYFUNCTION("GOOGLETRANSLATE(B561,""en"",""de"")"),"Chance")</f>
        <v>Chance</v>
      </c>
      <c r="H561" s="2" t="str">
        <f ca="1">IFERROR(__xludf.DUMMYFUNCTION("GOOGLETRANSLATE(B561,""en"",""zh"")"),"机会")</f>
        <v>机会</v>
      </c>
      <c r="I561" s="2" t="str">
        <f ca="1">IFERROR(__xludf.DUMMYFUNCTION("GOOGLETRANSLATE(B561,""en"",""gd"")"),"cothrom")</f>
        <v>cothrom</v>
      </c>
    </row>
    <row r="562" spans="1:9" ht="14.25" customHeight="1" x14ac:dyDescent="0.3">
      <c r="A562" s="2">
        <v>561</v>
      </c>
      <c r="B562" s="3" t="s">
        <v>569</v>
      </c>
      <c r="C562" s="2" t="str">
        <f ca="1">IFERROR(__xludf.DUMMYFUNCTION("GOOGLETRANSLATE(B562, ""en"",""es"")"),"aceptar")</f>
        <v>aceptar</v>
      </c>
      <c r="D562" s="2" t="str">
        <f ca="1">IFERROR(__xludf.DUMMYFUNCTION("GOOGLETRANSLATE(B562,""en"",""ig"")"),"nabata")</f>
        <v>nabata</v>
      </c>
      <c r="E562" s="2" t="str">
        <f ca="1">IFERROR(__xludf.DUMMYFUNCTION("GOOGLETRANSLATE(B562,""en"",""fr"")"),"accepter")</f>
        <v>accepter</v>
      </c>
      <c r="F562" s="2" t="str">
        <f ca="1">IFERROR(__xludf.DUMMYFUNCTION("GOOGLETRANSLATE(B562,""en"",""it"")"),"accettare")</f>
        <v>accettare</v>
      </c>
      <c r="G562" s="2" t="str">
        <f ca="1">IFERROR(__xludf.DUMMYFUNCTION("GOOGLETRANSLATE(B562,""en"",""de"")"),"akzeptieren")</f>
        <v>akzeptieren</v>
      </c>
      <c r="H562" s="2" t="str">
        <f ca="1">IFERROR(__xludf.DUMMYFUNCTION("GOOGLETRANSLATE(B562,""en"",""zh"")"),"接受")</f>
        <v>接受</v>
      </c>
      <c r="I562" s="2" t="str">
        <f ca="1">IFERROR(__xludf.DUMMYFUNCTION("GOOGLETRANSLATE(B562,""en"",""gd"")"),"Gabh ris")</f>
        <v>Gabh ris</v>
      </c>
    </row>
    <row r="563" spans="1:9" ht="14.25" customHeight="1" x14ac:dyDescent="0.3">
      <c r="A563" s="2">
        <v>562</v>
      </c>
      <c r="B563" s="3" t="s">
        <v>570</v>
      </c>
      <c r="C563" s="2" t="str">
        <f ca="1">IFERROR(__xludf.DUMMYFUNCTION("GOOGLETRANSLATE(B563, ""en"",""es"")"),"sociedad")</f>
        <v>sociedad</v>
      </c>
      <c r="D563" s="2" t="str">
        <f ca="1">IFERROR(__xludf.DUMMYFUNCTION("GOOGLETRANSLATE(B563,""en"",""ig"")"),"otu")</f>
        <v>otu</v>
      </c>
      <c r="E563" s="2" t="str">
        <f ca="1">IFERROR(__xludf.DUMMYFUNCTION("GOOGLETRANSLATE(B563,""en"",""fr"")"),"société")</f>
        <v>société</v>
      </c>
      <c r="F563" s="2" t="str">
        <f ca="1">IFERROR(__xludf.DUMMYFUNCTION("GOOGLETRANSLATE(B563,""en"",""it"")"),"società")</f>
        <v>società</v>
      </c>
      <c r="G563" s="2" t="str">
        <f ca="1">IFERROR(__xludf.DUMMYFUNCTION("GOOGLETRANSLATE(B563,""en"",""de"")"),"Gesellschaft")</f>
        <v>Gesellschaft</v>
      </c>
      <c r="H563" s="2" t="str">
        <f ca="1">IFERROR(__xludf.DUMMYFUNCTION("GOOGLETRANSLATE(B563,""en"",""zh"")"),"社会")</f>
        <v>社会</v>
      </c>
      <c r="I563" s="2" t="str">
        <f ca="1">IFERROR(__xludf.DUMMYFUNCTION("GOOGLETRANSLATE(B563,""en"",""gd"")"),"Comann")</f>
        <v>Comann</v>
      </c>
    </row>
    <row r="564" spans="1:9" ht="14.25" customHeight="1" x14ac:dyDescent="0.3">
      <c r="A564" s="2">
        <v>563</v>
      </c>
      <c r="B564" s="3" t="s">
        <v>571</v>
      </c>
      <c r="C564" s="2" t="str">
        <f ca="1">IFERROR(__xludf.DUMMYFUNCTION("GOOGLETRANSLATE(B564, ""en"",""es"")"),"tecnología")</f>
        <v>tecnología</v>
      </c>
      <c r="D564" s="2" t="str">
        <f ca="1">IFERROR(__xludf.DUMMYFUNCTION("GOOGLETRANSLATE(B564,""en"",""ig"")"),"teknoloji")</f>
        <v>teknoloji</v>
      </c>
      <c r="E564" s="2" t="str">
        <f ca="1">IFERROR(__xludf.DUMMYFUNCTION("GOOGLETRANSLATE(B564,""en"",""fr"")"),"technologie")</f>
        <v>technologie</v>
      </c>
      <c r="F564" s="2" t="str">
        <f ca="1">IFERROR(__xludf.DUMMYFUNCTION("GOOGLETRANSLATE(B564,""en"",""it"")"),"tecnologia")</f>
        <v>tecnologia</v>
      </c>
      <c r="G564" s="2" t="str">
        <f ca="1">IFERROR(__xludf.DUMMYFUNCTION("GOOGLETRANSLATE(B564,""en"",""de"")"),"Technologie")</f>
        <v>Technologie</v>
      </c>
      <c r="H564" s="2" t="str">
        <f ca="1">IFERROR(__xludf.DUMMYFUNCTION("GOOGLETRANSLATE(B564,""en"",""zh"")"),"技术")</f>
        <v>技术</v>
      </c>
      <c r="I564" s="2" t="str">
        <f ca="1">IFERROR(__xludf.DUMMYFUNCTION("GOOGLETRANSLATE(B564,""en"",""gd"")"),"teicneòlas")</f>
        <v>teicneòlas</v>
      </c>
    </row>
    <row r="565" spans="1:9" ht="14.25" customHeight="1" x14ac:dyDescent="0.3">
      <c r="A565" s="2">
        <v>564</v>
      </c>
      <c r="B565" s="3" t="s">
        <v>572</v>
      </c>
      <c r="C565" s="2" t="str">
        <f ca="1">IFERROR(__xludf.DUMMYFUNCTION("GOOGLETRANSLATE(B565, ""en"",""es"")"),"mencionar")</f>
        <v>mencionar</v>
      </c>
      <c r="D565" s="2" t="str">
        <f ca="1">IFERROR(__xludf.DUMMYFUNCTION("GOOGLETRANSLATE(B565,""en"",""ig"")"),"mkpotu")</f>
        <v>mkpotu</v>
      </c>
      <c r="E565" s="2" t="str">
        <f ca="1">IFERROR(__xludf.DUMMYFUNCTION("GOOGLETRANSLATE(B565,""en"",""fr"")"),"mention")</f>
        <v>mention</v>
      </c>
      <c r="F565" s="2" t="str">
        <f ca="1">IFERROR(__xludf.DUMMYFUNCTION("GOOGLETRANSLATE(B565,""en"",""it"")"),"citare")</f>
        <v>citare</v>
      </c>
      <c r="G565" s="2" t="str">
        <f ca="1">IFERROR(__xludf.DUMMYFUNCTION("GOOGLETRANSLATE(B565,""en"",""de"")"),"erwähnen")</f>
        <v>erwähnen</v>
      </c>
      <c r="H565" s="2" t="str">
        <f ca="1">IFERROR(__xludf.DUMMYFUNCTION("GOOGLETRANSLATE(B565,""en"",""zh"")"),"提到")</f>
        <v>提到</v>
      </c>
      <c r="I565" s="2" t="str">
        <f ca="1">IFERROR(__xludf.DUMMYFUNCTION("GOOGLETRANSLATE(B565,""en"",""gd"")"),"Iomradh")</f>
        <v>Iomradh</v>
      </c>
    </row>
    <row r="566" spans="1:9" ht="14.25" customHeight="1" x14ac:dyDescent="0.3">
      <c r="A566" s="2">
        <v>565</v>
      </c>
      <c r="B566" s="3" t="s">
        <v>573</v>
      </c>
      <c r="C566" s="2" t="str">
        <f ca="1">IFERROR(__xludf.DUMMYFUNCTION("GOOGLETRANSLATE(B566, ""en"",""es"")"),"elección")</f>
        <v>elección</v>
      </c>
      <c r="D566" s="2" t="str">
        <f ca="1">IFERROR(__xludf.DUMMYFUNCTION("GOOGLETRANSLATE(B566,""en"",""ig"")"),"mmasi")</f>
        <v>mmasi</v>
      </c>
      <c r="E566" s="2" t="str">
        <f ca="1">IFERROR(__xludf.DUMMYFUNCTION("GOOGLETRANSLATE(B566,""en"",""fr"")"),"choix")</f>
        <v>choix</v>
      </c>
      <c r="F566" s="2" t="str">
        <f ca="1">IFERROR(__xludf.DUMMYFUNCTION("GOOGLETRANSLATE(B566,""en"",""it"")"),"scelta")</f>
        <v>scelta</v>
      </c>
      <c r="G566" s="2" t="str">
        <f ca="1">IFERROR(__xludf.DUMMYFUNCTION("GOOGLETRANSLATE(B566,""en"",""de"")"),"Auswahl")</f>
        <v>Auswahl</v>
      </c>
      <c r="H566" s="2" t="str">
        <f ca="1">IFERROR(__xludf.DUMMYFUNCTION("GOOGLETRANSLATE(B566,""en"",""zh"")"),"选择")</f>
        <v>选择</v>
      </c>
      <c r="I566" s="2" t="str">
        <f ca="1">IFERROR(__xludf.DUMMYFUNCTION("GOOGLETRANSLATE(B566,""en"",""gd"")"),"roghainn")</f>
        <v>roghainn</v>
      </c>
    </row>
    <row r="567" spans="1:9" ht="14.25" customHeight="1" x14ac:dyDescent="0.3">
      <c r="A567" s="2">
        <v>566</v>
      </c>
      <c r="B567" s="3" t="s">
        <v>574</v>
      </c>
      <c r="C567" s="2" t="str">
        <f ca="1">IFERROR(__xludf.DUMMYFUNCTION("GOOGLETRANSLATE(B567, ""en"",""es"")"),"ahorrar")</f>
        <v>ahorrar</v>
      </c>
      <c r="D567" s="2" t="str">
        <f ca="1">IFERROR(__xludf.DUMMYFUNCTION("GOOGLETRANSLATE(B567,""en"",""ig"")"),"zoputa")</f>
        <v>zoputa</v>
      </c>
      <c r="E567" s="2" t="str">
        <f ca="1">IFERROR(__xludf.DUMMYFUNCTION("GOOGLETRANSLATE(B567,""en"",""fr"")"),"sauvegarder")</f>
        <v>sauvegarder</v>
      </c>
      <c r="F567" s="2" t="str">
        <f ca="1">IFERROR(__xludf.DUMMYFUNCTION("GOOGLETRANSLATE(B567,""en"",""it"")"),"salva")</f>
        <v>salva</v>
      </c>
      <c r="G567" s="2" t="str">
        <f ca="1">IFERROR(__xludf.DUMMYFUNCTION("GOOGLETRANSLATE(B567,""en"",""de"")"),"speichern")</f>
        <v>speichern</v>
      </c>
      <c r="H567" s="2" t="str">
        <f ca="1">IFERROR(__xludf.DUMMYFUNCTION("GOOGLETRANSLATE(B567,""en"",""zh"")"),"节省")</f>
        <v>节省</v>
      </c>
      <c r="I567" s="2" t="str">
        <f ca="1">IFERROR(__xludf.DUMMYFUNCTION("GOOGLETRANSLATE(B567,""en"",""gd"")"),"Sàbhail")</f>
        <v>Sàbhail</v>
      </c>
    </row>
    <row r="568" spans="1:9" ht="14.25" customHeight="1" x14ac:dyDescent="0.3">
      <c r="A568" s="2">
        <v>567</v>
      </c>
      <c r="B568" s="3" t="s">
        <v>575</v>
      </c>
      <c r="C568" s="2" t="str">
        <f ca="1">IFERROR(__xludf.DUMMYFUNCTION("GOOGLETRANSLATE(B568, ""en"",""es"")"),"común")</f>
        <v>común</v>
      </c>
      <c r="D568" s="2" t="str">
        <f ca="1">IFERROR(__xludf.DUMMYFUNCTION("GOOGLETRANSLATE(B568,""en"",""ig"")"),"komon")</f>
        <v>komon</v>
      </c>
      <c r="E568" s="2" t="str">
        <f ca="1">IFERROR(__xludf.DUMMYFUNCTION("GOOGLETRANSLATE(B568,""en"",""fr"")"),"commun")</f>
        <v>commun</v>
      </c>
      <c r="F568" s="2" t="str">
        <f ca="1">IFERROR(__xludf.DUMMYFUNCTION("GOOGLETRANSLATE(B568,""en"",""it"")"),"comune")</f>
        <v>comune</v>
      </c>
      <c r="G568" s="2" t="str">
        <f ca="1">IFERROR(__xludf.DUMMYFUNCTION("GOOGLETRANSLATE(B568,""en"",""de"")"),"gemeinsam")</f>
        <v>gemeinsam</v>
      </c>
      <c r="H568" s="2" t="str">
        <f ca="1">IFERROR(__xludf.DUMMYFUNCTION("GOOGLETRANSLATE(B568,""en"",""zh"")"),"常见的")</f>
        <v>常见的</v>
      </c>
      <c r="I568" s="2" t="str">
        <f ca="1">IFERROR(__xludf.DUMMYFUNCTION("GOOGLETRANSLATE(B568,""en"",""gd"")"),"cumanta")</f>
        <v>cumanta</v>
      </c>
    </row>
    <row r="569" spans="1:9" ht="14.25" customHeight="1" x14ac:dyDescent="0.3">
      <c r="A569" s="2">
        <v>568</v>
      </c>
      <c r="B569" s="3" t="s">
        <v>576</v>
      </c>
      <c r="C569" s="2" t="str">
        <f ca="1">IFERROR(__xludf.DUMMYFUNCTION("GOOGLETRANSLATE(B569, ""en"",""es"")"),"cultura")</f>
        <v>cultura</v>
      </c>
      <c r="D569" s="2" t="str">
        <f ca="1">IFERROR(__xludf.DUMMYFUNCTION("GOOGLETRANSLATE(B569,""en"",""ig"")"),"omenaala")</f>
        <v>omenaala</v>
      </c>
      <c r="E569" s="2" t="str">
        <f ca="1">IFERROR(__xludf.DUMMYFUNCTION("GOOGLETRANSLATE(B569,""en"",""fr"")"),"culture")</f>
        <v>culture</v>
      </c>
      <c r="F569" s="2" t="str">
        <f ca="1">IFERROR(__xludf.DUMMYFUNCTION("GOOGLETRANSLATE(B569,""en"",""it"")"),"cultura")</f>
        <v>cultura</v>
      </c>
      <c r="G569" s="2" t="str">
        <f ca="1">IFERROR(__xludf.DUMMYFUNCTION("GOOGLETRANSLATE(B569,""en"",""de"")"),"Kultur")</f>
        <v>Kultur</v>
      </c>
      <c r="H569" s="2" t="str">
        <f ca="1">IFERROR(__xludf.DUMMYFUNCTION("GOOGLETRANSLATE(B569,""en"",""zh"")"),"文化")</f>
        <v>文化</v>
      </c>
      <c r="I569" s="2" t="str">
        <f ca="1">IFERROR(__xludf.DUMMYFUNCTION("GOOGLETRANSLATE(B569,""en"",""gd"")"),"Cultar")</f>
        <v>Cultar</v>
      </c>
    </row>
    <row r="570" spans="1:9" ht="14.25" customHeight="1" x14ac:dyDescent="0.3">
      <c r="A570" s="2">
        <v>569</v>
      </c>
      <c r="B570" s="3" t="s">
        <v>577</v>
      </c>
      <c r="C570" s="2" t="str">
        <f ca="1">IFERROR(__xludf.DUMMYFUNCTION("GOOGLETRANSLATE(B570, ""en"",""es"")"),"total")</f>
        <v>total</v>
      </c>
      <c r="D570" s="2" t="str">
        <f ca="1">IFERROR(__xludf.DUMMYFUNCTION("GOOGLETRANSLATE(B570,""en"",""ig"")"),"kemgbakota")</f>
        <v>kemgbakota</v>
      </c>
      <c r="E570" s="2" t="str">
        <f ca="1">IFERROR(__xludf.DUMMYFUNCTION("GOOGLETRANSLATE(B570,""en"",""fr"")"),"total")</f>
        <v>total</v>
      </c>
      <c r="F570" s="2" t="str">
        <f ca="1">IFERROR(__xludf.DUMMYFUNCTION("GOOGLETRANSLATE(B570,""en"",""it"")"),"totale")</f>
        <v>totale</v>
      </c>
      <c r="G570" s="2" t="str">
        <f ca="1">IFERROR(__xludf.DUMMYFUNCTION("GOOGLETRANSLATE(B570,""en"",""de"")"),"gesamt")</f>
        <v>gesamt</v>
      </c>
      <c r="H570" s="2" t="str">
        <f ca="1">IFERROR(__xludf.DUMMYFUNCTION("GOOGLETRANSLATE(B570,""en"",""zh"")"),"全部的")</f>
        <v>全部的</v>
      </c>
      <c r="I570" s="2" t="str">
        <f ca="1">IFERROR(__xludf.DUMMYFUNCTION("GOOGLETRANSLATE(B570,""en"",""gd"")"),"Iomlan")</f>
        <v>Iomlan</v>
      </c>
    </row>
    <row r="571" spans="1:9" ht="14.25" customHeight="1" x14ac:dyDescent="0.3">
      <c r="A571" s="2">
        <v>570</v>
      </c>
      <c r="B571" s="3" t="s">
        <v>578</v>
      </c>
      <c r="C571" s="2" t="str">
        <f ca="1">IFERROR(__xludf.DUMMYFUNCTION("GOOGLETRANSLATE(B571, ""en"",""es"")"),"demanda")</f>
        <v>demanda</v>
      </c>
      <c r="D571" s="2" t="str">
        <f ca="1">IFERROR(__xludf.DUMMYFUNCTION("GOOGLETRANSLATE(B571,""en"",""ig"")"),"ina")</f>
        <v>ina</v>
      </c>
      <c r="E571" s="2" t="str">
        <f ca="1">IFERROR(__xludf.DUMMYFUNCTION("GOOGLETRANSLATE(B571,""en"",""fr"")"),"demande")</f>
        <v>demande</v>
      </c>
      <c r="F571" s="2" t="str">
        <f ca="1">IFERROR(__xludf.DUMMYFUNCTION("GOOGLETRANSLATE(B571,""en"",""it"")"),"richiesta")</f>
        <v>richiesta</v>
      </c>
      <c r="G571" s="2" t="str">
        <f ca="1">IFERROR(__xludf.DUMMYFUNCTION("GOOGLETRANSLATE(B571,""en"",""de"")"),"Nachfrage")</f>
        <v>Nachfrage</v>
      </c>
      <c r="H571" s="2" t="str">
        <f ca="1">IFERROR(__xludf.DUMMYFUNCTION("GOOGLETRANSLATE(B571,""en"",""zh"")"),"要求")</f>
        <v>要求</v>
      </c>
      <c r="I571" s="2" t="str">
        <f ca="1">IFERROR(__xludf.DUMMYFUNCTION("GOOGLETRANSLATE(B571,""en"",""gd"")"),"iarrtas")</f>
        <v>iarrtas</v>
      </c>
    </row>
    <row r="572" spans="1:9" ht="14.25" customHeight="1" x14ac:dyDescent="0.3">
      <c r="A572" s="2">
        <v>571</v>
      </c>
      <c r="B572" s="3" t="s">
        <v>579</v>
      </c>
      <c r="C572" s="2" t="str">
        <f ca="1">IFERROR(__xludf.DUMMYFUNCTION("GOOGLETRANSLATE(B572, ""en"",""es"")"),"material")</f>
        <v>material</v>
      </c>
      <c r="D572" s="2" t="str">
        <f ca="1">IFERROR(__xludf.DUMMYFUNCTION("GOOGLETRANSLATE(B572,""en"",""ig"")"),"mgwooru")</f>
        <v>mgwooru</v>
      </c>
      <c r="E572" s="2" t="str">
        <f ca="1">IFERROR(__xludf.DUMMYFUNCTION("GOOGLETRANSLATE(B572,""en"",""fr"")"),"matériel")</f>
        <v>matériel</v>
      </c>
      <c r="F572" s="2" t="str">
        <f ca="1">IFERROR(__xludf.DUMMYFUNCTION("GOOGLETRANSLATE(B572,""en"",""it"")"),"Materiale")</f>
        <v>Materiale</v>
      </c>
      <c r="G572" s="2" t="str">
        <f ca="1">IFERROR(__xludf.DUMMYFUNCTION("GOOGLETRANSLATE(B572,""en"",""de"")"),"Material")</f>
        <v>Material</v>
      </c>
      <c r="H572" s="2" t="str">
        <f ca="1">IFERROR(__xludf.DUMMYFUNCTION("GOOGLETRANSLATE(B572,""en"",""zh"")"),"材料")</f>
        <v>材料</v>
      </c>
      <c r="I572" s="2" t="str">
        <f ca="1">IFERROR(__xludf.DUMMYFUNCTION("GOOGLETRANSLATE(B572,""en"",""gd"")"),"Stuth")</f>
        <v>Stuth</v>
      </c>
    </row>
    <row r="573" spans="1:9" ht="14.25" customHeight="1" x14ac:dyDescent="0.3">
      <c r="A573" s="2">
        <v>572</v>
      </c>
      <c r="B573" s="3" t="s">
        <v>580</v>
      </c>
      <c r="C573" s="2" t="str">
        <f ca="1">IFERROR(__xludf.DUMMYFUNCTION("GOOGLETRANSLATE(B573, ""en"",""es"")"),"límite")</f>
        <v>límite</v>
      </c>
      <c r="D573" s="2" t="str">
        <f ca="1">IFERROR(__xludf.DUMMYFUNCTION("GOOGLETRANSLATE(B573,""en"",""ig"")"),"mgwucha")</f>
        <v>mgwucha</v>
      </c>
      <c r="E573" s="2" t="str">
        <f ca="1">IFERROR(__xludf.DUMMYFUNCTION("GOOGLETRANSLATE(B573,""en"",""fr"")"),"limite")</f>
        <v>limite</v>
      </c>
      <c r="F573" s="2" t="str">
        <f ca="1">IFERROR(__xludf.DUMMYFUNCTION("GOOGLETRANSLATE(B573,""en"",""it"")"),"limite")</f>
        <v>limite</v>
      </c>
      <c r="G573" s="2" t="str">
        <f ca="1">IFERROR(__xludf.DUMMYFUNCTION("GOOGLETRANSLATE(B573,""en"",""de"")"),"Grenze")</f>
        <v>Grenze</v>
      </c>
      <c r="H573" s="2" t="str">
        <f ca="1">IFERROR(__xludf.DUMMYFUNCTION("GOOGLETRANSLATE(B573,""en"",""zh"")"),"限制")</f>
        <v>限制</v>
      </c>
      <c r="I573" s="2" t="str">
        <f ca="1">IFERROR(__xludf.DUMMYFUNCTION("GOOGLETRANSLATE(B573,""en"",""gd"")"),"crìoch")</f>
        <v>crìoch</v>
      </c>
    </row>
    <row r="574" spans="1:9" ht="14.25" customHeight="1" x14ac:dyDescent="0.3">
      <c r="A574" s="2">
        <v>573</v>
      </c>
      <c r="B574" s="3" t="s">
        <v>581</v>
      </c>
      <c r="C574" s="2" t="str">
        <f ca="1">IFERROR(__xludf.DUMMYFUNCTION("GOOGLETRANSLATE(B574, ""en"",""es"")"),"escuchar")</f>
        <v>escuchar</v>
      </c>
      <c r="D574" s="2" t="str">
        <f ca="1">IFERROR(__xludf.DUMMYFUNCTION("GOOGLETRANSLATE(B574,""en"",""ig"")"),"ige nti")</f>
        <v>ige nti</v>
      </c>
      <c r="E574" s="2" t="str">
        <f ca="1">IFERROR(__xludf.DUMMYFUNCTION("GOOGLETRANSLATE(B574,""en"",""fr"")"),"écouter")</f>
        <v>écouter</v>
      </c>
      <c r="F574" s="2" t="str">
        <f ca="1">IFERROR(__xludf.DUMMYFUNCTION("GOOGLETRANSLATE(B574,""en"",""it"")"),"Ascoltare")</f>
        <v>Ascoltare</v>
      </c>
      <c r="G574" s="2" t="str">
        <f ca="1">IFERROR(__xludf.DUMMYFUNCTION("GOOGLETRANSLATE(B574,""en"",""de"")"),"Hören")</f>
        <v>Hören</v>
      </c>
      <c r="H574" s="2" t="str">
        <f ca="1">IFERROR(__xludf.DUMMYFUNCTION("GOOGLETRANSLATE(B574,""en"",""zh"")"),"听")</f>
        <v>听</v>
      </c>
      <c r="I574" s="2" t="str">
        <f ca="1">IFERROR(__xludf.DUMMYFUNCTION("GOOGLETRANSLATE(B574,""en"",""gd"")"),"Èist")</f>
        <v>Èist</v>
      </c>
    </row>
    <row r="575" spans="1:9" ht="14.25" customHeight="1" x14ac:dyDescent="0.3">
      <c r="A575" s="2">
        <v>574</v>
      </c>
      <c r="B575" s="3" t="s">
        <v>582</v>
      </c>
      <c r="C575" s="2" t="str">
        <f ca="1">IFERROR(__xludf.DUMMYFUNCTION("GOOGLETRANSLATE(B575, ""en"",""es"")"),"pendiente")</f>
        <v>pendiente</v>
      </c>
      <c r="D575" s="2" t="str">
        <f ca="1">IFERROR(__xludf.DUMMYFUNCTION("GOOGLETRANSLATE(B575,""en"",""ig"")"),"n'ihi na")</f>
        <v>n'ihi na</v>
      </c>
      <c r="E575" s="2" t="str">
        <f ca="1">IFERROR(__xludf.DUMMYFUNCTION("GOOGLETRANSLATE(B575,""en"",""fr"")"),"exigible")</f>
        <v>exigible</v>
      </c>
      <c r="F575" s="2" t="str">
        <f ca="1">IFERROR(__xludf.DUMMYFUNCTION("GOOGLETRANSLATE(B575,""en"",""it"")"),"dovuto")</f>
        <v>dovuto</v>
      </c>
      <c r="G575" s="2" t="str">
        <f ca="1">IFERROR(__xludf.DUMMYFUNCTION("GOOGLETRANSLATE(B575,""en"",""de"")"),"fällig")</f>
        <v>fällig</v>
      </c>
      <c r="H575" s="2" t="str">
        <f ca="1">IFERROR(__xludf.DUMMYFUNCTION("GOOGLETRANSLATE(B575,""en"",""zh"")"),"到期的")</f>
        <v>到期的</v>
      </c>
      <c r="I575" s="2" t="str">
        <f ca="1">IFERROR(__xludf.DUMMYFUNCTION("GOOGLETRANSLATE(B575,""en"",""gd"")"),"ri phàigheadh")</f>
        <v>ri phàigheadh</v>
      </c>
    </row>
    <row r="576" spans="1:9" ht="14.25" customHeight="1" x14ac:dyDescent="0.3">
      <c r="A576" s="2">
        <v>575</v>
      </c>
      <c r="B576" s="3" t="s">
        <v>583</v>
      </c>
      <c r="C576" s="2" t="str">
        <f ca="1">IFERROR(__xludf.DUMMYFUNCTION("GOOGLETRANSLATE(B576, ""en"",""es"")"),"equivocado")</f>
        <v>equivocado</v>
      </c>
      <c r="D576" s="2" t="str">
        <f ca="1">IFERROR(__xludf.DUMMYFUNCTION("GOOGLETRANSLATE(B576,""en"",""ig"")"),"keadabaghi")</f>
        <v>keadabaghi</v>
      </c>
      <c r="E576" s="2" t="str">
        <f ca="1">IFERROR(__xludf.DUMMYFUNCTION("GOOGLETRANSLATE(B576,""en"",""fr"")"),"faux")</f>
        <v>faux</v>
      </c>
      <c r="F576" s="2" t="str">
        <f ca="1">IFERROR(__xludf.DUMMYFUNCTION("GOOGLETRANSLATE(B576,""en"",""it"")"),"sbagliato")</f>
        <v>sbagliato</v>
      </c>
      <c r="G576" s="2" t="str">
        <f ca="1">IFERROR(__xludf.DUMMYFUNCTION("GOOGLETRANSLATE(B576,""en"",""de"")"),"falsch")</f>
        <v>falsch</v>
      </c>
      <c r="H576" s="2" t="str">
        <f ca="1">IFERROR(__xludf.DUMMYFUNCTION("GOOGLETRANSLATE(B576,""en"",""zh"")"),"错误的")</f>
        <v>错误的</v>
      </c>
      <c r="I576" s="2" t="str">
        <f ca="1">IFERROR(__xludf.DUMMYFUNCTION("GOOGLETRANSLATE(B576,""en"",""gd"")"),"ceàrr")</f>
        <v>ceàrr</v>
      </c>
    </row>
    <row r="577" spans="1:9" ht="14.25" customHeight="1" x14ac:dyDescent="0.3">
      <c r="A577" s="2">
        <v>576</v>
      </c>
      <c r="B577" s="3" t="s">
        <v>584</v>
      </c>
      <c r="C577" s="2" t="str">
        <f ca="1">IFERROR(__xludf.DUMMYFUNCTION("GOOGLETRANSLATE(B577, ""en"",""es"")"),"pie")</f>
        <v>pie</v>
      </c>
      <c r="D577" s="2" t="str">
        <f ca="1">IFERROR(__xludf.DUMMYFUNCTION("GOOGLETRANSLATE(B577,""en"",""ig"")"),"ukwu")</f>
        <v>ukwu</v>
      </c>
      <c r="E577" s="2" t="str">
        <f ca="1">IFERROR(__xludf.DUMMYFUNCTION("GOOGLETRANSLATE(B577,""en"",""fr"")"),"pied")</f>
        <v>pied</v>
      </c>
      <c r="F577" s="2" t="str">
        <f ca="1">IFERROR(__xludf.DUMMYFUNCTION("GOOGLETRANSLATE(B577,""en"",""it"")"),"piede")</f>
        <v>piede</v>
      </c>
      <c r="G577" s="2" t="str">
        <f ca="1">IFERROR(__xludf.DUMMYFUNCTION("GOOGLETRANSLATE(B577,""en"",""de"")"),"Fuß")</f>
        <v>Fuß</v>
      </c>
      <c r="H577" s="2" t="str">
        <f ca="1">IFERROR(__xludf.DUMMYFUNCTION("GOOGLETRANSLATE(B577,""en"",""zh"")"),"脚")</f>
        <v>脚</v>
      </c>
      <c r="I577" s="2" t="str">
        <f ca="1">IFERROR(__xludf.DUMMYFUNCTION("GOOGLETRANSLATE(B577,""en"",""gd"")"),"cas")</f>
        <v>cas</v>
      </c>
    </row>
    <row r="578" spans="1:9" ht="14.25" customHeight="1" x14ac:dyDescent="0.3">
      <c r="A578" s="2">
        <v>577</v>
      </c>
      <c r="B578" s="3" t="s">
        <v>585</v>
      </c>
      <c r="C578" s="2" t="str">
        <f ca="1">IFERROR(__xludf.DUMMYFUNCTION("GOOGLETRANSLATE(B578, ""en"",""es"")"),"esfuerzo")</f>
        <v>esfuerzo</v>
      </c>
      <c r="D578" s="2" t="str">
        <f ca="1">IFERROR(__xludf.DUMMYFUNCTION("GOOGLETRANSLATE(B578,""en"",""ig"")"),"mbo")</f>
        <v>mbo</v>
      </c>
      <c r="E578" s="2" t="str">
        <f ca="1">IFERROR(__xludf.DUMMYFUNCTION("GOOGLETRANSLATE(B578,""en"",""fr"")"),"effort")</f>
        <v>effort</v>
      </c>
      <c r="F578" s="2" t="str">
        <f ca="1">IFERROR(__xludf.DUMMYFUNCTION("GOOGLETRANSLATE(B578,""en"",""it"")"),"sforzo")</f>
        <v>sforzo</v>
      </c>
      <c r="G578" s="2" t="str">
        <f ca="1">IFERROR(__xludf.DUMMYFUNCTION("GOOGLETRANSLATE(B578,""en"",""de"")"),"Bemühung")</f>
        <v>Bemühung</v>
      </c>
      <c r="H578" s="2" t="str">
        <f ca="1">IFERROR(__xludf.DUMMYFUNCTION("GOOGLETRANSLATE(B578,""en"",""zh"")"),"努力")</f>
        <v>努力</v>
      </c>
      <c r="I578" s="2" t="str">
        <f ca="1">IFERROR(__xludf.DUMMYFUNCTION("GOOGLETRANSLATE(B578,""en"",""gd"")"),"oidhirp")</f>
        <v>oidhirp</v>
      </c>
    </row>
    <row r="579" spans="1:9" ht="14.25" customHeight="1" x14ac:dyDescent="0.3">
      <c r="A579" s="2">
        <v>578</v>
      </c>
      <c r="B579" s="3" t="s">
        <v>586</v>
      </c>
      <c r="C579" s="2" t="str">
        <f ca="1">IFERROR(__xludf.DUMMYFUNCTION("GOOGLETRANSLATE(B579, ""en"",""es"")"),"atención")</f>
        <v>atención</v>
      </c>
      <c r="D579" s="2" t="str">
        <f ca="1">IFERROR(__xludf.DUMMYFUNCTION("GOOGLETRANSLATE(B579,""en"",""ig"")"),"ige nti")</f>
        <v>ige nti</v>
      </c>
      <c r="E579" s="2" t="str">
        <f ca="1">IFERROR(__xludf.DUMMYFUNCTION("GOOGLETRANSLATE(B579,""en"",""fr"")"),"attention")</f>
        <v>attention</v>
      </c>
      <c r="F579" s="2" t="str">
        <f ca="1">IFERROR(__xludf.DUMMYFUNCTION("GOOGLETRANSLATE(B579,""en"",""it"")"),"Attenzione")</f>
        <v>Attenzione</v>
      </c>
      <c r="G579" s="2" t="str">
        <f ca="1">IFERROR(__xludf.DUMMYFUNCTION("GOOGLETRANSLATE(B579,""en"",""de"")"),"Aufmerksamkeit")</f>
        <v>Aufmerksamkeit</v>
      </c>
      <c r="H579" s="2" t="str">
        <f ca="1">IFERROR(__xludf.DUMMYFUNCTION("GOOGLETRANSLATE(B579,""en"",""zh"")"),"注意力")</f>
        <v>注意力</v>
      </c>
      <c r="I579" s="2" t="str">
        <f ca="1">IFERROR(__xludf.DUMMYFUNCTION("GOOGLETRANSLATE(B579,""en"",""gd"")"),"aire")</f>
        <v>aire</v>
      </c>
    </row>
    <row r="580" spans="1:9" ht="14.25" customHeight="1" x14ac:dyDescent="0.3">
      <c r="A580" s="2">
        <v>579</v>
      </c>
      <c r="B580" s="3" t="s">
        <v>587</v>
      </c>
      <c r="C580" s="2" t="str">
        <f ca="1">IFERROR(__xludf.DUMMYFUNCTION("GOOGLETRANSLATE(B580, ""en"",""es"")"),"al")</f>
        <v>al</v>
      </c>
      <c r="D580" s="2" t="str">
        <f ca="1">IFERROR(__xludf.DUMMYFUNCTION("GOOGLETRANSLATE(B580,""en"",""ig"")"),"n'elu")</f>
        <v>n'elu</v>
      </c>
      <c r="E580" s="2" t="str">
        <f ca="1">IFERROR(__xludf.DUMMYFUNCTION("GOOGLETRANSLATE(B580,""en"",""fr"")"),"sur")</f>
        <v>sur</v>
      </c>
      <c r="F580" s="2" t="str">
        <f ca="1">IFERROR(__xludf.DUMMYFUNCTION("GOOGLETRANSLATE(B580,""en"",""it"")"),"su")</f>
        <v>su</v>
      </c>
      <c r="G580" s="2" t="str">
        <f ca="1">IFERROR(__xludf.DUMMYFUNCTION("GOOGLETRANSLATE(B580,""en"",""de"")"),"auf")</f>
        <v>auf</v>
      </c>
      <c r="H580" s="2" t="str">
        <f ca="1">IFERROR(__xludf.DUMMYFUNCTION("GOOGLETRANSLATE(B580,""en"",""zh"")"),"之上")</f>
        <v>之上</v>
      </c>
      <c r="I580" s="2" t="str">
        <f ca="1">IFERROR(__xludf.DUMMYFUNCTION("GOOGLETRANSLATE(B580,""en"",""gd"")"),"air")</f>
        <v>air</v>
      </c>
    </row>
    <row r="581" spans="1:9" ht="14.25" customHeight="1" x14ac:dyDescent="0.3">
      <c r="A581" s="2">
        <v>580</v>
      </c>
      <c r="B581" s="3" t="s">
        <v>588</v>
      </c>
      <c r="C581" s="2" t="str">
        <f ca="1">IFERROR(__xludf.DUMMYFUNCTION("GOOGLETRANSLATE(B581, ""en"",""es"")"),"controlar")</f>
        <v>controlar</v>
      </c>
      <c r="D581" s="2" t="str">
        <f ca="1">IFERROR(__xludf.DUMMYFUNCTION("GOOGLETRANSLATE(B581,""en"",""ig"")"),"nleru anya")</f>
        <v>nleru anya</v>
      </c>
      <c r="E581" s="2" t="str">
        <f ca="1">IFERROR(__xludf.DUMMYFUNCTION("GOOGLETRANSLATE(B581,""en"",""fr"")"),"vérifier")</f>
        <v>vérifier</v>
      </c>
      <c r="F581" s="2" t="str">
        <f ca="1">IFERROR(__xludf.DUMMYFUNCTION("GOOGLETRANSLATE(B581,""en"",""it"")"),"controllo")</f>
        <v>controllo</v>
      </c>
      <c r="G581" s="2" t="str">
        <f ca="1">IFERROR(__xludf.DUMMYFUNCTION("GOOGLETRANSLATE(B581,""en"",""de"")"),"überprüfen")</f>
        <v>überprüfen</v>
      </c>
      <c r="H581" s="2" t="str">
        <f ca="1">IFERROR(__xludf.DUMMYFUNCTION("GOOGLETRANSLATE(B581,""en"",""zh"")"),"查看")</f>
        <v>查看</v>
      </c>
      <c r="I581" s="2" t="str">
        <f ca="1">IFERROR(__xludf.DUMMYFUNCTION("GOOGLETRANSLATE(B581,""en"",""gd"")"),"Thoir sùil")</f>
        <v>Thoir sùil</v>
      </c>
    </row>
    <row r="582" spans="1:9" ht="14.25" customHeight="1" x14ac:dyDescent="0.3">
      <c r="A582" s="2">
        <v>581</v>
      </c>
      <c r="B582" s="3" t="s">
        <v>589</v>
      </c>
      <c r="C582" s="2" t="str">
        <f ca="1">IFERROR(__xludf.DUMMYFUNCTION("GOOGLETRANSLATE(B582, ""en"",""es"")"),"completo")</f>
        <v>completo</v>
      </c>
      <c r="D582" s="2" t="str">
        <f ca="1">IFERROR(__xludf.DUMMYFUNCTION("GOOGLETRANSLATE(B582,""en"",""ig"")"),"imecha")</f>
        <v>imecha</v>
      </c>
      <c r="E582" s="2" t="str">
        <f ca="1">IFERROR(__xludf.DUMMYFUNCTION("GOOGLETRANSLATE(B582,""en"",""fr"")"),"complet")</f>
        <v>complet</v>
      </c>
      <c r="F582" s="2" t="str">
        <f ca="1">IFERROR(__xludf.DUMMYFUNCTION("GOOGLETRANSLATE(B582,""en"",""it"")"),"completare")</f>
        <v>completare</v>
      </c>
      <c r="G582" s="2" t="str">
        <f ca="1">IFERROR(__xludf.DUMMYFUNCTION("GOOGLETRANSLATE(B582,""en"",""de"")"),"vollständig")</f>
        <v>vollständig</v>
      </c>
      <c r="H582" s="2" t="str">
        <f ca="1">IFERROR(__xludf.DUMMYFUNCTION("GOOGLETRANSLATE(B582,""en"",""zh"")"),"完全的")</f>
        <v>完全的</v>
      </c>
      <c r="I582" s="2" t="str">
        <f ca="1">IFERROR(__xludf.DUMMYFUNCTION("GOOGLETRANSLATE(B582,""en"",""gd"")"),"coileanta")</f>
        <v>coileanta</v>
      </c>
    </row>
    <row r="583" spans="1:9" ht="14.25" customHeight="1" x14ac:dyDescent="0.3">
      <c r="A583" s="2">
        <v>582</v>
      </c>
      <c r="B583" s="3" t="s">
        <v>590</v>
      </c>
      <c r="C583" s="2" t="str">
        <f ca="1">IFERROR(__xludf.DUMMYFUNCTION("GOOGLETRANSLATE(B583, ""en"",""es"")"),"mentir")</f>
        <v>mentir</v>
      </c>
      <c r="D583" s="2" t="str">
        <f ca="1">IFERROR(__xludf.DUMMYFUNCTION("GOOGLETRANSLATE(B583,""en"",""ig"")"),"imakpu")</f>
        <v>imakpu</v>
      </c>
      <c r="E583" s="2" t="str">
        <f ca="1">IFERROR(__xludf.DUMMYFUNCTION("GOOGLETRANSLATE(B583,""en"",""fr"")"),"mensonge")</f>
        <v>mensonge</v>
      </c>
      <c r="F583" s="2" t="str">
        <f ca="1">IFERROR(__xludf.DUMMYFUNCTION("GOOGLETRANSLATE(B583,""en"",""it"")"),"menzogna")</f>
        <v>menzogna</v>
      </c>
      <c r="G583" s="2" t="str">
        <f ca="1">IFERROR(__xludf.DUMMYFUNCTION("GOOGLETRANSLATE(B583,""en"",""de"")"),"Lüge")</f>
        <v>Lüge</v>
      </c>
      <c r="H583" s="2" t="str">
        <f ca="1">IFERROR(__xludf.DUMMYFUNCTION("GOOGLETRANSLATE(B583,""en"",""zh"")"),"说谎")</f>
        <v>说谎</v>
      </c>
      <c r="I583" s="2" t="str">
        <f ca="1">IFERROR(__xludf.DUMMYFUNCTION("GOOGLETRANSLATE(B583,""en"",""gd"")"),"breug")</f>
        <v>breug</v>
      </c>
    </row>
    <row r="584" spans="1:9" ht="14.25" customHeight="1" x14ac:dyDescent="0.3">
      <c r="A584" s="2">
        <v>583</v>
      </c>
      <c r="B584" s="3" t="s">
        <v>591</v>
      </c>
      <c r="C584" s="2" t="str">
        <f ca="1">IFERROR(__xludf.DUMMYFUNCTION("GOOGLETRANSLATE(B584, ""en"",""es"")"),"elegir")</f>
        <v>elegir</v>
      </c>
      <c r="D584" s="2" t="str">
        <f ca="1">IFERROR(__xludf.DUMMYFUNCTION("GOOGLETRANSLATE(B584,""en"",""ig"")"),"ghota")</f>
        <v>ghota</v>
      </c>
      <c r="E584" s="2" t="str">
        <f ca="1">IFERROR(__xludf.DUMMYFUNCTION("GOOGLETRANSLATE(B584,""en"",""fr"")"),"prendre")</f>
        <v>prendre</v>
      </c>
      <c r="F584" s="2" t="str">
        <f ca="1">IFERROR(__xludf.DUMMYFUNCTION("GOOGLETRANSLATE(B584,""en"",""it"")"),"scegliere")</f>
        <v>scegliere</v>
      </c>
      <c r="G584" s="2" t="str">
        <f ca="1">IFERROR(__xludf.DUMMYFUNCTION("GOOGLETRANSLATE(B584,""en"",""de"")"),"wählen")</f>
        <v>wählen</v>
      </c>
      <c r="H584" s="2" t="str">
        <f ca="1">IFERROR(__xludf.DUMMYFUNCTION("GOOGLETRANSLATE(B584,""en"",""zh"")"),"挑选")</f>
        <v>挑选</v>
      </c>
      <c r="I584" s="2" t="str">
        <f ca="1">IFERROR(__xludf.DUMMYFUNCTION("GOOGLETRANSLATE(B584,""en"",""gd"")"),"tagh")</f>
        <v>tagh</v>
      </c>
    </row>
    <row r="585" spans="1:9" ht="14.25" customHeight="1" x14ac:dyDescent="0.3">
      <c r="A585" s="2">
        <v>584</v>
      </c>
      <c r="B585" s="3" t="s">
        <v>592</v>
      </c>
      <c r="C585" s="2" t="str">
        <f ca="1">IFERROR(__xludf.DUMMYFUNCTION("GOOGLETRANSLATE(B585, ""en"",""es"")"),"reducir")</f>
        <v>reducir</v>
      </c>
      <c r="D585" s="2" t="str">
        <f ca="1">IFERROR(__xludf.DUMMYFUNCTION("GOOGLETRANSLATE(B585,""en"",""ig"")"),"medata")</f>
        <v>medata</v>
      </c>
      <c r="E585" s="2" t="str">
        <f ca="1">IFERROR(__xludf.DUMMYFUNCTION("GOOGLETRANSLATE(B585,""en"",""fr"")"),"réduire")</f>
        <v>réduire</v>
      </c>
      <c r="F585" s="2" t="str">
        <f ca="1">IFERROR(__xludf.DUMMYFUNCTION("GOOGLETRANSLATE(B585,""en"",""it"")"),"ridurre")</f>
        <v>ridurre</v>
      </c>
      <c r="G585" s="2" t="str">
        <f ca="1">IFERROR(__xludf.DUMMYFUNCTION("GOOGLETRANSLATE(B585,""en"",""de"")"),"reduzieren")</f>
        <v>reduzieren</v>
      </c>
      <c r="H585" s="2" t="str">
        <f ca="1">IFERROR(__xludf.DUMMYFUNCTION("GOOGLETRANSLATE(B585,""en"",""zh"")"),"减少")</f>
        <v>减少</v>
      </c>
      <c r="I585" s="2" t="str">
        <f ca="1">IFERROR(__xludf.DUMMYFUNCTION("GOOGLETRANSLATE(B585,""en"",""gd"")"),"Lùghdaich")</f>
        <v>Lùghdaich</v>
      </c>
    </row>
    <row r="586" spans="1:9" ht="14.25" customHeight="1" x14ac:dyDescent="0.3">
      <c r="A586" s="2">
        <v>585</v>
      </c>
      <c r="B586" s="3" t="s">
        <v>593</v>
      </c>
      <c r="C586" s="2" t="str">
        <f ca="1">IFERROR(__xludf.DUMMYFUNCTION("GOOGLETRANSLATE(B586, ""en"",""es"")"),"personal")</f>
        <v>personal</v>
      </c>
      <c r="D586" s="2" t="str">
        <f ca="1">IFERROR(__xludf.DUMMYFUNCTION("GOOGLETRANSLATE(B586,""en"",""ig"")"),"nke mmadu")</f>
        <v>nke mmadu</v>
      </c>
      <c r="E586" s="2" t="str">
        <f ca="1">IFERROR(__xludf.DUMMYFUNCTION("GOOGLETRANSLATE(B586,""en"",""fr"")"),"personnel")</f>
        <v>personnel</v>
      </c>
      <c r="F586" s="2" t="str">
        <f ca="1">IFERROR(__xludf.DUMMYFUNCTION("GOOGLETRANSLATE(B586,""en"",""it"")"),"personale")</f>
        <v>personale</v>
      </c>
      <c r="G586" s="2" t="str">
        <f ca="1">IFERROR(__xludf.DUMMYFUNCTION("GOOGLETRANSLATE(B586,""en"",""de"")"),"persönlich")</f>
        <v>persönlich</v>
      </c>
      <c r="H586" s="2" t="str">
        <f ca="1">IFERROR(__xludf.DUMMYFUNCTION("GOOGLETRANSLATE(B586,""en"",""zh"")"),"个人的")</f>
        <v>个人的</v>
      </c>
      <c r="I586" s="2" t="str">
        <f ca="1">IFERROR(__xludf.DUMMYFUNCTION("GOOGLETRANSLATE(B586,""en"",""gd"")"),"pearsanta")</f>
        <v>pearsanta</v>
      </c>
    </row>
    <row r="587" spans="1:9" ht="14.25" customHeight="1" x14ac:dyDescent="0.3">
      <c r="A587" s="2">
        <v>586</v>
      </c>
      <c r="B587" s="3" t="s">
        <v>594</v>
      </c>
      <c r="C587" s="2" t="str">
        <f ca="1">IFERROR(__xludf.DUMMYFUNCTION("GOOGLETRANSLATE(B587, ""en"",""es"")"),"suelo")</f>
        <v>suelo</v>
      </c>
      <c r="D587" s="2" t="str">
        <f ca="1">IFERROR(__xludf.DUMMYFUNCTION("GOOGLETRANSLATE(B587,""en"",""ig"")"),"ala")</f>
        <v>ala</v>
      </c>
      <c r="E587" s="2" t="str">
        <f ca="1">IFERROR(__xludf.DUMMYFUNCTION("GOOGLETRANSLATE(B587,""en"",""fr"")"),"sol")</f>
        <v>sol</v>
      </c>
      <c r="F587" s="2" t="str">
        <f ca="1">IFERROR(__xludf.DUMMYFUNCTION("GOOGLETRANSLATE(B587,""en"",""it"")"),"terra")</f>
        <v>terra</v>
      </c>
      <c r="G587" s="2" t="str">
        <f ca="1">IFERROR(__xludf.DUMMYFUNCTION("GOOGLETRANSLATE(B587,""en"",""de"")"),"Boden")</f>
        <v>Boden</v>
      </c>
      <c r="H587" s="2" t="str">
        <f ca="1">IFERROR(__xludf.DUMMYFUNCTION("GOOGLETRANSLATE(B587,""en"",""zh"")"),"地面")</f>
        <v>地面</v>
      </c>
      <c r="I587" s="2" t="str">
        <f ca="1">IFERROR(__xludf.DUMMYFUNCTION("GOOGLETRANSLATE(B587,""en"",""gd"")"),"talamh")</f>
        <v>talamh</v>
      </c>
    </row>
    <row r="588" spans="1:9" ht="14.25" customHeight="1" x14ac:dyDescent="0.3">
      <c r="A588" s="2">
        <v>587</v>
      </c>
      <c r="B588" s="3" t="s">
        <v>595</v>
      </c>
      <c r="C588" s="2" t="str">
        <f ca="1">IFERROR(__xludf.DUMMYFUNCTION("GOOGLETRANSLATE(B588, ""en"",""es"")"),"animal")</f>
        <v>animal</v>
      </c>
      <c r="D588" s="2" t="str">
        <f ca="1">IFERROR(__xludf.DUMMYFUNCTION("GOOGLETRANSLATE(B588,""en"",""ig"")"),"anu ohia")</f>
        <v>anu ohia</v>
      </c>
      <c r="E588" s="2" t="str">
        <f ca="1">IFERROR(__xludf.DUMMYFUNCTION("GOOGLETRANSLATE(B588,""en"",""fr"")"),"animal")</f>
        <v>animal</v>
      </c>
      <c r="F588" s="2" t="str">
        <f ca="1">IFERROR(__xludf.DUMMYFUNCTION("GOOGLETRANSLATE(B588,""en"",""it"")"),"animale")</f>
        <v>animale</v>
      </c>
      <c r="G588" s="2" t="str">
        <f ca="1">IFERROR(__xludf.DUMMYFUNCTION("GOOGLETRANSLATE(B588,""en"",""de"")"),"Tier")</f>
        <v>Tier</v>
      </c>
      <c r="H588" s="2" t="str">
        <f ca="1">IFERROR(__xludf.DUMMYFUNCTION("GOOGLETRANSLATE(B588,""en"",""zh"")"),"动物")</f>
        <v>动物</v>
      </c>
      <c r="I588" s="2" t="str">
        <f ca="1">IFERROR(__xludf.DUMMYFUNCTION("GOOGLETRANSLATE(B588,""en"",""gd"")"),"beathach")</f>
        <v>beathach</v>
      </c>
    </row>
    <row r="589" spans="1:9" ht="14.25" customHeight="1" x14ac:dyDescent="0.3">
      <c r="A589" s="2">
        <v>588</v>
      </c>
      <c r="B589" s="3" t="s">
        <v>596</v>
      </c>
      <c r="C589" s="2" t="str">
        <f ca="1">IFERROR(__xludf.DUMMYFUNCTION("GOOGLETRANSLATE(B589, ""en"",""es"")"),"llegar")</f>
        <v>llegar</v>
      </c>
      <c r="D589" s="2" t="str">
        <f ca="1">IFERROR(__xludf.DUMMYFUNCTION("GOOGLETRANSLATE(B589,""en"",""ig"")"),"ilota")</f>
        <v>ilota</v>
      </c>
      <c r="E589" s="2" t="str">
        <f ca="1">IFERROR(__xludf.DUMMYFUNCTION("GOOGLETRANSLATE(B589,""en"",""fr"")"),"arriver")</f>
        <v>arriver</v>
      </c>
      <c r="F589" s="2" t="str">
        <f ca="1">IFERROR(__xludf.DUMMYFUNCTION("GOOGLETRANSLATE(B589,""en"",""it"")"),"arrivare")</f>
        <v>arrivare</v>
      </c>
      <c r="G589" s="2" t="str">
        <f ca="1">IFERROR(__xludf.DUMMYFUNCTION("GOOGLETRANSLATE(B589,""en"",""de"")"),"ankommen")</f>
        <v>ankommen</v>
      </c>
      <c r="H589" s="2" t="str">
        <f ca="1">IFERROR(__xludf.DUMMYFUNCTION("GOOGLETRANSLATE(B589,""en"",""zh"")"),"到达")</f>
        <v>到达</v>
      </c>
      <c r="I589" s="2" t="str">
        <f ca="1">IFERROR(__xludf.DUMMYFUNCTION("GOOGLETRANSLATE(B589,""en"",""gd"")"),"ruighinn")</f>
        <v>ruighinn</v>
      </c>
    </row>
    <row r="590" spans="1:9" ht="14.25" customHeight="1" x14ac:dyDescent="0.3">
      <c r="A590" s="2">
        <v>589</v>
      </c>
      <c r="B590" s="3" t="s">
        <v>597</v>
      </c>
      <c r="C590" s="2" t="str">
        <f ca="1">IFERROR(__xludf.DUMMYFUNCTION("GOOGLETRANSLATE(B590, ""en"",""es"")"),"paciente")</f>
        <v>paciente</v>
      </c>
      <c r="D590" s="2" t="str">
        <f ca="1">IFERROR(__xludf.DUMMYFUNCTION("GOOGLETRANSLATE(B590,""en"",""ig"")"),"inwe ndidi")</f>
        <v>inwe ndidi</v>
      </c>
      <c r="E590" s="2" t="str">
        <f ca="1">IFERROR(__xludf.DUMMYFUNCTION("GOOGLETRANSLATE(B590,""en"",""fr"")"),"patient")</f>
        <v>patient</v>
      </c>
      <c r="F590" s="2" t="str">
        <f ca="1">IFERROR(__xludf.DUMMYFUNCTION("GOOGLETRANSLATE(B590,""en"",""it"")"),"paziente")</f>
        <v>paziente</v>
      </c>
      <c r="G590" s="2" t="str">
        <f ca="1">IFERROR(__xludf.DUMMYFUNCTION("GOOGLETRANSLATE(B590,""en"",""de"")"),"geduldig")</f>
        <v>geduldig</v>
      </c>
      <c r="H590" s="2" t="str">
        <f ca="1">IFERROR(__xludf.DUMMYFUNCTION("GOOGLETRANSLATE(B590,""en"",""zh"")"),"病人")</f>
        <v>病人</v>
      </c>
      <c r="I590" s="2" t="str">
        <f ca="1">IFERROR(__xludf.DUMMYFUNCTION("GOOGLETRANSLATE(B590,""en"",""gd"")"),"euslainteach")</f>
        <v>euslainteach</v>
      </c>
    </row>
    <row r="591" spans="1:9" ht="14.25" customHeight="1" x14ac:dyDescent="0.3">
      <c r="A591" s="2">
        <v>590</v>
      </c>
      <c r="B591" s="3" t="s">
        <v>598</v>
      </c>
      <c r="C591" s="2" t="str">
        <f ca="1">IFERROR(__xludf.DUMMYFUNCTION("GOOGLETRANSLATE(B591, ""en"",""es"")"),"actual")</f>
        <v>actual</v>
      </c>
      <c r="D591" s="2" t="str">
        <f ca="1">IFERROR(__xludf.DUMMYFUNCTION("GOOGLETRANSLATE(B591,""en"",""ig"")"),"korenti mmiri")</f>
        <v>korenti mmiri</v>
      </c>
      <c r="E591" s="2" t="str">
        <f ca="1">IFERROR(__xludf.DUMMYFUNCTION("GOOGLETRANSLATE(B591,""en"",""fr"")"),"actuel")</f>
        <v>actuel</v>
      </c>
      <c r="F591" s="2" t="str">
        <f ca="1">IFERROR(__xludf.DUMMYFUNCTION("GOOGLETRANSLATE(B591,""en"",""it"")"),"attuale")</f>
        <v>attuale</v>
      </c>
      <c r="G591" s="2" t="str">
        <f ca="1">IFERROR(__xludf.DUMMYFUNCTION("GOOGLETRANSLATE(B591,""en"",""de"")"),"aktuell")</f>
        <v>aktuell</v>
      </c>
      <c r="H591" s="2" t="str">
        <f ca="1">IFERROR(__xludf.DUMMYFUNCTION("GOOGLETRANSLATE(B591,""en"",""zh"")"),"当前的")</f>
        <v>当前的</v>
      </c>
      <c r="I591" s="2" t="str">
        <f ca="1">IFERROR(__xludf.DUMMYFUNCTION("GOOGLETRANSLATE(B591,""en"",""gd"")"),"gnàthach")</f>
        <v>gnàthach</v>
      </c>
    </row>
    <row r="592" spans="1:9" ht="14.25" customHeight="1" x14ac:dyDescent="0.3">
      <c r="A592" s="2">
        <v>591</v>
      </c>
      <c r="B592" s="3" t="s">
        <v>599</v>
      </c>
      <c r="C592" s="2" t="str">
        <f ca="1">IFERROR(__xludf.DUMMYFUNCTION("GOOGLETRANSLATE(B592, ""en"",""es"")"),"siglo")</f>
        <v>siglo</v>
      </c>
      <c r="D592" s="2" t="str">
        <f ca="1">IFERROR(__xludf.DUMMYFUNCTION("GOOGLETRANSLATE(B592,""en"",""ig"")"),"nariafo")</f>
        <v>nariafo</v>
      </c>
      <c r="E592" s="2" t="str">
        <f ca="1">IFERROR(__xludf.DUMMYFUNCTION("GOOGLETRANSLATE(B592,""en"",""fr"")"),"siècle")</f>
        <v>siècle</v>
      </c>
      <c r="F592" s="2" t="str">
        <f ca="1">IFERROR(__xludf.DUMMYFUNCTION("GOOGLETRANSLATE(B592,""en"",""it"")"),"secolo")</f>
        <v>secolo</v>
      </c>
      <c r="G592" s="2" t="str">
        <f ca="1">IFERROR(__xludf.DUMMYFUNCTION("GOOGLETRANSLATE(B592,""en"",""de"")"),"Jahrhundert")</f>
        <v>Jahrhundert</v>
      </c>
      <c r="H592" s="2" t="str">
        <f ca="1">IFERROR(__xludf.DUMMYFUNCTION("GOOGLETRANSLATE(B592,""en"",""zh"")"),"世纪")</f>
        <v>世纪</v>
      </c>
      <c r="I592" s="2" t="str">
        <f ca="1">IFERROR(__xludf.DUMMYFUNCTION("GOOGLETRANSLATE(B592,""en"",""gd"")"),"linntean")</f>
        <v>linntean</v>
      </c>
    </row>
    <row r="593" spans="1:9" ht="14.25" customHeight="1" x14ac:dyDescent="0.3">
      <c r="A593" s="2">
        <v>592</v>
      </c>
      <c r="B593" s="3" t="s">
        <v>600</v>
      </c>
      <c r="C593" s="2" t="str">
        <f ca="1">IFERROR(__xludf.DUMMYFUNCTION("GOOGLETRANSLATE(B593, ""en"",""es"")"),"evidencia")</f>
        <v>evidencia</v>
      </c>
      <c r="D593" s="2" t="str">
        <f ca="1">IFERROR(__xludf.DUMMYFUNCTION("GOOGLETRANSLATE(B593,""en"",""ig"")"),"akaebe")</f>
        <v>akaebe</v>
      </c>
      <c r="E593" s="2" t="str">
        <f ca="1">IFERROR(__xludf.DUMMYFUNCTION("GOOGLETRANSLATE(B593,""en"",""fr"")"),"preuve")</f>
        <v>preuve</v>
      </c>
      <c r="F593" s="2" t="str">
        <f ca="1">IFERROR(__xludf.DUMMYFUNCTION("GOOGLETRANSLATE(B593,""en"",""it"")"),"prova")</f>
        <v>prova</v>
      </c>
      <c r="G593" s="2" t="str">
        <f ca="1">IFERROR(__xludf.DUMMYFUNCTION("GOOGLETRANSLATE(B593,""en"",""de"")"),"Beweis")</f>
        <v>Beweis</v>
      </c>
      <c r="H593" s="2" t="str">
        <f ca="1">IFERROR(__xludf.DUMMYFUNCTION("GOOGLETRANSLATE(B593,""en"",""zh"")"),"证据")</f>
        <v>证据</v>
      </c>
      <c r="I593" s="2" t="str">
        <f ca="1">IFERROR(__xludf.DUMMYFUNCTION("GOOGLETRANSLATE(B593,""en"",""gd"")"),"Fianais")</f>
        <v>Fianais</v>
      </c>
    </row>
    <row r="594" spans="1:9" ht="14.25" customHeight="1" x14ac:dyDescent="0.3">
      <c r="A594" s="2">
        <v>593</v>
      </c>
      <c r="B594" s="3" t="s">
        <v>601</v>
      </c>
      <c r="C594" s="2" t="str">
        <f ca="1">IFERROR(__xludf.DUMMYFUNCTION("GOOGLETRANSLATE(B594, ""en"",""es"")"),"existir")</f>
        <v>existir</v>
      </c>
      <c r="D594" s="2" t="str">
        <f ca="1">IFERROR(__xludf.DUMMYFUNCTION("GOOGLETRANSLATE(B594,""en"",""ig"")"),"idi")</f>
        <v>idi</v>
      </c>
      <c r="E594" s="2" t="str">
        <f ca="1">IFERROR(__xludf.DUMMYFUNCTION("GOOGLETRANSLATE(B594,""en"",""fr"")"),"exister")</f>
        <v>exister</v>
      </c>
      <c r="F594" s="2" t="str">
        <f ca="1">IFERROR(__xludf.DUMMYFUNCTION("GOOGLETRANSLATE(B594,""en"",""it"")"),"esistere")</f>
        <v>esistere</v>
      </c>
      <c r="G594" s="2" t="str">
        <f ca="1">IFERROR(__xludf.DUMMYFUNCTION("GOOGLETRANSLATE(B594,""en"",""de"")"),"existieren")</f>
        <v>existieren</v>
      </c>
      <c r="H594" s="2" t="str">
        <f ca="1">IFERROR(__xludf.DUMMYFUNCTION("GOOGLETRANSLATE(B594,""en"",""zh"")"),"存在")</f>
        <v>存在</v>
      </c>
      <c r="I594" s="2" t="str">
        <f ca="1">IFERROR(__xludf.DUMMYFUNCTION("GOOGLETRANSLATE(B594,""en"",""gd"")"),"ann")</f>
        <v>ann</v>
      </c>
    </row>
    <row r="595" spans="1:9" ht="14.25" customHeight="1" x14ac:dyDescent="0.3">
      <c r="A595" s="2">
        <v>594</v>
      </c>
      <c r="B595" s="3" t="s">
        <v>602</v>
      </c>
      <c r="C595" s="2" t="str">
        <f ca="1">IFERROR(__xludf.DUMMYFUNCTION("GOOGLETRANSLATE(B595, ""en"",""es"")"),"similar")</f>
        <v>similar</v>
      </c>
      <c r="D595" s="2" t="str">
        <f ca="1">IFERROR(__xludf.DUMMYFUNCTION("GOOGLETRANSLATE(B595,""en"",""ig"")"),"iyi")</f>
        <v>iyi</v>
      </c>
      <c r="E595" s="2" t="str">
        <f ca="1">IFERROR(__xludf.DUMMYFUNCTION("GOOGLETRANSLATE(B595,""en"",""fr"")"),"similaire")</f>
        <v>similaire</v>
      </c>
      <c r="F595" s="2" t="str">
        <f ca="1">IFERROR(__xludf.DUMMYFUNCTION("GOOGLETRANSLATE(B595,""en"",""it"")"),"simile")</f>
        <v>simile</v>
      </c>
      <c r="G595" s="2" t="str">
        <f ca="1">IFERROR(__xludf.DUMMYFUNCTION("GOOGLETRANSLATE(B595,""en"",""de"")"),"ähnlich")</f>
        <v>ähnlich</v>
      </c>
      <c r="H595" s="2" t="str">
        <f ca="1">IFERROR(__xludf.DUMMYFUNCTION("GOOGLETRANSLATE(B595,""en"",""zh"")"),"相似的")</f>
        <v>相似的</v>
      </c>
      <c r="I595" s="2" t="str">
        <f ca="1">IFERROR(__xludf.DUMMYFUNCTION("GOOGLETRANSLATE(B595,""en"",""gd"")"),"coltach")</f>
        <v>coltach</v>
      </c>
    </row>
    <row r="596" spans="1:9" ht="14.25" customHeight="1" x14ac:dyDescent="0.3">
      <c r="A596" s="2">
        <v>595</v>
      </c>
      <c r="B596" s="3" t="s">
        <v>603</v>
      </c>
      <c r="C596" s="2" t="str">
        <f ca="1">IFERROR(__xludf.DUMMYFUNCTION("GOOGLETRANSLATE(B596, ""en"",""es"")"),"luchar")</f>
        <v>luchar</v>
      </c>
      <c r="D596" s="2" t="str">
        <f ca="1">IFERROR(__xludf.DUMMYFUNCTION("GOOGLETRANSLATE(B596,""en"",""ig"")"),"ogu")</f>
        <v>ogu</v>
      </c>
      <c r="E596" s="2" t="str">
        <f ca="1">IFERROR(__xludf.DUMMYFUNCTION("GOOGLETRANSLATE(B596,""en"",""fr"")"),"lutte")</f>
        <v>lutte</v>
      </c>
      <c r="F596" s="2" t="str">
        <f ca="1">IFERROR(__xludf.DUMMYFUNCTION("GOOGLETRANSLATE(B596,""en"",""it"")"),"combattimento")</f>
        <v>combattimento</v>
      </c>
      <c r="G596" s="2" t="str">
        <f ca="1">IFERROR(__xludf.DUMMYFUNCTION("GOOGLETRANSLATE(B596,""en"",""de"")"),"kämpfen")</f>
        <v>kämpfen</v>
      </c>
      <c r="H596" s="2" t="str">
        <f ca="1">IFERROR(__xludf.DUMMYFUNCTION("GOOGLETRANSLATE(B596,""en"",""zh"")"),"斗争")</f>
        <v>斗争</v>
      </c>
      <c r="I596" s="2" t="str">
        <f ca="1">IFERROR(__xludf.DUMMYFUNCTION("GOOGLETRANSLATE(B596,""en"",""gd"")"),"sabaid")</f>
        <v>sabaid</v>
      </c>
    </row>
    <row r="597" spans="1:9" ht="14.25" customHeight="1" x14ac:dyDescent="0.3">
      <c r="A597" s="2">
        <v>596</v>
      </c>
      <c r="B597" s="3" t="s">
        <v>604</v>
      </c>
      <c r="C597" s="2" t="str">
        <f ca="1">IFERROR(__xludf.DUMMYFUNCTION("GOOGLETRANSLATE(B597, ""en"",""es"")"),"líder")</f>
        <v>líder</v>
      </c>
      <c r="D597" s="2" t="str">
        <f ca="1">IFERROR(__xludf.DUMMYFUNCTION("GOOGLETRANSLATE(B597,""en"",""ig"")"),"onye ochichi")</f>
        <v>onye ochichi</v>
      </c>
      <c r="E597" s="2" t="str">
        <f ca="1">IFERROR(__xludf.DUMMYFUNCTION("GOOGLETRANSLATE(B597,""en"",""fr"")"),"chef")</f>
        <v>chef</v>
      </c>
      <c r="F597" s="2" t="str">
        <f ca="1">IFERROR(__xludf.DUMMYFUNCTION("GOOGLETRANSLATE(B597,""en"",""it"")"),"capo")</f>
        <v>capo</v>
      </c>
      <c r="G597" s="2" t="str">
        <f ca="1">IFERROR(__xludf.DUMMYFUNCTION("GOOGLETRANSLATE(B597,""en"",""de"")"),"Führer")</f>
        <v>Führer</v>
      </c>
      <c r="H597" s="2" t="str">
        <f ca="1">IFERROR(__xludf.DUMMYFUNCTION("GOOGLETRANSLATE(B597,""en"",""zh"")"),"领导者")</f>
        <v>领导者</v>
      </c>
      <c r="I597" s="2" t="str">
        <f ca="1">IFERROR(__xludf.DUMMYFUNCTION("GOOGLETRANSLATE(B597,""en"",""gd"")"),"Ceannard")</f>
        <v>Ceannard</v>
      </c>
    </row>
    <row r="598" spans="1:9" ht="14.25" customHeight="1" x14ac:dyDescent="0.3">
      <c r="A598" s="2">
        <v>597</v>
      </c>
      <c r="B598" s="3" t="s">
        <v>605</v>
      </c>
      <c r="C598" s="2" t="str">
        <f ca="1">IFERROR(__xludf.DUMMYFUNCTION("GOOGLETRANSLATE(B598, ""en"",""es"")"),"bien")</f>
        <v>bien</v>
      </c>
      <c r="D598" s="2" t="str">
        <f ca="1">IFERROR(__xludf.DUMMYFUNCTION("GOOGLETRANSLATE(B598,""en"",""ig"")"),"iwu")</f>
        <v>iwu</v>
      </c>
      <c r="E598" s="2" t="str">
        <f ca="1">IFERROR(__xludf.DUMMYFUNCTION("GOOGLETRANSLATE(B598,""en"",""fr"")"),"bien")</f>
        <v>bien</v>
      </c>
      <c r="F598" s="2" t="str">
        <f ca="1">IFERROR(__xludf.DUMMYFUNCTION("GOOGLETRANSLATE(B598,""en"",""it"")"),"Bene")</f>
        <v>Bene</v>
      </c>
      <c r="G598" s="2" t="str">
        <f ca="1">IFERROR(__xludf.DUMMYFUNCTION("GOOGLETRANSLATE(B598,""en"",""de"")"),"Bußgeld")</f>
        <v>Bußgeld</v>
      </c>
      <c r="H598" s="2" t="str">
        <f ca="1">IFERROR(__xludf.DUMMYFUNCTION("GOOGLETRANSLATE(B598,""en"",""zh"")"),"美好的")</f>
        <v>美好的</v>
      </c>
      <c r="I598" s="2" t="str">
        <f ca="1">IFERROR(__xludf.DUMMYFUNCTION("GOOGLETRANSLATE(B598,""en"",""gd"")"),"Fine")</f>
        <v>Fine</v>
      </c>
    </row>
    <row r="599" spans="1:9" ht="14.25" customHeight="1" x14ac:dyDescent="0.3">
      <c r="A599" s="2">
        <v>598</v>
      </c>
      <c r="B599" s="3" t="s">
        <v>606</v>
      </c>
      <c r="C599" s="2" t="str">
        <f ca="1">IFERROR(__xludf.DUMMYFUNCTION("GOOGLETRANSLATE(B599, ""en"",""es"")"),"calle")</f>
        <v>calle</v>
      </c>
      <c r="D599" s="2" t="str">
        <f ca="1">IFERROR(__xludf.DUMMYFUNCTION("GOOGLETRANSLATE(B599,""en"",""ig"")"),"striit")</f>
        <v>striit</v>
      </c>
      <c r="E599" s="2" t="str">
        <f ca="1">IFERROR(__xludf.DUMMYFUNCTION("GOOGLETRANSLATE(B599,""en"",""fr"")"),"rue")</f>
        <v>rue</v>
      </c>
      <c r="F599" s="2" t="str">
        <f ca="1">IFERROR(__xludf.DUMMYFUNCTION("GOOGLETRANSLATE(B599,""en"",""it"")"),"strada")</f>
        <v>strada</v>
      </c>
      <c r="G599" s="2" t="str">
        <f ca="1">IFERROR(__xludf.DUMMYFUNCTION("GOOGLETRANSLATE(B599,""en"",""de"")"),"Straße")</f>
        <v>Straße</v>
      </c>
      <c r="H599" s="2" t="str">
        <f ca="1">IFERROR(__xludf.DUMMYFUNCTION("GOOGLETRANSLATE(B599,""en"",""zh"")"),"街道")</f>
        <v>街道</v>
      </c>
      <c r="I599" s="2" t="str">
        <f ca="1">IFERROR(__xludf.DUMMYFUNCTION("GOOGLETRANSLATE(B599,""en"",""gd"")"),"sràid")</f>
        <v>sràid</v>
      </c>
    </row>
    <row r="600" spans="1:9" ht="14.25" customHeight="1" x14ac:dyDescent="0.3">
      <c r="A600" s="2">
        <v>599</v>
      </c>
      <c r="B600" s="3" t="s">
        <v>607</v>
      </c>
      <c r="C600" s="2" t="str">
        <f ca="1">IFERROR(__xludf.DUMMYFUNCTION("GOOGLETRANSLATE(B600, ""en"",""es"")"),"anterior")</f>
        <v>anterior</v>
      </c>
      <c r="D600" s="2" t="str">
        <f ca="1">IFERROR(__xludf.DUMMYFUNCTION("GOOGLETRANSLATE(B600,""en"",""ig"")"),"kembu")</f>
        <v>kembu</v>
      </c>
      <c r="E600" s="2" t="str">
        <f ca="1">IFERROR(__xludf.DUMMYFUNCTION("GOOGLETRANSLATE(B600,""en"",""fr"")"),"ancien")</f>
        <v>ancien</v>
      </c>
      <c r="F600" s="2" t="str">
        <f ca="1">IFERROR(__xludf.DUMMYFUNCTION("GOOGLETRANSLATE(B600,""en"",""it"")"),"ex")</f>
        <v>ex</v>
      </c>
      <c r="G600" s="2" t="str">
        <f ca="1">IFERROR(__xludf.DUMMYFUNCTION("GOOGLETRANSLATE(B600,""en"",""de"")"),"ehemalig")</f>
        <v>ehemalig</v>
      </c>
      <c r="H600" s="2" t="str">
        <f ca="1">IFERROR(__xludf.DUMMYFUNCTION("GOOGLETRANSLATE(B600,""en"",""zh"")"),"以前的")</f>
        <v>以前的</v>
      </c>
      <c r="I600" s="2" t="str">
        <f ca="1">IFERROR(__xludf.DUMMYFUNCTION("GOOGLETRANSLATE(B600,""en"",""gd"")"),"a bha na fhear")</f>
        <v>a bha na fhear</v>
      </c>
    </row>
    <row r="601" spans="1:9" ht="14.25" customHeight="1" x14ac:dyDescent="0.3">
      <c r="A601" s="2">
        <v>600</v>
      </c>
      <c r="B601" s="3" t="s">
        <v>608</v>
      </c>
      <c r="C601" s="2" t="str">
        <f ca="1">IFERROR(__xludf.DUMMYFUNCTION("GOOGLETRANSLATE(B601, ""en"",""es"")"),"contacto")</f>
        <v>contacto</v>
      </c>
      <c r="D601" s="2" t="str">
        <f ca="1">IFERROR(__xludf.DUMMYFUNCTION("GOOGLETRANSLATE(B601,""en"",""ig"")"),"omuma mmadu")</f>
        <v>omuma mmadu</v>
      </c>
      <c r="E601" s="2" t="str">
        <f ca="1">IFERROR(__xludf.DUMMYFUNCTION("GOOGLETRANSLATE(B601,""en"",""fr"")"),"contact")</f>
        <v>contact</v>
      </c>
      <c r="F601" s="2" t="str">
        <f ca="1">IFERROR(__xludf.DUMMYFUNCTION("GOOGLETRANSLATE(B601,""en"",""it"")"),"contatto")</f>
        <v>contatto</v>
      </c>
      <c r="G601" s="2" t="str">
        <f ca="1">IFERROR(__xludf.DUMMYFUNCTION("GOOGLETRANSLATE(B601,""en"",""de"")"),"Kontakt")</f>
        <v>Kontakt</v>
      </c>
      <c r="H601" s="2" t="str">
        <f ca="1">IFERROR(__xludf.DUMMYFUNCTION("GOOGLETRANSLATE(B601,""en"",""zh"")"),"接触")</f>
        <v>接触</v>
      </c>
      <c r="I601" s="2" t="str">
        <f ca="1">IFERROR(__xludf.DUMMYFUNCTION("GOOGLETRANSLATE(B601,""en"",""gd"")"),"Cuir fios gu")</f>
        <v>Cuir fios gu</v>
      </c>
    </row>
    <row r="602" spans="1:9" ht="14.25" customHeight="1" x14ac:dyDescent="0.3">
      <c r="A602" s="2">
        <v>601</v>
      </c>
      <c r="B602" s="3" t="s">
        <v>609</v>
      </c>
      <c r="C602" s="2" t="str">
        <f ca="1">IFERROR(__xludf.DUMMYFUNCTION("GOOGLETRANSLATE(B602, ""en"",""es"")"),"particularmente")</f>
        <v>particularmente</v>
      </c>
      <c r="D602" s="2" t="str">
        <f ca="1">IFERROR(__xludf.DUMMYFUNCTION("GOOGLETRANSLATE(B602,""en"",""ig"")"),"nke gbaraiche")</f>
        <v>nke gbaraiche</v>
      </c>
      <c r="E602" s="2" t="str">
        <f ca="1">IFERROR(__xludf.DUMMYFUNCTION("GOOGLETRANSLATE(B602,""en"",""fr"")"),"particulièrement")</f>
        <v>particulièrement</v>
      </c>
      <c r="F602" s="2" t="str">
        <f ca="1">IFERROR(__xludf.DUMMYFUNCTION("GOOGLETRANSLATE(B602,""en"",""it"")"),"in particolar modo")</f>
        <v>in particolar modo</v>
      </c>
      <c r="G602" s="2" t="str">
        <f ca="1">IFERROR(__xludf.DUMMYFUNCTION("GOOGLETRANSLATE(B602,""en"",""de"")"),"insbesondere")</f>
        <v>insbesondere</v>
      </c>
      <c r="H602" s="2" t="str">
        <f ca="1">IFERROR(__xludf.DUMMYFUNCTION("GOOGLETRANSLATE(B602,""en"",""zh"")"),"特别")</f>
        <v>特别</v>
      </c>
      <c r="I602" s="2" t="str">
        <f ca="1">IFERROR(__xludf.DUMMYFUNCTION("GOOGLETRANSLATE(B602,""en"",""gd"")"),"gu sònraichte")</f>
        <v>gu sònraichte</v>
      </c>
    </row>
    <row r="603" spans="1:9" ht="14.25" customHeight="1" x14ac:dyDescent="0.3">
      <c r="A603" s="2">
        <v>602</v>
      </c>
      <c r="B603" s="3" t="s">
        <v>610</v>
      </c>
      <c r="C603" s="2" t="str">
        <f ca="1">IFERROR(__xludf.DUMMYFUNCTION("GOOGLETRANSLATE(B603, ""en"",""es"")"),"esposa")</f>
        <v>esposa</v>
      </c>
      <c r="D603" s="2" t="str">
        <f ca="1">IFERROR(__xludf.DUMMYFUNCTION("GOOGLETRANSLATE(B603,""en"",""ig"")"),"nwunye")</f>
        <v>nwunye</v>
      </c>
      <c r="E603" s="2" t="str">
        <f ca="1">IFERROR(__xludf.DUMMYFUNCTION("GOOGLETRANSLATE(B603,""en"",""fr"")"),"épouse")</f>
        <v>épouse</v>
      </c>
      <c r="F603" s="2" t="str">
        <f ca="1">IFERROR(__xludf.DUMMYFUNCTION("GOOGLETRANSLATE(B603,""en"",""it"")"),"moglie")</f>
        <v>moglie</v>
      </c>
      <c r="G603" s="2" t="str">
        <f ca="1">IFERROR(__xludf.DUMMYFUNCTION("GOOGLETRANSLATE(B603,""en"",""de"")"),"Gattin")</f>
        <v>Gattin</v>
      </c>
      <c r="H603" s="2" t="str">
        <f ca="1">IFERROR(__xludf.DUMMYFUNCTION("GOOGLETRANSLATE(B603,""en"",""zh"")"),"妻子")</f>
        <v>妻子</v>
      </c>
      <c r="I603" s="2" t="str">
        <f ca="1">IFERROR(__xludf.DUMMYFUNCTION("GOOGLETRANSLATE(B603,""en"",""gd"")"),"bean")</f>
        <v>bean</v>
      </c>
    </row>
    <row r="604" spans="1:9" ht="14.25" customHeight="1" x14ac:dyDescent="0.3">
      <c r="A604" s="2">
        <v>603</v>
      </c>
      <c r="B604" s="3" t="s">
        <v>611</v>
      </c>
      <c r="C604" s="2" t="str">
        <f ca="1">IFERROR(__xludf.DUMMYFUNCTION("GOOGLETRANSLATE(B604, ""en"",""es"")"),"deporte")</f>
        <v>deporte</v>
      </c>
      <c r="D604" s="2" t="str">
        <f ca="1">IFERROR(__xludf.DUMMYFUNCTION("GOOGLETRANSLATE(B604,""en"",""ig"")"),"egwuregwu")</f>
        <v>egwuregwu</v>
      </c>
      <c r="E604" s="2" t="str">
        <f ca="1">IFERROR(__xludf.DUMMYFUNCTION("GOOGLETRANSLATE(B604,""en"",""fr"")"),"sport")</f>
        <v>sport</v>
      </c>
      <c r="F604" s="2" t="str">
        <f ca="1">IFERROR(__xludf.DUMMYFUNCTION("GOOGLETRANSLATE(B604,""en"",""it"")"),"sport")</f>
        <v>sport</v>
      </c>
      <c r="G604" s="2" t="str">
        <f ca="1">IFERROR(__xludf.DUMMYFUNCTION("GOOGLETRANSLATE(B604,""en"",""de"")"),"Sport")</f>
        <v>Sport</v>
      </c>
      <c r="H604" s="2" t="str">
        <f ca="1">IFERROR(__xludf.DUMMYFUNCTION("GOOGLETRANSLATE(B604,""en"",""zh"")"),"运动")</f>
        <v>运动</v>
      </c>
      <c r="I604" s="2" t="str">
        <f ca="1">IFERROR(__xludf.DUMMYFUNCTION("GOOGLETRANSLATE(B604,""en"",""gd"")"),"spòrs")</f>
        <v>spòrs</v>
      </c>
    </row>
    <row r="605" spans="1:9" ht="14.25" customHeight="1" x14ac:dyDescent="0.3">
      <c r="A605" s="2">
        <v>604</v>
      </c>
      <c r="B605" s="3" t="s">
        <v>612</v>
      </c>
      <c r="C605" s="2" t="str">
        <f ca="1">IFERROR(__xludf.DUMMYFUNCTION("GOOGLETRANSLATE(B605, ""en"",""es"")"),"preparar")</f>
        <v>preparar</v>
      </c>
      <c r="D605" s="2" t="str">
        <f ca="1">IFERROR(__xludf.DUMMYFUNCTION("GOOGLETRANSLATE(B605,""en"",""ig"")"),"jikere")</f>
        <v>jikere</v>
      </c>
      <c r="E605" s="2" t="str">
        <f ca="1">IFERROR(__xludf.DUMMYFUNCTION("GOOGLETRANSLATE(B605,""en"",""fr"")"),"préparer")</f>
        <v>préparer</v>
      </c>
      <c r="F605" s="2" t="str">
        <f ca="1">IFERROR(__xludf.DUMMYFUNCTION("GOOGLETRANSLATE(B605,""en"",""it"")"),"preparare")</f>
        <v>preparare</v>
      </c>
      <c r="G605" s="2" t="str">
        <f ca="1">IFERROR(__xludf.DUMMYFUNCTION("GOOGLETRANSLATE(B605,""en"",""de"")"),"vorbereiten")</f>
        <v>vorbereiten</v>
      </c>
      <c r="H605" s="2" t="str">
        <f ca="1">IFERROR(__xludf.DUMMYFUNCTION("GOOGLETRANSLATE(B605,""en"",""zh"")"),"准备")</f>
        <v>准备</v>
      </c>
      <c r="I605" s="2" t="str">
        <f ca="1">IFERROR(__xludf.DUMMYFUNCTION("GOOGLETRANSLATE(B605,""en"",""gd"")"),"ullaich")</f>
        <v>ullaich</v>
      </c>
    </row>
    <row r="606" spans="1:9" ht="14.25" customHeight="1" x14ac:dyDescent="0.3">
      <c r="A606" s="2">
        <v>605</v>
      </c>
      <c r="B606" s="3" t="s">
        <v>613</v>
      </c>
      <c r="C606" s="2" t="str">
        <f ca="1">IFERROR(__xludf.DUMMYFUNCTION("GOOGLETRANSLATE(B606, ""en"",""es"")"),"conversar")</f>
        <v>conversar</v>
      </c>
      <c r="D606" s="2" t="str">
        <f ca="1">IFERROR(__xludf.DUMMYFUNCTION("GOOGLETRANSLATE(B606,""en"",""ig"")"),"ikpa maka")</f>
        <v>ikpa maka</v>
      </c>
      <c r="E606" s="2" t="str">
        <f ca="1">IFERROR(__xludf.DUMMYFUNCTION("GOOGLETRANSLATE(B606,""en"",""fr"")"),"discuter")</f>
        <v>discuter</v>
      </c>
      <c r="F606" s="2" t="str">
        <f ca="1">IFERROR(__xludf.DUMMYFUNCTION("GOOGLETRANSLATE(B606,""en"",""it"")"),"discutere")</f>
        <v>discutere</v>
      </c>
      <c r="G606" s="2" t="str">
        <f ca="1">IFERROR(__xludf.DUMMYFUNCTION("GOOGLETRANSLATE(B606,""en"",""de"")"),"diskutieren")</f>
        <v>diskutieren</v>
      </c>
      <c r="H606" s="2" t="str">
        <f ca="1">IFERROR(__xludf.DUMMYFUNCTION("GOOGLETRANSLATE(B606,""en"",""zh"")"),"讨论")</f>
        <v>讨论</v>
      </c>
      <c r="I606" s="2" t="str">
        <f ca="1">IFERROR(__xludf.DUMMYFUNCTION("GOOGLETRANSLATE(B606,""en"",""gd"")"),"Beachdaich")</f>
        <v>Beachdaich</v>
      </c>
    </row>
    <row r="607" spans="1:9" ht="14.25" customHeight="1" x14ac:dyDescent="0.3">
      <c r="A607" s="2">
        <v>606</v>
      </c>
      <c r="B607" s="3" t="s">
        <v>614</v>
      </c>
      <c r="C607" s="2" t="str">
        <f ca="1">IFERROR(__xludf.DUMMYFUNCTION("GOOGLETRANSLATE(B607, ""en"",""es"")"),"respuesta")</f>
        <v>respuesta</v>
      </c>
      <c r="D607" s="2" t="str">
        <f ca="1">IFERROR(__xludf.DUMMYFUNCTION("GOOGLETRANSLATE(B607,""en"",""ig"")"),"aziza")</f>
        <v>aziza</v>
      </c>
      <c r="E607" s="2" t="str">
        <f ca="1">IFERROR(__xludf.DUMMYFUNCTION("GOOGLETRANSLATE(B607,""en"",""fr"")"),"réponse")</f>
        <v>réponse</v>
      </c>
      <c r="F607" s="2" t="str">
        <f ca="1">IFERROR(__xludf.DUMMYFUNCTION("GOOGLETRANSLATE(B607,""en"",""it"")"),"risposta")</f>
        <v>risposta</v>
      </c>
      <c r="G607" s="2" t="str">
        <f ca="1">IFERROR(__xludf.DUMMYFUNCTION("GOOGLETRANSLATE(B607,""en"",""de"")"),"Antwort")</f>
        <v>Antwort</v>
      </c>
      <c r="H607" s="2" t="str">
        <f ca="1">IFERROR(__xludf.DUMMYFUNCTION("GOOGLETRANSLATE(B607,""en"",""zh"")"),"回复")</f>
        <v>回复</v>
      </c>
      <c r="I607" s="2" t="str">
        <f ca="1">IFERROR(__xludf.DUMMYFUNCTION("GOOGLETRANSLATE(B607,""en"",""gd"")"),"Freagairt")</f>
        <v>Freagairt</v>
      </c>
    </row>
    <row r="608" spans="1:9" ht="14.25" customHeight="1" x14ac:dyDescent="0.3">
      <c r="A608" s="2">
        <v>607</v>
      </c>
      <c r="B608" s="3" t="s">
        <v>615</v>
      </c>
      <c r="C608" s="2" t="str">
        <f ca="1">IFERROR(__xludf.DUMMYFUNCTION("GOOGLETRANSLATE(B608, ""en"",""es"")"),"voz")</f>
        <v>voz</v>
      </c>
      <c r="D608" s="2" t="str">
        <f ca="1">IFERROR(__xludf.DUMMYFUNCTION("GOOGLETRANSLATE(B608,""en"",""ig"")"),"olu")</f>
        <v>olu</v>
      </c>
      <c r="E608" s="2" t="str">
        <f ca="1">IFERROR(__xludf.DUMMYFUNCTION("GOOGLETRANSLATE(B608,""en"",""fr"")"),"voix")</f>
        <v>voix</v>
      </c>
      <c r="F608" s="2" t="str">
        <f ca="1">IFERROR(__xludf.DUMMYFUNCTION("GOOGLETRANSLATE(B608,""en"",""it"")"),"voce")</f>
        <v>voce</v>
      </c>
      <c r="G608" s="2" t="str">
        <f ca="1">IFERROR(__xludf.DUMMYFUNCTION("GOOGLETRANSLATE(B608,""en"",""de"")"),"Stimme")</f>
        <v>Stimme</v>
      </c>
      <c r="H608" s="2" t="str">
        <f ca="1">IFERROR(__xludf.DUMMYFUNCTION("GOOGLETRANSLATE(B608,""en"",""zh"")"),"嗓音")</f>
        <v>嗓音</v>
      </c>
      <c r="I608" s="2" t="str">
        <f ca="1">IFERROR(__xludf.DUMMYFUNCTION("GOOGLETRANSLATE(B608,""en"",""gd"")"),"guth")</f>
        <v>guth</v>
      </c>
    </row>
    <row r="609" spans="1:9" ht="14.25" customHeight="1" x14ac:dyDescent="0.3">
      <c r="A609" s="2">
        <v>608</v>
      </c>
      <c r="B609" s="3" t="s">
        <v>616</v>
      </c>
      <c r="C609" s="2" t="str">
        <f ca="1">IFERROR(__xludf.DUMMYFUNCTION("GOOGLETRANSLATE(B609, ""en"",""es"")"),"pedazo")</f>
        <v>pedazo</v>
      </c>
      <c r="D609" s="2" t="str">
        <f ca="1">IFERROR(__xludf.DUMMYFUNCTION("GOOGLETRANSLATE(B609,""en"",""ig"")"),"ibe")</f>
        <v>ibe</v>
      </c>
      <c r="E609" s="2" t="str">
        <f ca="1">IFERROR(__xludf.DUMMYFUNCTION("GOOGLETRANSLATE(B609,""en"",""fr"")"),"morceau")</f>
        <v>morceau</v>
      </c>
      <c r="F609" s="2" t="str">
        <f ca="1">IFERROR(__xludf.DUMMYFUNCTION("GOOGLETRANSLATE(B609,""en"",""it"")"),"pezzo")</f>
        <v>pezzo</v>
      </c>
      <c r="G609" s="2" t="str">
        <f ca="1">IFERROR(__xludf.DUMMYFUNCTION("GOOGLETRANSLATE(B609,""en"",""de"")"),"Stück")</f>
        <v>Stück</v>
      </c>
      <c r="H609" s="2" t="str">
        <f ca="1">IFERROR(__xludf.DUMMYFUNCTION("GOOGLETRANSLATE(B609,""en"",""zh"")"),"片")</f>
        <v>片</v>
      </c>
      <c r="I609" s="2" t="str">
        <f ca="1">IFERROR(__xludf.DUMMYFUNCTION("GOOGLETRANSLATE(B609,""en"",""gd"")"),"pìos")</f>
        <v>pìos</v>
      </c>
    </row>
    <row r="610" spans="1:9" ht="14.25" customHeight="1" x14ac:dyDescent="0.3">
      <c r="A610" s="2">
        <v>609</v>
      </c>
      <c r="B610" s="3" t="s">
        <v>617</v>
      </c>
      <c r="C610" s="2" t="str">
        <f ca="1">IFERROR(__xludf.DUMMYFUNCTION("GOOGLETRANSLATE(B610, ""en"",""es"")"),"finalizar")</f>
        <v>finalizar</v>
      </c>
      <c r="D610" s="2" t="str">
        <f ca="1">IFERROR(__xludf.DUMMYFUNCTION("GOOGLETRANSLATE(B610,""en"",""ig"")"),"imecha")</f>
        <v>imecha</v>
      </c>
      <c r="E610" s="2" t="str">
        <f ca="1">IFERROR(__xludf.DUMMYFUNCTION("GOOGLETRANSLATE(B610,""en"",""fr"")"),"finition")</f>
        <v>finition</v>
      </c>
      <c r="F610" s="2" t="str">
        <f ca="1">IFERROR(__xludf.DUMMYFUNCTION("GOOGLETRANSLATE(B610,""en"",""it"")"),"fine")</f>
        <v>fine</v>
      </c>
      <c r="G610" s="2" t="str">
        <f ca="1">IFERROR(__xludf.DUMMYFUNCTION("GOOGLETRANSLATE(B610,""en"",""de"")"),"beenden")</f>
        <v>beenden</v>
      </c>
      <c r="H610" s="2" t="str">
        <f ca="1">IFERROR(__xludf.DUMMYFUNCTION("GOOGLETRANSLATE(B610,""en"",""zh"")"),"结束")</f>
        <v>结束</v>
      </c>
      <c r="I610" s="2" t="str">
        <f ca="1">IFERROR(__xludf.DUMMYFUNCTION("GOOGLETRANSLATE(B610,""en"",""gd"")"),"Crìoch")</f>
        <v>Crìoch</v>
      </c>
    </row>
    <row r="611" spans="1:9" ht="14.25" customHeight="1" x14ac:dyDescent="0.3">
      <c r="A611" s="2">
        <v>610</v>
      </c>
      <c r="B611" s="3" t="s">
        <v>618</v>
      </c>
      <c r="C611" s="2" t="str">
        <f ca="1">IFERROR(__xludf.DUMMYFUNCTION("GOOGLETRANSLATE(B611, ""en"",""es"")"),"suponer")</f>
        <v>suponer</v>
      </c>
      <c r="D611" s="2" t="str">
        <f ca="1">IFERROR(__xludf.DUMMYFUNCTION("GOOGLETRANSLATE(B611,""en"",""ig"")"),"soposi")</f>
        <v>soposi</v>
      </c>
      <c r="E611" s="2" t="str">
        <f ca="1">IFERROR(__xludf.DUMMYFUNCTION("GOOGLETRANSLATE(B611,""en"",""fr"")"),"supposer")</f>
        <v>supposer</v>
      </c>
      <c r="F611" s="2" t="str">
        <f ca="1">IFERROR(__xludf.DUMMYFUNCTION("GOOGLETRANSLATE(B611,""en"",""it"")"),"Supponiamo")</f>
        <v>Supponiamo</v>
      </c>
      <c r="G611" s="2" t="str">
        <f ca="1">IFERROR(__xludf.DUMMYFUNCTION("GOOGLETRANSLATE(B611,""en"",""de"")"),"vermuten")</f>
        <v>vermuten</v>
      </c>
      <c r="H611" s="2" t="str">
        <f ca="1">IFERROR(__xludf.DUMMYFUNCTION("GOOGLETRANSLATE(B611,""en"",""zh"")"),"认为")</f>
        <v>认为</v>
      </c>
      <c r="I611" s="2" t="str">
        <f ca="1">IFERROR(__xludf.DUMMYFUNCTION("GOOGLETRANSLATE(B611,""en"",""gd"")"),"Osbarr")</f>
        <v>Osbarr</v>
      </c>
    </row>
    <row r="612" spans="1:9" ht="14.25" customHeight="1" x14ac:dyDescent="0.3">
      <c r="A612" s="2">
        <v>611</v>
      </c>
      <c r="B612" s="3" t="s">
        <v>619</v>
      </c>
      <c r="C612" s="2" t="str">
        <f ca="1">IFERROR(__xludf.DUMMYFUNCTION("GOOGLETRANSLATE(B612, ""en"",""es"")"),"aplicar")</f>
        <v>aplicar</v>
      </c>
      <c r="D612" s="2" t="str">
        <f ca="1">IFERROR(__xludf.DUMMYFUNCTION("GOOGLETRANSLATE(B612,""en"",""ig"")"),"ide")</f>
        <v>ide</v>
      </c>
      <c r="E612" s="2" t="str">
        <f ca="1">IFERROR(__xludf.DUMMYFUNCTION("GOOGLETRANSLATE(B612,""en"",""fr"")"),"appliquer")</f>
        <v>appliquer</v>
      </c>
      <c r="F612" s="2" t="str">
        <f ca="1">IFERROR(__xludf.DUMMYFUNCTION("GOOGLETRANSLATE(B612,""en"",""it"")"),"fare domanda a")</f>
        <v>fare domanda a</v>
      </c>
      <c r="G612" s="2" t="str">
        <f ca="1">IFERROR(__xludf.DUMMYFUNCTION("GOOGLETRANSLATE(B612,""en"",""de"")"),"anwenden")</f>
        <v>anwenden</v>
      </c>
      <c r="H612" s="2" t="str">
        <f ca="1">IFERROR(__xludf.DUMMYFUNCTION("GOOGLETRANSLATE(B612,""en"",""zh"")"),"申请")</f>
        <v>申请</v>
      </c>
      <c r="I612" s="2" t="str">
        <f ca="1">IFERROR(__xludf.DUMMYFUNCTION("GOOGLETRANSLATE(B612,""en"",""gd"")"),"Cuir a-steach")</f>
        <v>Cuir a-steach</v>
      </c>
    </row>
    <row r="613" spans="1:9" ht="14.25" customHeight="1" x14ac:dyDescent="0.3">
      <c r="A613" s="2">
        <v>612</v>
      </c>
      <c r="B613" s="3" t="s">
        <v>620</v>
      </c>
      <c r="C613" s="2" t="str">
        <f ca="1">IFERROR(__xludf.DUMMYFUNCTION("GOOGLETRANSLATE(B613, ""en"",""es"")"),"presidente")</f>
        <v>presidente</v>
      </c>
      <c r="D613" s="2" t="str">
        <f ca="1">IFERROR(__xludf.DUMMYFUNCTION("GOOGLETRANSLATE(B613,""en"",""ig"")"),"onye ochichi ala")</f>
        <v>onye ochichi ala</v>
      </c>
      <c r="E613" s="2" t="str">
        <f ca="1">IFERROR(__xludf.DUMMYFUNCTION("GOOGLETRANSLATE(B613,""en"",""fr"")"),"président")</f>
        <v>président</v>
      </c>
      <c r="F613" s="2" t="str">
        <f ca="1">IFERROR(__xludf.DUMMYFUNCTION("GOOGLETRANSLATE(B613,""en"",""it"")"),"Presidente")</f>
        <v>Presidente</v>
      </c>
      <c r="G613" s="2" t="str">
        <f ca="1">IFERROR(__xludf.DUMMYFUNCTION("GOOGLETRANSLATE(B613,""en"",""de"")"),"Präsident")</f>
        <v>Präsident</v>
      </c>
      <c r="H613" s="2" t="str">
        <f ca="1">IFERROR(__xludf.DUMMYFUNCTION("GOOGLETRANSLATE(B613,""en"",""zh"")"),"总统")</f>
        <v>总统</v>
      </c>
      <c r="I613" s="2" t="str">
        <f ca="1">IFERROR(__xludf.DUMMYFUNCTION("GOOGLETRANSLATE(B613,""en"",""gd"")"),"Ceann-suidhe")</f>
        <v>Ceann-suidhe</v>
      </c>
    </row>
    <row r="614" spans="1:9" ht="14.25" customHeight="1" x14ac:dyDescent="0.3">
      <c r="A614" s="2">
        <v>613</v>
      </c>
      <c r="B614" s="3" t="s">
        <v>621</v>
      </c>
      <c r="C614" s="2" t="str">
        <f ca="1">IFERROR(__xludf.DUMMYFUNCTION("GOOGLETRANSLATE(B614, ""en"",""es"")"),"fuego")</f>
        <v>fuego</v>
      </c>
      <c r="D614" s="2" t="str">
        <f ca="1">IFERROR(__xludf.DUMMYFUNCTION("GOOGLETRANSLATE(B614,""en"",""ig"")"),"oku")</f>
        <v>oku</v>
      </c>
      <c r="E614" s="2" t="str">
        <f ca="1">IFERROR(__xludf.DUMMYFUNCTION("GOOGLETRANSLATE(B614,""en"",""fr"")"),"feu")</f>
        <v>feu</v>
      </c>
      <c r="F614" s="2" t="str">
        <f ca="1">IFERROR(__xludf.DUMMYFUNCTION("GOOGLETRANSLATE(B614,""en"",""it"")"),"fuoco")</f>
        <v>fuoco</v>
      </c>
      <c r="G614" s="2" t="str">
        <f ca="1">IFERROR(__xludf.DUMMYFUNCTION("GOOGLETRANSLATE(B614,""en"",""de"")"),"Feuer")</f>
        <v>Feuer</v>
      </c>
      <c r="H614" s="2" t="str">
        <f ca="1">IFERROR(__xludf.DUMMYFUNCTION("GOOGLETRANSLATE(B614,""en"",""zh"")"),"火")</f>
        <v>火</v>
      </c>
      <c r="I614" s="2" t="str">
        <f ca="1">IFERROR(__xludf.DUMMYFUNCTION("GOOGLETRANSLATE(B614,""en"",""gd"")"),"Teine")</f>
        <v>Teine</v>
      </c>
    </row>
    <row r="615" spans="1:9" ht="14.25" customHeight="1" x14ac:dyDescent="0.3">
      <c r="A615" s="2">
        <v>614</v>
      </c>
      <c r="B615" s="3" t="s">
        <v>622</v>
      </c>
      <c r="C615" s="2" t="str">
        <f ca="1">IFERROR(__xludf.DUMMYFUNCTION("GOOGLETRANSLATE(B615, ""en"",""es"")"),"comparar")</f>
        <v>comparar</v>
      </c>
      <c r="D615" s="2" t="str">
        <f ca="1">IFERROR(__xludf.DUMMYFUNCTION("GOOGLETRANSLATE(B615,""en"",""ig"")"),"itulerita")</f>
        <v>itulerita</v>
      </c>
      <c r="E615" s="2" t="str">
        <f ca="1">IFERROR(__xludf.DUMMYFUNCTION("GOOGLETRANSLATE(B615,""en"",""fr"")"),"comparer")</f>
        <v>comparer</v>
      </c>
      <c r="F615" s="2" t="str">
        <f ca="1">IFERROR(__xludf.DUMMYFUNCTION("GOOGLETRANSLATE(B615,""en"",""it"")"),"confrontare")</f>
        <v>confrontare</v>
      </c>
      <c r="G615" s="2" t="str">
        <f ca="1">IFERROR(__xludf.DUMMYFUNCTION("GOOGLETRANSLATE(B615,""en"",""de"")"),"vergleichen")</f>
        <v>vergleichen</v>
      </c>
      <c r="H615" s="2" t="str">
        <f ca="1">IFERROR(__xludf.DUMMYFUNCTION("GOOGLETRANSLATE(B615,""en"",""zh"")"),"比较")</f>
        <v>比较</v>
      </c>
      <c r="I615" s="2" t="str">
        <f ca="1">IFERROR(__xludf.DUMMYFUNCTION("GOOGLETRANSLATE(B615,""en"",""gd"")"),"dèan coimeas")</f>
        <v>dèan coimeas</v>
      </c>
    </row>
    <row r="616" spans="1:9" ht="14.25" customHeight="1" x14ac:dyDescent="0.3">
      <c r="A616" s="2">
        <v>615</v>
      </c>
      <c r="B616" s="3" t="s">
        <v>623</v>
      </c>
      <c r="C616" s="2" t="str">
        <f ca="1">IFERROR(__xludf.DUMMYFUNCTION("GOOGLETRANSLATE(B616, ""en"",""es"")"),"corte")</f>
        <v>corte</v>
      </c>
      <c r="D616" s="2" t="str">
        <f ca="1">IFERROR(__xludf.DUMMYFUNCTION("GOOGLETRANSLATE(B616,""en"",""ig"")"),"kootu")</f>
        <v>kootu</v>
      </c>
      <c r="E616" s="2" t="str">
        <f ca="1">IFERROR(__xludf.DUMMYFUNCTION("GOOGLETRANSLATE(B616,""en"",""fr"")"),"tribunal")</f>
        <v>tribunal</v>
      </c>
      <c r="F616" s="2" t="str">
        <f ca="1">IFERROR(__xludf.DUMMYFUNCTION("GOOGLETRANSLATE(B616,""en"",""it"")"),"Tribunale")</f>
        <v>Tribunale</v>
      </c>
      <c r="G616" s="2" t="str">
        <f ca="1">IFERROR(__xludf.DUMMYFUNCTION("GOOGLETRANSLATE(B616,""en"",""de"")"),"Gericht")</f>
        <v>Gericht</v>
      </c>
      <c r="H616" s="2" t="str">
        <f ca="1">IFERROR(__xludf.DUMMYFUNCTION("GOOGLETRANSLATE(B616,""en"",""zh"")"),"法庭")</f>
        <v>法庭</v>
      </c>
      <c r="I616" s="2" t="str">
        <f ca="1">IFERROR(__xludf.DUMMYFUNCTION("GOOGLETRANSLATE(B616,""en"",""gd"")"),"Cùirt")</f>
        <v>Cùirt</v>
      </c>
    </row>
    <row r="617" spans="1:9" ht="14.25" customHeight="1" x14ac:dyDescent="0.3">
      <c r="A617" s="2">
        <v>616</v>
      </c>
      <c r="B617" s="3" t="s">
        <v>624</v>
      </c>
      <c r="C617" s="2" t="str">
        <f ca="1">IFERROR(__xludf.DUMMYFUNCTION("GOOGLETRANSLATE(B617, ""en"",""es"")"),"policía")</f>
        <v>policía</v>
      </c>
      <c r="D617" s="2" t="str">
        <f ca="1">IFERROR(__xludf.DUMMYFUNCTION("GOOGLETRANSLATE(B617,""en"",""ig"")"),"ndi uweojii")</f>
        <v>ndi uweojii</v>
      </c>
      <c r="E617" s="2" t="str">
        <f ca="1">IFERROR(__xludf.DUMMYFUNCTION("GOOGLETRANSLATE(B617,""en"",""fr"")"),"police")</f>
        <v>police</v>
      </c>
      <c r="F617" s="2" t="str">
        <f ca="1">IFERROR(__xludf.DUMMYFUNCTION("GOOGLETRANSLATE(B617,""en"",""it"")"),"Polizia Stradale")</f>
        <v>Polizia Stradale</v>
      </c>
      <c r="G617" s="2" t="str">
        <f ca="1">IFERROR(__xludf.DUMMYFUNCTION("GOOGLETRANSLATE(B617,""en"",""de"")"),"Polizei")</f>
        <v>Polizei</v>
      </c>
      <c r="H617" s="2" t="str">
        <f ca="1">IFERROR(__xludf.DUMMYFUNCTION("GOOGLETRANSLATE(B617,""en"",""zh"")"),"警察")</f>
        <v>警察</v>
      </c>
      <c r="I617" s="2" t="str">
        <f ca="1">IFERROR(__xludf.DUMMYFUNCTION("GOOGLETRANSLATE(B617,""en"",""gd"")"),"Poileas")</f>
        <v>Poileas</v>
      </c>
    </row>
    <row r="618" spans="1:9" ht="14.25" customHeight="1" x14ac:dyDescent="0.3">
      <c r="A618" s="2">
        <v>617</v>
      </c>
      <c r="B618" s="3" t="s">
        <v>625</v>
      </c>
      <c r="C618" s="2" t="str">
        <f ca="1">IFERROR(__xludf.DUMMYFUNCTION("GOOGLETRANSLATE(B618, ""en"",""es"")"),"almacenar")</f>
        <v>almacenar</v>
      </c>
      <c r="D618" s="2" t="str">
        <f ca="1">IFERROR(__xludf.DUMMYFUNCTION("GOOGLETRANSLATE(B618,""en"",""ig"")"),"storaji")</f>
        <v>storaji</v>
      </c>
      <c r="E618" s="2" t="str">
        <f ca="1">IFERROR(__xludf.DUMMYFUNCTION("GOOGLETRANSLATE(B618,""en"",""fr"")"),"magasin")</f>
        <v>magasin</v>
      </c>
      <c r="F618" s="2" t="str">
        <f ca="1">IFERROR(__xludf.DUMMYFUNCTION("GOOGLETRANSLATE(B618,""en"",""it"")"),"negozio")</f>
        <v>negozio</v>
      </c>
      <c r="G618" s="2" t="str">
        <f ca="1">IFERROR(__xludf.DUMMYFUNCTION("GOOGLETRANSLATE(B618,""en"",""de"")"),"speichern")</f>
        <v>speichern</v>
      </c>
      <c r="H618" s="2" t="str">
        <f ca="1">IFERROR(__xludf.DUMMYFUNCTION("GOOGLETRANSLATE(B618,""en"",""zh"")"),"店铺")</f>
        <v>店铺</v>
      </c>
      <c r="I618" s="2" t="str">
        <f ca="1">IFERROR(__xludf.DUMMYFUNCTION("GOOGLETRANSLATE(B618,""en"",""gd"")"),"stòr")</f>
        <v>stòr</v>
      </c>
    </row>
    <row r="619" spans="1:9" ht="14.25" customHeight="1" x14ac:dyDescent="0.3">
      <c r="A619" s="2">
        <v>618</v>
      </c>
      <c r="B619" s="3" t="s">
        <v>626</v>
      </c>
      <c r="C619" s="2" t="str">
        <f ca="1">IFERROR(__xludf.DUMMYFUNCTION("GOOGLETRANSLATE(B619, ""en"",""es"")"),"pobre")</f>
        <v>pobre</v>
      </c>
      <c r="D619" s="2" t="str">
        <f ca="1">IFERROR(__xludf.DUMMYFUNCTION("GOOGLETRANSLATE(B619,""en"",""ig"")"),"emezighi")</f>
        <v>emezighi</v>
      </c>
      <c r="E619" s="2" t="str">
        <f ca="1">IFERROR(__xludf.DUMMYFUNCTION("GOOGLETRANSLATE(B619,""en"",""fr"")"),"pauvre")</f>
        <v>pauvre</v>
      </c>
      <c r="F619" s="2" t="str">
        <f ca="1">IFERROR(__xludf.DUMMYFUNCTION("GOOGLETRANSLATE(B619,""en"",""it"")"),"povero")</f>
        <v>povero</v>
      </c>
      <c r="G619" s="2" t="str">
        <f ca="1">IFERROR(__xludf.DUMMYFUNCTION("GOOGLETRANSLATE(B619,""en"",""de"")"),"arm")</f>
        <v>arm</v>
      </c>
      <c r="H619" s="2" t="str">
        <f ca="1">IFERROR(__xludf.DUMMYFUNCTION("GOOGLETRANSLATE(B619,""en"",""zh"")"),"贫穷的")</f>
        <v>贫穷的</v>
      </c>
      <c r="I619" s="2" t="str">
        <f ca="1">IFERROR(__xludf.DUMMYFUNCTION("GOOGLETRANSLATE(B619,""en"",""gd"")"),"bochd")</f>
        <v>bochd</v>
      </c>
    </row>
    <row r="620" spans="1:9" ht="14.25" customHeight="1" x14ac:dyDescent="0.3">
      <c r="A620" s="2">
        <v>619</v>
      </c>
      <c r="B620" s="3" t="s">
        <v>627</v>
      </c>
      <c r="C620" s="2" t="str">
        <f ca="1">IFERROR(__xludf.DUMMYFUNCTION("GOOGLETRANSLATE(B620, ""en"",""es"")"),"conocimiento")</f>
        <v>conocimiento</v>
      </c>
      <c r="D620" s="2" t="str">
        <f ca="1">IFERROR(__xludf.DUMMYFUNCTION("GOOGLETRANSLATE(B620,""en"",""ig"")"),"mmuta")</f>
        <v>mmuta</v>
      </c>
      <c r="E620" s="2" t="str">
        <f ca="1">IFERROR(__xludf.DUMMYFUNCTION("GOOGLETRANSLATE(B620,""en"",""fr"")"),"connaissance")</f>
        <v>connaissance</v>
      </c>
      <c r="F620" s="2" t="str">
        <f ca="1">IFERROR(__xludf.DUMMYFUNCTION("GOOGLETRANSLATE(B620,""en"",""it"")"),"conoscenza")</f>
        <v>conoscenza</v>
      </c>
      <c r="G620" s="2" t="str">
        <f ca="1">IFERROR(__xludf.DUMMYFUNCTION("GOOGLETRANSLATE(B620,""en"",""de"")"),"Wissen")</f>
        <v>Wissen</v>
      </c>
      <c r="H620" s="2" t="str">
        <f ca="1">IFERROR(__xludf.DUMMYFUNCTION("GOOGLETRANSLATE(B620,""en"",""zh"")"),"知识")</f>
        <v>知识</v>
      </c>
      <c r="I620" s="2" t="str">
        <f ca="1">IFERROR(__xludf.DUMMYFUNCTION("GOOGLETRANSLATE(B620,""en"",""gd"")"),"eòlas")</f>
        <v>eòlas</v>
      </c>
    </row>
    <row r="621" spans="1:9" ht="14.25" customHeight="1" x14ac:dyDescent="0.3">
      <c r="A621" s="2">
        <v>620</v>
      </c>
      <c r="B621" s="3" t="s">
        <v>628</v>
      </c>
      <c r="C621" s="2" t="str">
        <f ca="1">IFERROR(__xludf.DUMMYFUNCTION("GOOGLETRANSLATE(B621, ""en"",""es"")"),"reír")</f>
        <v>reír</v>
      </c>
      <c r="D621" s="2" t="str">
        <f ca="1">IFERROR(__xludf.DUMMYFUNCTION("GOOGLETRANSLATE(B621,""en"",""ig"")"),"ichi ochi")</f>
        <v>ichi ochi</v>
      </c>
      <c r="E621" s="2" t="str">
        <f ca="1">IFERROR(__xludf.DUMMYFUNCTION("GOOGLETRANSLATE(B621,""en"",""fr"")"),"rire")</f>
        <v>rire</v>
      </c>
      <c r="F621" s="2" t="str">
        <f ca="1">IFERROR(__xludf.DUMMYFUNCTION("GOOGLETRANSLATE(B621,""en"",""it"")"),"ridere")</f>
        <v>ridere</v>
      </c>
      <c r="G621" s="2" t="str">
        <f ca="1">IFERROR(__xludf.DUMMYFUNCTION("GOOGLETRANSLATE(B621,""en"",""de"")"),"lachen")</f>
        <v>lachen</v>
      </c>
      <c r="H621" s="2" t="str">
        <f ca="1">IFERROR(__xludf.DUMMYFUNCTION("GOOGLETRANSLATE(B621,""en"",""zh"")"),"笑")</f>
        <v>笑</v>
      </c>
      <c r="I621" s="2" t="str">
        <f ca="1">IFERROR(__xludf.DUMMYFUNCTION("GOOGLETRANSLATE(B621,""en"",""gd"")"),"gàireachdainn")</f>
        <v>gàireachdainn</v>
      </c>
    </row>
    <row r="622" spans="1:9" ht="14.25" customHeight="1" x14ac:dyDescent="0.3">
      <c r="A622" s="2">
        <v>621</v>
      </c>
      <c r="B622" s="3" t="s">
        <v>629</v>
      </c>
      <c r="C622" s="2" t="str">
        <f ca="1">IFERROR(__xludf.DUMMYFUNCTION("GOOGLETRANSLATE(B622, ""en"",""es"")"),"brazo")</f>
        <v>brazo</v>
      </c>
      <c r="D622" s="2" t="str">
        <f ca="1">IFERROR(__xludf.DUMMYFUNCTION("GOOGLETRANSLATE(B622,""en"",""ig"")"),"mpata ukwu")</f>
        <v>mpata ukwu</v>
      </c>
      <c r="E622" s="2" t="str">
        <f ca="1">IFERROR(__xludf.DUMMYFUNCTION("GOOGLETRANSLATE(B622,""en"",""fr"")"),"bras")</f>
        <v>bras</v>
      </c>
      <c r="F622" s="2" t="str">
        <f ca="1">IFERROR(__xludf.DUMMYFUNCTION("GOOGLETRANSLATE(B622,""en"",""it"")"),"braccio")</f>
        <v>braccio</v>
      </c>
      <c r="G622" s="2" t="str">
        <f ca="1">IFERROR(__xludf.DUMMYFUNCTION("GOOGLETRANSLATE(B622,""en"",""de"")"),"Arm")</f>
        <v>Arm</v>
      </c>
      <c r="H622" s="2" t="str">
        <f ca="1">IFERROR(__xludf.DUMMYFUNCTION("GOOGLETRANSLATE(B622,""en"",""zh"")"),"手臂")</f>
        <v>手臂</v>
      </c>
      <c r="I622" s="2" t="str">
        <f ca="1">IFERROR(__xludf.DUMMYFUNCTION("GOOGLETRANSLATE(B622,""en"",""gd"")"),"gàirdean")</f>
        <v>gàirdean</v>
      </c>
    </row>
    <row r="623" spans="1:9" ht="14.25" customHeight="1" x14ac:dyDescent="0.3">
      <c r="A623" s="2">
        <v>622</v>
      </c>
      <c r="B623" s="3" t="s">
        <v>630</v>
      </c>
      <c r="C623" s="2" t="str">
        <f ca="1">IFERROR(__xludf.DUMMYFUNCTION("GOOGLETRANSLATE(B623, ""en"",""es"")"),"corazón")</f>
        <v>corazón</v>
      </c>
      <c r="D623" s="2" t="str">
        <f ca="1">IFERROR(__xludf.DUMMYFUNCTION("GOOGLETRANSLATE(B623,""en"",""ig"")"),"obi")</f>
        <v>obi</v>
      </c>
      <c r="E623" s="2" t="str">
        <f ca="1">IFERROR(__xludf.DUMMYFUNCTION("GOOGLETRANSLATE(B623,""en"",""fr"")"),"cœur")</f>
        <v>cœur</v>
      </c>
      <c r="F623" s="2" t="str">
        <f ca="1">IFERROR(__xludf.DUMMYFUNCTION("GOOGLETRANSLATE(B623,""en"",""it"")"),"cuore")</f>
        <v>cuore</v>
      </c>
      <c r="G623" s="2" t="str">
        <f ca="1">IFERROR(__xludf.DUMMYFUNCTION("GOOGLETRANSLATE(B623,""en"",""de"")"),"Herz")</f>
        <v>Herz</v>
      </c>
      <c r="H623" s="2" t="str">
        <f ca="1">IFERROR(__xludf.DUMMYFUNCTION("GOOGLETRANSLATE(B623,""en"",""zh"")"),"心")</f>
        <v>心</v>
      </c>
      <c r="I623" s="2" t="str">
        <f ca="1">IFERROR(__xludf.DUMMYFUNCTION("GOOGLETRANSLATE(B623,""en"",""gd"")"),"cridhe")</f>
        <v>cridhe</v>
      </c>
    </row>
    <row r="624" spans="1:9" ht="14.25" customHeight="1" x14ac:dyDescent="0.3">
      <c r="A624" s="2">
        <v>623</v>
      </c>
      <c r="B624" s="3" t="s">
        <v>631</v>
      </c>
      <c r="C624" s="2" t="str">
        <f ca="1">IFERROR(__xludf.DUMMYFUNCTION("GOOGLETRANSLATE(B624, ""en"",""es"")"),"fuente")</f>
        <v>fuente</v>
      </c>
      <c r="D624" s="2" t="str">
        <f ca="1">IFERROR(__xludf.DUMMYFUNCTION("GOOGLETRANSLATE(B624,""en"",""ig"")"),"nsiputa")</f>
        <v>nsiputa</v>
      </c>
      <c r="E624" s="2" t="str">
        <f ca="1">IFERROR(__xludf.DUMMYFUNCTION("GOOGLETRANSLATE(B624,""en"",""fr"")"),"source")</f>
        <v>source</v>
      </c>
      <c r="F624" s="2" t="str">
        <f ca="1">IFERROR(__xludf.DUMMYFUNCTION("GOOGLETRANSLATE(B624,""en"",""it"")"),"fonte")</f>
        <v>fonte</v>
      </c>
      <c r="G624" s="2" t="str">
        <f ca="1">IFERROR(__xludf.DUMMYFUNCTION("GOOGLETRANSLATE(B624,""en"",""de"")"),"Quelle")</f>
        <v>Quelle</v>
      </c>
      <c r="H624" s="2" t="str">
        <f ca="1">IFERROR(__xludf.DUMMYFUNCTION("GOOGLETRANSLATE(B624,""en"",""zh"")"),"来源")</f>
        <v>来源</v>
      </c>
      <c r="I624" s="2" t="str">
        <f ca="1">IFERROR(__xludf.DUMMYFUNCTION("GOOGLETRANSLATE(B624,""en"",""gd"")"),"Stòr")</f>
        <v>Stòr</v>
      </c>
    </row>
    <row r="625" spans="1:9" ht="14.25" customHeight="1" x14ac:dyDescent="0.3">
      <c r="A625" s="2">
        <v>624</v>
      </c>
      <c r="B625" s="3" t="s">
        <v>632</v>
      </c>
      <c r="C625" s="2" t="str">
        <f ca="1">IFERROR(__xludf.DUMMYFUNCTION("GOOGLETRANSLATE(B625, ""en"",""es"")"),"empleado")</f>
        <v>empleado</v>
      </c>
      <c r="D625" s="2" t="str">
        <f ca="1">IFERROR(__xludf.DUMMYFUNCTION("GOOGLETRANSLATE(B625,""en"",""ig"")"),"onye eweere n'oru")</f>
        <v>onye eweere n'oru</v>
      </c>
      <c r="E625" s="2" t="str">
        <f ca="1">IFERROR(__xludf.DUMMYFUNCTION("GOOGLETRANSLATE(B625,""en"",""fr"")"),"employé")</f>
        <v>employé</v>
      </c>
      <c r="F625" s="2" t="str">
        <f ca="1">IFERROR(__xludf.DUMMYFUNCTION("GOOGLETRANSLATE(B625,""en"",""it"")"),"dipendente")</f>
        <v>dipendente</v>
      </c>
      <c r="G625" s="2" t="str">
        <f ca="1">IFERROR(__xludf.DUMMYFUNCTION("GOOGLETRANSLATE(B625,""en"",""de"")"),"Mitarbeiter")</f>
        <v>Mitarbeiter</v>
      </c>
      <c r="H625" s="2" t="str">
        <f ca="1">IFERROR(__xludf.DUMMYFUNCTION("GOOGLETRANSLATE(B625,""en"",""zh"")"),"员工")</f>
        <v>员工</v>
      </c>
      <c r="I625" s="2" t="str">
        <f ca="1">IFERROR(__xludf.DUMMYFUNCTION("GOOGLETRANSLATE(B625,""en"",""gd"")"),"Neach-obrach")</f>
        <v>Neach-obrach</v>
      </c>
    </row>
    <row r="626" spans="1:9" ht="14.25" customHeight="1" x14ac:dyDescent="0.3">
      <c r="A626" s="2">
        <v>625</v>
      </c>
      <c r="B626" s="3" t="s">
        <v>633</v>
      </c>
      <c r="C626" s="2" t="str">
        <f ca="1">IFERROR(__xludf.DUMMYFUNCTION("GOOGLETRANSLATE(B626, ""en"",""es"")"),"administrar")</f>
        <v>administrar</v>
      </c>
      <c r="D626" s="2" t="str">
        <f ca="1">IFERROR(__xludf.DUMMYFUNCTION("GOOGLETRANSLATE(B626,""en"",""ig"")"),"imaneeji")</f>
        <v>imaneeji</v>
      </c>
      <c r="E626" s="2" t="str">
        <f ca="1">IFERROR(__xludf.DUMMYFUNCTION("GOOGLETRANSLATE(B626,""en"",""fr"")"),"gérer")</f>
        <v>gérer</v>
      </c>
      <c r="F626" s="2" t="str">
        <f ca="1">IFERROR(__xludf.DUMMYFUNCTION("GOOGLETRANSLATE(B626,""en"",""it"")"),"maneggio")</f>
        <v>maneggio</v>
      </c>
      <c r="G626" s="2" t="str">
        <f ca="1">IFERROR(__xludf.DUMMYFUNCTION("GOOGLETRANSLATE(B626,""en"",""de"")"),"verwalten")</f>
        <v>verwalten</v>
      </c>
      <c r="H626" s="2" t="str">
        <f ca="1">IFERROR(__xludf.DUMMYFUNCTION("GOOGLETRANSLATE(B626,""en"",""zh"")"),"管理")</f>
        <v>管理</v>
      </c>
      <c r="I626" s="2" t="str">
        <f ca="1">IFERROR(__xludf.DUMMYFUNCTION("GOOGLETRANSLATE(B626,""en"",""gd"")"),"Stiùirich")</f>
        <v>Stiùirich</v>
      </c>
    </row>
    <row r="627" spans="1:9" ht="14.25" customHeight="1" x14ac:dyDescent="0.3">
      <c r="A627" s="2">
        <v>626</v>
      </c>
      <c r="B627" s="3" t="s">
        <v>634</v>
      </c>
      <c r="C627" s="2" t="str">
        <f ca="1">IFERROR(__xludf.DUMMYFUNCTION("GOOGLETRANSLATE(B627, ""en"",""es"")"),"simplemente")</f>
        <v>simplemente</v>
      </c>
      <c r="D627" s="2" t="str">
        <f ca="1">IFERROR(__xludf.DUMMYFUNCTION("GOOGLETRANSLATE(B627,""en"",""ig"")"),"maka imeidonaya")</f>
        <v>maka imeidonaya</v>
      </c>
      <c r="E627" s="2" t="str">
        <f ca="1">IFERROR(__xludf.DUMMYFUNCTION("GOOGLETRANSLATE(B627,""en"",""fr"")"),"simplement")</f>
        <v>simplement</v>
      </c>
      <c r="F627" s="2" t="str">
        <f ca="1">IFERROR(__xludf.DUMMYFUNCTION("GOOGLETRANSLATE(B627,""en"",""it"")"),"semplicemente")</f>
        <v>semplicemente</v>
      </c>
      <c r="G627" s="2" t="str">
        <f ca="1">IFERROR(__xludf.DUMMYFUNCTION("GOOGLETRANSLATE(B627,""en"",""de"")"),"einfach")</f>
        <v>einfach</v>
      </c>
      <c r="H627" s="2" t="str">
        <f ca="1">IFERROR(__xludf.DUMMYFUNCTION("GOOGLETRANSLATE(B627,""en"",""zh"")"),"简单地")</f>
        <v>简单地</v>
      </c>
      <c r="I627" s="2" t="str">
        <f ca="1">IFERROR(__xludf.DUMMYFUNCTION("GOOGLETRANSLATE(B627,""en"",""gd"")"),"dìreach")</f>
        <v>dìreach</v>
      </c>
    </row>
    <row r="628" spans="1:9" ht="14.25" customHeight="1" x14ac:dyDescent="0.3">
      <c r="A628" s="2">
        <v>627</v>
      </c>
      <c r="B628" s="3" t="s">
        <v>635</v>
      </c>
      <c r="C628" s="2" t="str">
        <f ca="1">IFERROR(__xludf.DUMMYFUNCTION("GOOGLETRANSLATE(B628, ""en"",""es"")"),"banco")</f>
        <v>banco</v>
      </c>
      <c r="D628" s="2" t="str">
        <f ca="1">IFERROR(__xludf.DUMMYFUNCTION("GOOGLETRANSLATE(B628,""en"",""ig"")"),"ulo aku")</f>
        <v>ulo aku</v>
      </c>
      <c r="E628" s="2" t="str">
        <f ca="1">IFERROR(__xludf.DUMMYFUNCTION("GOOGLETRANSLATE(B628,""en"",""fr"")"),"banque")</f>
        <v>banque</v>
      </c>
      <c r="F628" s="2" t="str">
        <f ca="1">IFERROR(__xludf.DUMMYFUNCTION("GOOGLETRANSLATE(B628,""en"",""it"")"),"banca")</f>
        <v>banca</v>
      </c>
      <c r="G628" s="2" t="str">
        <f ca="1">IFERROR(__xludf.DUMMYFUNCTION("GOOGLETRANSLATE(B628,""en"",""de"")"),"Bank")</f>
        <v>Bank</v>
      </c>
      <c r="H628" s="2" t="str">
        <f ca="1">IFERROR(__xludf.DUMMYFUNCTION("GOOGLETRANSLATE(B628,""en"",""zh"")"),"银行")</f>
        <v>银行</v>
      </c>
      <c r="I628" s="2" t="str">
        <f ca="1">IFERROR(__xludf.DUMMYFUNCTION("GOOGLETRANSLATE(B628,""en"",""gd"")"),"Banca")</f>
        <v>Banca</v>
      </c>
    </row>
    <row r="629" spans="1:9" ht="14.25" customHeight="1" x14ac:dyDescent="0.3">
      <c r="A629" s="2">
        <v>628</v>
      </c>
      <c r="B629" s="3" t="s">
        <v>636</v>
      </c>
      <c r="C629" s="2" t="str">
        <f ca="1">IFERROR(__xludf.DUMMYFUNCTION("GOOGLETRANSLATE(B629, ""en"",""es"")"),"firme")</f>
        <v>firme</v>
      </c>
      <c r="D629" s="2" t="str">
        <f ca="1">IFERROR(__xludf.DUMMYFUNCTION("GOOGLETRANSLATE(B629,""en"",""ig"")"),"kechim")</f>
        <v>kechim</v>
      </c>
      <c r="E629" s="2" t="str">
        <f ca="1">IFERROR(__xludf.DUMMYFUNCTION("GOOGLETRANSLATE(B629,""en"",""fr"")"),"ferme")</f>
        <v>ferme</v>
      </c>
      <c r="F629" s="2" t="str">
        <f ca="1">IFERROR(__xludf.DUMMYFUNCTION("GOOGLETRANSLATE(B629,""en"",""it"")"),"ditta")</f>
        <v>ditta</v>
      </c>
      <c r="G629" s="2" t="str">
        <f ca="1">IFERROR(__xludf.DUMMYFUNCTION("GOOGLETRANSLATE(B629,""en"",""de"")"),"Firma")</f>
        <v>Firma</v>
      </c>
      <c r="H629" s="2" t="str">
        <f ca="1">IFERROR(__xludf.DUMMYFUNCTION("GOOGLETRANSLATE(B629,""en"",""zh"")"),"公司")</f>
        <v>公司</v>
      </c>
      <c r="I629" s="2" t="str">
        <f ca="1">IFERROR(__xludf.DUMMYFUNCTION("GOOGLETRANSLATE(B629,""en"",""gd"")"),"daingeann")</f>
        <v>daingeann</v>
      </c>
    </row>
    <row r="630" spans="1:9" ht="14.25" customHeight="1" x14ac:dyDescent="0.3">
      <c r="A630" s="2">
        <v>629</v>
      </c>
      <c r="B630" s="3" t="s">
        <v>637</v>
      </c>
      <c r="C630" s="2" t="str">
        <f ca="1">IFERROR(__xludf.DUMMYFUNCTION("GOOGLETRANSLATE(B630, ""en"",""es"")"),"celúla")</f>
        <v>celúla</v>
      </c>
      <c r="D630" s="2" t="str">
        <f ca="1">IFERROR(__xludf.DUMMYFUNCTION("GOOGLETRANSLATE(B630,""en"",""ig"")"),"seelu")</f>
        <v>seelu</v>
      </c>
      <c r="E630" s="2" t="str">
        <f ca="1">IFERROR(__xludf.DUMMYFUNCTION("GOOGLETRANSLATE(B630,""en"",""fr"")"),"cellule")</f>
        <v>cellule</v>
      </c>
      <c r="F630" s="2" t="str">
        <f ca="1">IFERROR(__xludf.DUMMYFUNCTION("GOOGLETRANSLATE(B630,""en"",""it"")"),"cellula")</f>
        <v>cellula</v>
      </c>
      <c r="G630" s="2" t="str">
        <f ca="1">IFERROR(__xludf.DUMMYFUNCTION("GOOGLETRANSLATE(B630,""en"",""de"")"),"Zelle")</f>
        <v>Zelle</v>
      </c>
      <c r="H630" s="2" t="str">
        <f ca="1">IFERROR(__xludf.DUMMYFUNCTION("GOOGLETRANSLATE(B630,""en"",""zh"")"),"细胞")</f>
        <v>细胞</v>
      </c>
      <c r="I630" s="2" t="str">
        <f ca="1">IFERROR(__xludf.DUMMYFUNCTION("GOOGLETRANSLATE(B630,""en"",""gd"")"),"Cell")</f>
        <v>Cell</v>
      </c>
    </row>
    <row r="631" spans="1:9" ht="14.25" customHeight="1" x14ac:dyDescent="0.3">
      <c r="A631" s="2">
        <v>630</v>
      </c>
      <c r="B631" s="3" t="s">
        <v>638</v>
      </c>
      <c r="C631" s="2" t="str">
        <f ca="1">IFERROR(__xludf.DUMMYFUNCTION("GOOGLETRANSLATE(B631, ""en"",""es"")"),"artículo")</f>
        <v>artículo</v>
      </c>
      <c r="D631" s="2" t="str">
        <f ca="1">IFERROR(__xludf.DUMMYFUNCTION("GOOGLETRANSLATE(B631,""en"",""ig"")"),"edide")</f>
        <v>edide</v>
      </c>
      <c r="E631" s="2" t="str">
        <f ca="1">IFERROR(__xludf.DUMMYFUNCTION("GOOGLETRANSLATE(B631,""en"",""fr"")"),"article")</f>
        <v>article</v>
      </c>
      <c r="F631" s="2" t="str">
        <f ca="1">IFERROR(__xludf.DUMMYFUNCTION("GOOGLETRANSLATE(B631,""en"",""it"")"),"articolo")</f>
        <v>articolo</v>
      </c>
      <c r="G631" s="2" t="str">
        <f ca="1">IFERROR(__xludf.DUMMYFUNCTION("GOOGLETRANSLATE(B631,""en"",""de"")"),"Artikel")</f>
        <v>Artikel</v>
      </c>
      <c r="H631" s="2" t="str">
        <f ca="1">IFERROR(__xludf.DUMMYFUNCTION("GOOGLETRANSLATE(B631,""en"",""zh"")"),"文章")</f>
        <v>文章</v>
      </c>
      <c r="I631" s="2" t="str">
        <f ca="1">IFERROR(__xludf.DUMMYFUNCTION("GOOGLETRANSLATE(B631,""en"",""gd"")"),"Artaigil")</f>
        <v>Artaigil</v>
      </c>
    </row>
    <row r="632" spans="1:9" ht="14.25" customHeight="1" x14ac:dyDescent="0.3">
      <c r="A632" s="2">
        <v>631</v>
      </c>
      <c r="B632" s="3" t="s">
        <v>639</v>
      </c>
      <c r="C632" s="2" t="str">
        <f ca="1">IFERROR(__xludf.DUMMYFUNCTION("GOOGLETRANSLATE(B632, ""en"",""es"")"),"rápido")</f>
        <v>rápido</v>
      </c>
      <c r="D632" s="2" t="str">
        <f ca="1">IFERROR(__xludf.DUMMYFUNCTION("GOOGLETRANSLATE(B632,""en"",""ig"")"),"osooso")</f>
        <v>osooso</v>
      </c>
      <c r="E632" s="2" t="str">
        <f ca="1">IFERROR(__xludf.DUMMYFUNCTION("GOOGLETRANSLATE(B632,""en"",""fr"")"),"rapide")</f>
        <v>rapide</v>
      </c>
      <c r="F632" s="2" t="str">
        <f ca="1">IFERROR(__xludf.DUMMYFUNCTION("GOOGLETRANSLATE(B632,""en"",""it"")"),"veloce")</f>
        <v>veloce</v>
      </c>
      <c r="G632" s="2" t="str">
        <f ca="1">IFERROR(__xludf.DUMMYFUNCTION("GOOGLETRANSLATE(B632,""en"",""de"")"),"schnell")</f>
        <v>schnell</v>
      </c>
      <c r="H632" s="2" t="str">
        <f ca="1">IFERROR(__xludf.DUMMYFUNCTION("GOOGLETRANSLATE(B632,""en"",""zh"")"),"快速地")</f>
        <v>快速地</v>
      </c>
      <c r="I632" s="2" t="str">
        <f ca="1">IFERROR(__xludf.DUMMYFUNCTION("GOOGLETRANSLATE(B632,""en"",""gd"")"),"luath")</f>
        <v>luath</v>
      </c>
    </row>
    <row r="633" spans="1:9" ht="14.25" customHeight="1" x14ac:dyDescent="0.3">
      <c r="A633" s="2">
        <v>632</v>
      </c>
      <c r="B633" s="3" t="s">
        <v>640</v>
      </c>
      <c r="C633" s="2" t="str">
        <f ca="1">IFERROR(__xludf.DUMMYFUNCTION("GOOGLETRANSLATE(B633, ""en"",""es"")"),"ataque")</f>
        <v>ataque</v>
      </c>
      <c r="D633" s="2" t="str">
        <f ca="1">IFERROR(__xludf.DUMMYFUNCTION("GOOGLETRANSLATE(B633,""en"",""ig"")"),"ibuso agha")</f>
        <v>ibuso agha</v>
      </c>
      <c r="E633" s="2" t="str">
        <f ca="1">IFERROR(__xludf.DUMMYFUNCTION("GOOGLETRANSLATE(B633,""en"",""fr"")"),"attaque")</f>
        <v>attaque</v>
      </c>
      <c r="F633" s="2" t="str">
        <f ca="1">IFERROR(__xludf.DUMMYFUNCTION("GOOGLETRANSLATE(B633,""en"",""it"")"),"attacco")</f>
        <v>attacco</v>
      </c>
      <c r="G633" s="2" t="str">
        <f ca="1">IFERROR(__xludf.DUMMYFUNCTION("GOOGLETRANSLATE(B633,""en"",""de"")"),"Attacke")</f>
        <v>Attacke</v>
      </c>
      <c r="H633" s="2" t="str">
        <f ca="1">IFERROR(__xludf.DUMMYFUNCTION("GOOGLETRANSLATE(B633,""en"",""zh"")"),"攻击")</f>
        <v>攻击</v>
      </c>
      <c r="I633" s="2" t="str">
        <f ca="1">IFERROR(__xludf.DUMMYFUNCTION("GOOGLETRANSLATE(B633,""en"",""gd"")"),"ionnsaigh")</f>
        <v>ionnsaigh</v>
      </c>
    </row>
    <row r="634" spans="1:9" ht="14.25" customHeight="1" x14ac:dyDescent="0.3">
      <c r="A634" s="2">
        <v>633</v>
      </c>
      <c r="B634" s="3" t="s">
        <v>641</v>
      </c>
      <c r="C634" s="2" t="str">
        <f ca="1">IFERROR(__xludf.DUMMYFUNCTION("GOOGLETRANSLATE(B634, ""en"",""es"")"),"extranjero")</f>
        <v>extranjero</v>
      </c>
      <c r="D634" s="2" t="str">
        <f ca="1">IFERROR(__xludf.DUMMYFUNCTION("GOOGLETRANSLATE(B634,""en"",""ig"")"),"forin")</f>
        <v>forin</v>
      </c>
      <c r="E634" s="2" t="str">
        <f ca="1">IFERROR(__xludf.DUMMYFUNCTION("GOOGLETRANSLATE(B634,""en"",""fr"")"),"étranger")</f>
        <v>étranger</v>
      </c>
      <c r="F634" s="2" t="str">
        <f ca="1">IFERROR(__xludf.DUMMYFUNCTION("GOOGLETRANSLATE(B634,""en"",""it"")"),"straniero")</f>
        <v>straniero</v>
      </c>
      <c r="G634" s="2" t="str">
        <f ca="1">IFERROR(__xludf.DUMMYFUNCTION("GOOGLETRANSLATE(B634,""en"",""de"")"),"ausländisch")</f>
        <v>ausländisch</v>
      </c>
      <c r="H634" s="2" t="str">
        <f ca="1">IFERROR(__xludf.DUMMYFUNCTION("GOOGLETRANSLATE(B634,""en"",""zh"")"),"外国的")</f>
        <v>外国的</v>
      </c>
      <c r="I634" s="2" t="str">
        <f ca="1">IFERROR(__xludf.DUMMYFUNCTION("GOOGLETRANSLATE(B634,""en"",""gd"")"),"cèin")</f>
        <v>cèin</v>
      </c>
    </row>
    <row r="635" spans="1:9" ht="14.25" customHeight="1" x14ac:dyDescent="0.3">
      <c r="A635" s="2">
        <v>634</v>
      </c>
      <c r="B635" s="3" t="s">
        <v>642</v>
      </c>
      <c r="C635" s="2" t="str">
        <f ca="1">IFERROR(__xludf.DUMMYFUNCTION("GOOGLETRANSLATE(B635, ""en"",""es"")"),"sorpresa")</f>
        <v>sorpresa</v>
      </c>
      <c r="D635" s="2" t="str">
        <f ca="1">IFERROR(__xludf.DUMMYFUNCTION("GOOGLETRANSLATE(B635,""en"",""ig"")"),"mberede")</f>
        <v>mberede</v>
      </c>
      <c r="E635" s="2" t="str">
        <f ca="1">IFERROR(__xludf.DUMMYFUNCTION("GOOGLETRANSLATE(B635,""en"",""fr"")"),"surprendre")</f>
        <v>surprendre</v>
      </c>
      <c r="F635" s="2" t="str">
        <f ca="1">IFERROR(__xludf.DUMMYFUNCTION("GOOGLETRANSLATE(B635,""en"",""it"")"),"sorpresa")</f>
        <v>sorpresa</v>
      </c>
      <c r="G635" s="2" t="str">
        <f ca="1">IFERROR(__xludf.DUMMYFUNCTION("GOOGLETRANSLATE(B635,""en"",""de"")"),"Überraschung")</f>
        <v>Überraschung</v>
      </c>
      <c r="H635" s="2" t="str">
        <f ca="1">IFERROR(__xludf.DUMMYFUNCTION("GOOGLETRANSLATE(B635,""en"",""zh"")"),"惊喜")</f>
        <v>惊喜</v>
      </c>
      <c r="I635" s="2" t="str">
        <f ca="1">IFERROR(__xludf.DUMMYFUNCTION("GOOGLETRANSLATE(B635,""en"",""gd"")"),"iongnadh")</f>
        <v>iongnadh</v>
      </c>
    </row>
    <row r="636" spans="1:9" ht="14.25" customHeight="1" x14ac:dyDescent="0.3">
      <c r="A636" s="2">
        <v>635</v>
      </c>
      <c r="B636" s="3" t="s">
        <v>643</v>
      </c>
      <c r="C636" s="2" t="str">
        <f ca="1">IFERROR(__xludf.DUMMYFUNCTION("GOOGLETRANSLATE(B636, ""en"",""es"")"),"característica")</f>
        <v>característica</v>
      </c>
      <c r="D636" s="2" t="str">
        <f ca="1">IFERROR(__xludf.DUMMYFUNCTION("GOOGLETRANSLATE(B636,""en"",""ig"")"),"mma")</f>
        <v>mma</v>
      </c>
      <c r="E636" s="2" t="str">
        <f ca="1">IFERROR(__xludf.DUMMYFUNCTION("GOOGLETRANSLATE(B636,""en"",""fr"")"),"fonctionnalité")</f>
        <v>fonctionnalité</v>
      </c>
      <c r="F636" s="2" t="str">
        <f ca="1">IFERROR(__xludf.DUMMYFUNCTION("GOOGLETRANSLATE(B636,""en"",""it"")"),"caratteristica")</f>
        <v>caratteristica</v>
      </c>
      <c r="G636" s="2" t="str">
        <f ca="1">IFERROR(__xludf.DUMMYFUNCTION("GOOGLETRANSLATE(B636,""en"",""de"")"),"Besonderheit")</f>
        <v>Besonderheit</v>
      </c>
      <c r="H636" s="2" t="str">
        <f ca="1">IFERROR(__xludf.DUMMYFUNCTION("GOOGLETRANSLATE(B636,""en"",""zh"")"),"特征")</f>
        <v>特征</v>
      </c>
      <c r="I636" s="2" t="str">
        <f ca="1">IFERROR(__xludf.DUMMYFUNCTION("GOOGLETRANSLATE(B636,""en"",""gd"")"),"Feart")</f>
        <v>Feart</v>
      </c>
    </row>
    <row r="637" spans="1:9" ht="14.25" customHeight="1" x14ac:dyDescent="0.3">
      <c r="A637" s="2">
        <v>636</v>
      </c>
      <c r="B637" s="3" t="s">
        <v>644</v>
      </c>
      <c r="C637" s="2" t="str">
        <f ca="1">IFERROR(__xludf.DUMMYFUNCTION("GOOGLETRANSLATE(B637, ""en"",""es"")"),"factor")</f>
        <v>factor</v>
      </c>
      <c r="D637" s="2" t="str">
        <f ca="1">IFERROR(__xludf.DUMMYFUNCTION("GOOGLETRANSLATE(B637,""en"",""ig"")"),"ihe")</f>
        <v>ihe</v>
      </c>
      <c r="E637" s="2" t="str">
        <f ca="1">IFERROR(__xludf.DUMMYFUNCTION("GOOGLETRANSLATE(B637,""en"",""fr"")"),"facteur")</f>
        <v>facteur</v>
      </c>
      <c r="F637" s="2" t="str">
        <f ca="1">IFERROR(__xludf.DUMMYFUNCTION("GOOGLETRANSLATE(B637,""en"",""it"")"),"fattore")</f>
        <v>fattore</v>
      </c>
      <c r="G637" s="2" t="str">
        <f ca="1">IFERROR(__xludf.DUMMYFUNCTION("GOOGLETRANSLATE(B637,""en"",""de"")"),"Faktor")</f>
        <v>Faktor</v>
      </c>
      <c r="H637" s="2" t="str">
        <f ca="1">IFERROR(__xludf.DUMMYFUNCTION("GOOGLETRANSLATE(B637,""en"",""zh"")"),"因素")</f>
        <v>因素</v>
      </c>
      <c r="I637" s="2" t="str">
        <f ca="1">IFERROR(__xludf.DUMMYFUNCTION("GOOGLETRANSLATE(B637,""en"",""gd"")"),"bàillidh")</f>
        <v>bàillidh</v>
      </c>
    </row>
    <row r="638" spans="1:9" ht="14.25" customHeight="1" x14ac:dyDescent="0.3">
      <c r="A638" s="2">
        <v>637</v>
      </c>
      <c r="B638" s="3" t="s">
        <v>645</v>
      </c>
      <c r="C638" s="2" t="str">
        <f ca="1">IFERROR(__xludf.DUMMYFUNCTION("GOOGLETRANSLATE(B638, ""en"",""es"")"),"bonito")</f>
        <v>bonito</v>
      </c>
      <c r="D638" s="2" t="str">
        <f ca="1">IFERROR(__xludf.DUMMYFUNCTION("GOOGLETRANSLATE(B638,""en"",""ig"")"),"ima mma")</f>
        <v>ima mma</v>
      </c>
      <c r="E638" s="2" t="str">
        <f ca="1">IFERROR(__xludf.DUMMYFUNCTION("GOOGLETRANSLATE(B638,""en"",""fr"")"),"joli")</f>
        <v>joli</v>
      </c>
      <c r="F638" s="2" t="str">
        <f ca="1">IFERROR(__xludf.DUMMYFUNCTION("GOOGLETRANSLATE(B638,""en"",""it"")"),"bello")</f>
        <v>bello</v>
      </c>
      <c r="G638" s="2" t="str">
        <f ca="1">IFERROR(__xludf.DUMMYFUNCTION("GOOGLETRANSLATE(B638,""en"",""de"")"),"hübsch")</f>
        <v>hübsch</v>
      </c>
      <c r="H638" s="2" t="str">
        <f ca="1">IFERROR(__xludf.DUMMYFUNCTION("GOOGLETRANSLATE(B638,""en"",""zh"")"),"漂亮的")</f>
        <v>漂亮的</v>
      </c>
      <c r="I638" s="2" t="str">
        <f ca="1">IFERROR(__xludf.DUMMYFUNCTION("GOOGLETRANSLATE(B638,""en"",""gd"")"),"breagha")</f>
        <v>breagha</v>
      </c>
    </row>
    <row r="639" spans="1:9" ht="14.25" customHeight="1" x14ac:dyDescent="0.3">
      <c r="A639" s="2">
        <v>638</v>
      </c>
      <c r="B639" s="3" t="s">
        <v>646</v>
      </c>
      <c r="C639" s="2" t="str">
        <f ca="1">IFERROR(__xludf.DUMMYFUNCTION("GOOGLETRANSLATE(B639, ""en"",""es"")"),"recientemente")</f>
        <v>recientemente</v>
      </c>
      <c r="D639" s="2" t="str">
        <f ca="1">IFERROR(__xludf.DUMMYFUNCTION("GOOGLETRANSLATE(B639,""en"",""ig"")"),"oge na-adighi anya")</f>
        <v>oge na-adighi anya</v>
      </c>
      <c r="E639" s="2" t="str">
        <f ca="1">IFERROR(__xludf.DUMMYFUNCTION("GOOGLETRANSLATE(B639,""en"",""fr"")"),"récemment")</f>
        <v>récemment</v>
      </c>
      <c r="F639" s="2" t="str">
        <f ca="1">IFERROR(__xludf.DUMMYFUNCTION("GOOGLETRANSLATE(B639,""en"",""it"")"),"recentemente")</f>
        <v>recentemente</v>
      </c>
      <c r="G639" s="2" t="str">
        <f ca="1">IFERROR(__xludf.DUMMYFUNCTION("GOOGLETRANSLATE(B639,""en"",""de"")"),"kürzlich")</f>
        <v>kürzlich</v>
      </c>
      <c r="H639" s="2" t="str">
        <f ca="1">IFERROR(__xludf.DUMMYFUNCTION("GOOGLETRANSLATE(B639,""en"",""zh"")"),"最近")</f>
        <v>最近</v>
      </c>
      <c r="I639" s="2" t="str">
        <f ca="1">IFERROR(__xludf.DUMMYFUNCTION("GOOGLETRANSLATE(B639,""en"",""gd"")"),"o chionn ghoirid")</f>
        <v>o chionn ghoirid</v>
      </c>
    </row>
    <row r="640" spans="1:9" ht="14.25" customHeight="1" x14ac:dyDescent="0.3">
      <c r="A640" s="2">
        <v>639</v>
      </c>
      <c r="B640" s="3" t="s">
        <v>647</v>
      </c>
      <c r="C640" s="2" t="str">
        <f ca="1">IFERROR(__xludf.DUMMYFUNCTION("GOOGLETRANSLATE(B640, ""en"",""es"")"),"afectar")</f>
        <v>afectar</v>
      </c>
      <c r="D640" s="2" t="str">
        <f ca="1">IFERROR(__xludf.DUMMYFUNCTION("GOOGLETRANSLATE(B640,""en"",""ig"")"),"imetu")</f>
        <v>imetu</v>
      </c>
      <c r="E640" s="2" t="str">
        <f ca="1">IFERROR(__xludf.DUMMYFUNCTION("GOOGLETRANSLATE(B640,""en"",""fr"")"),"affecter")</f>
        <v>affecter</v>
      </c>
      <c r="F640" s="2" t="str">
        <f ca="1">IFERROR(__xludf.DUMMYFUNCTION("GOOGLETRANSLATE(B640,""en"",""it"")"),"simulare")</f>
        <v>simulare</v>
      </c>
      <c r="G640" s="2" t="str">
        <f ca="1">IFERROR(__xludf.DUMMYFUNCTION("GOOGLETRANSLATE(B640,""en"",""de"")"),"beeinflussen")</f>
        <v>beeinflussen</v>
      </c>
      <c r="H640" s="2" t="str">
        <f ca="1">IFERROR(__xludf.DUMMYFUNCTION("GOOGLETRANSLATE(B640,""en"",""zh"")"),"影响")</f>
        <v>影响</v>
      </c>
      <c r="I640" s="2" t="str">
        <f ca="1">IFERROR(__xludf.DUMMYFUNCTION("GOOGLETRANSLATE(B640,""en"",""gd"")"),"buaidh")</f>
        <v>buaidh</v>
      </c>
    </row>
    <row r="641" spans="1:9" ht="14.25" customHeight="1" x14ac:dyDescent="0.3">
      <c r="A641" s="2">
        <v>640</v>
      </c>
      <c r="B641" s="3" t="s">
        <v>648</v>
      </c>
      <c r="C641" s="2" t="str">
        <f ca="1">IFERROR(__xludf.DUMMYFUNCTION("GOOGLETRANSLATE(B641, ""en"",""es"")"),"gota")</f>
        <v>gota</v>
      </c>
      <c r="D641" s="2" t="str">
        <f ca="1">IFERROR(__xludf.DUMMYFUNCTION("GOOGLETRANSLATE(B641,""en"",""ig"")"),"idebe")</f>
        <v>idebe</v>
      </c>
      <c r="E641" s="2" t="str">
        <f ca="1">IFERROR(__xludf.DUMMYFUNCTION("GOOGLETRANSLATE(B641,""en"",""fr"")"),"baisse")</f>
        <v>baisse</v>
      </c>
      <c r="F641" s="2" t="str">
        <f ca="1">IFERROR(__xludf.DUMMYFUNCTION("GOOGLETRANSLATE(B641,""en"",""it"")"),"gocciolare")</f>
        <v>gocciolare</v>
      </c>
      <c r="G641" s="2" t="str">
        <f ca="1">IFERROR(__xludf.DUMMYFUNCTION("GOOGLETRANSLATE(B641,""en"",""de"")"),"fallen")</f>
        <v>fallen</v>
      </c>
      <c r="H641" s="2" t="str">
        <f ca="1">IFERROR(__xludf.DUMMYFUNCTION("GOOGLETRANSLATE(B641,""en"",""zh"")"),"降低")</f>
        <v>降低</v>
      </c>
      <c r="I641" s="2" t="str">
        <f ca="1">IFERROR(__xludf.DUMMYFUNCTION("GOOGLETRANSLATE(B641,""en"",""gd"")"),"leig às")</f>
        <v>leig às</v>
      </c>
    </row>
    <row r="642" spans="1:9" ht="14.25" customHeight="1" x14ac:dyDescent="0.3">
      <c r="A642" s="2">
        <v>641</v>
      </c>
      <c r="B642" s="3" t="s">
        <v>649</v>
      </c>
      <c r="C642" s="2" t="str">
        <f ca="1">IFERROR(__xludf.DUMMYFUNCTION("GOOGLETRANSLATE(B642, ""en"",""es"")"),"reciente")</f>
        <v>reciente</v>
      </c>
      <c r="D642" s="2" t="str">
        <f ca="1">IFERROR(__xludf.DUMMYFUNCTION("GOOGLETRANSLATE(B642,""en"",""ig"")"),"ohuru")</f>
        <v>ohuru</v>
      </c>
      <c r="E642" s="2" t="str">
        <f ca="1">IFERROR(__xludf.DUMMYFUNCTION("GOOGLETRANSLATE(B642,""en"",""fr"")"),"récent")</f>
        <v>récent</v>
      </c>
      <c r="F642" s="2" t="str">
        <f ca="1">IFERROR(__xludf.DUMMYFUNCTION("GOOGLETRANSLATE(B642,""en"",""it"")"),"recente")</f>
        <v>recente</v>
      </c>
      <c r="G642" s="2" t="str">
        <f ca="1">IFERROR(__xludf.DUMMYFUNCTION("GOOGLETRANSLATE(B642,""en"",""de"")"),"jüngste")</f>
        <v>jüngste</v>
      </c>
      <c r="H642" s="2" t="str">
        <f ca="1">IFERROR(__xludf.DUMMYFUNCTION("GOOGLETRANSLATE(B642,""en"",""zh"")"),"最近的")</f>
        <v>最近的</v>
      </c>
      <c r="I642" s="2" t="str">
        <f ca="1">IFERROR(__xludf.DUMMYFUNCTION("GOOGLETRANSLATE(B642,""en"",""gd"")"),"O chionn ghoirid")</f>
        <v>O chionn ghoirid</v>
      </c>
    </row>
    <row r="643" spans="1:9" ht="14.25" customHeight="1" x14ac:dyDescent="0.3">
      <c r="A643" s="2">
        <v>642</v>
      </c>
      <c r="B643" s="3" t="s">
        <v>650</v>
      </c>
      <c r="C643" s="2" t="str">
        <f ca="1">IFERROR(__xludf.DUMMYFUNCTION("GOOGLETRANSLATE(B643, ""en"",""es"")"),"relatar")</f>
        <v>relatar</v>
      </c>
      <c r="D643" s="2" t="str">
        <f ca="1">IFERROR(__xludf.DUMMYFUNCTION("GOOGLETRANSLATE(B643,""en"",""ig"")"),"iko")</f>
        <v>iko</v>
      </c>
      <c r="E643" s="2" t="str">
        <f ca="1">IFERROR(__xludf.DUMMYFUNCTION("GOOGLETRANSLATE(B643,""en"",""fr"")"),"se rapporter")</f>
        <v>se rapporter</v>
      </c>
      <c r="F643" s="2" t="str">
        <f ca="1">IFERROR(__xludf.DUMMYFUNCTION("GOOGLETRANSLATE(B643,""en"",""it"")"),"relazionare")</f>
        <v>relazionare</v>
      </c>
      <c r="G643" s="2" t="str">
        <f ca="1">IFERROR(__xludf.DUMMYFUNCTION("GOOGLETRANSLATE(B643,""en"",""de"")"),"betreffen")</f>
        <v>betreffen</v>
      </c>
      <c r="H643" s="2" t="str">
        <f ca="1">IFERROR(__xludf.DUMMYFUNCTION("GOOGLETRANSLATE(B643,""en"",""zh"")"),"涉及")</f>
        <v>涉及</v>
      </c>
      <c r="I643" s="2" t="str">
        <f ca="1">IFERROR(__xludf.DUMMYFUNCTION("GOOGLETRANSLATE(B643,""en"",""gd"")"),"ceangail")</f>
        <v>ceangail</v>
      </c>
    </row>
    <row r="644" spans="1:9" ht="14.25" customHeight="1" x14ac:dyDescent="0.3">
      <c r="A644" s="2">
        <v>643</v>
      </c>
      <c r="B644" s="3" t="s">
        <v>651</v>
      </c>
      <c r="C644" s="2" t="str">
        <f ca="1">IFERROR(__xludf.DUMMYFUNCTION("GOOGLETRANSLATE(B644, ""en"",""es"")"),"oficial")</f>
        <v>oficial</v>
      </c>
      <c r="D644" s="2" t="str">
        <f ca="1">IFERROR(__xludf.DUMMYFUNCTION("GOOGLETRANSLATE(B644,""en"",""ig"")"),"nke okwa")</f>
        <v>nke okwa</v>
      </c>
      <c r="E644" s="2" t="str">
        <f ca="1">IFERROR(__xludf.DUMMYFUNCTION("GOOGLETRANSLATE(B644,""en"",""fr"")"),"officiel")</f>
        <v>officiel</v>
      </c>
      <c r="F644" s="2" t="str">
        <f ca="1">IFERROR(__xludf.DUMMYFUNCTION("GOOGLETRANSLATE(B644,""en"",""it"")"),"ufficiale")</f>
        <v>ufficiale</v>
      </c>
      <c r="G644" s="2" t="str">
        <f ca="1">IFERROR(__xludf.DUMMYFUNCTION("GOOGLETRANSLATE(B644,""en"",""de"")"),"offiziell")</f>
        <v>offiziell</v>
      </c>
      <c r="H644" s="2" t="str">
        <f ca="1">IFERROR(__xludf.DUMMYFUNCTION("GOOGLETRANSLATE(B644,""en"",""zh"")"),"官方的")</f>
        <v>官方的</v>
      </c>
      <c r="I644" s="2" t="str">
        <f ca="1">IFERROR(__xludf.DUMMYFUNCTION("GOOGLETRANSLATE(B644,""en"",""gd"")"),"oifigeil")</f>
        <v>oifigeil</v>
      </c>
    </row>
    <row r="645" spans="1:9" ht="14.25" customHeight="1" x14ac:dyDescent="0.3">
      <c r="A645" s="2">
        <v>644</v>
      </c>
      <c r="B645" s="3" t="s">
        <v>652</v>
      </c>
      <c r="C645" s="2" t="str">
        <f ca="1">IFERROR(__xludf.DUMMYFUNCTION("GOOGLETRANSLATE(B645, ""en"",""es"")"),"financiero")</f>
        <v>financiero</v>
      </c>
      <c r="D645" s="2" t="str">
        <f ca="1">IFERROR(__xludf.DUMMYFUNCTION("GOOGLETRANSLATE(B645,""en"",""ig"")"),"keego")</f>
        <v>keego</v>
      </c>
      <c r="E645" s="2" t="str">
        <f ca="1">IFERROR(__xludf.DUMMYFUNCTION("GOOGLETRANSLATE(B645,""en"",""fr"")"),"financier")</f>
        <v>financier</v>
      </c>
      <c r="F645" s="2" t="str">
        <f ca="1">IFERROR(__xludf.DUMMYFUNCTION("GOOGLETRANSLATE(B645,""en"",""it"")"),"finanziario")</f>
        <v>finanziario</v>
      </c>
      <c r="G645" s="2" t="str">
        <f ca="1">IFERROR(__xludf.DUMMYFUNCTION("GOOGLETRANSLATE(B645,""en"",""de"")"),"finanziell")</f>
        <v>finanziell</v>
      </c>
      <c r="H645" s="2" t="str">
        <f ca="1">IFERROR(__xludf.DUMMYFUNCTION("GOOGLETRANSLATE(B645,""en"",""zh"")"),"金融的")</f>
        <v>金融的</v>
      </c>
      <c r="I645" s="2" t="str">
        <f ca="1">IFERROR(__xludf.DUMMYFUNCTION("GOOGLETRANSLATE(B645,""en"",""gd"")"),"ionmhasail")</f>
        <v>ionmhasail</v>
      </c>
    </row>
    <row r="646" spans="1:9" ht="14.25" customHeight="1" x14ac:dyDescent="0.3">
      <c r="A646" s="2">
        <v>645</v>
      </c>
      <c r="B646" s="3" t="s">
        <v>653</v>
      </c>
      <c r="C646" s="2" t="str">
        <f ca="1">IFERROR(__xludf.DUMMYFUNCTION("GOOGLETRANSLATE(B646, ""en"",""es"")"),"extrañar")</f>
        <v>extrañar</v>
      </c>
      <c r="D646" s="2" t="str">
        <f ca="1">IFERROR(__xludf.DUMMYFUNCTION("GOOGLETRANSLATE(B646,""en"",""ig"")"),"igafe ihe")</f>
        <v>igafe ihe</v>
      </c>
      <c r="E646" s="2" t="str">
        <f ca="1">IFERROR(__xludf.DUMMYFUNCTION("GOOGLETRANSLATE(B646,""en"",""fr"")"),"manquer")</f>
        <v>manquer</v>
      </c>
      <c r="F646" s="2" t="str">
        <f ca="1">IFERROR(__xludf.DUMMYFUNCTION("GOOGLETRANSLATE(B646,""en"",""it"")"),"mancare")</f>
        <v>mancare</v>
      </c>
      <c r="G646" s="2" t="str">
        <f ca="1">IFERROR(__xludf.DUMMYFUNCTION("GOOGLETRANSLATE(B646,""en"",""de"")"),"vermissen")</f>
        <v>vermissen</v>
      </c>
      <c r="H646" s="2" t="str">
        <f ca="1">IFERROR(__xludf.DUMMYFUNCTION("GOOGLETRANSLATE(B646,""en"",""zh"")"),"错过")</f>
        <v>错过</v>
      </c>
      <c r="I646" s="2" t="str">
        <f ca="1">IFERROR(__xludf.DUMMYFUNCTION("GOOGLETRANSLATE(B646,""en"",""gd"")"),"Miss")</f>
        <v>Miss</v>
      </c>
    </row>
    <row r="647" spans="1:9" ht="14.25" customHeight="1" x14ac:dyDescent="0.3">
      <c r="A647" s="2">
        <v>646</v>
      </c>
      <c r="B647" s="3" t="s">
        <v>654</v>
      </c>
      <c r="C647" s="2" t="str">
        <f ca="1">IFERROR(__xludf.DUMMYFUNCTION("GOOGLETRANSLATE(B647, ""en"",""es"")"),"arte")</f>
        <v>arte</v>
      </c>
      <c r="D647" s="2" t="str">
        <f ca="1">IFERROR(__xludf.DUMMYFUNCTION("GOOGLETRANSLATE(B647,""en"",""ig"")"),"nka")</f>
        <v>nka</v>
      </c>
      <c r="E647" s="2" t="str">
        <f ca="1">IFERROR(__xludf.DUMMYFUNCTION("GOOGLETRANSLATE(B647,""en"",""fr"")"),"art")</f>
        <v>art</v>
      </c>
      <c r="F647" s="2" t="str">
        <f ca="1">IFERROR(__xludf.DUMMYFUNCTION("GOOGLETRANSLATE(B647,""en"",""it"")"),"arte")</f>
        <v>arte</v>
      </c>
      <c r="G647" s="2" t="str">
        <f ca="1">IFERROR(__xludf.DUMMYFUNCTION("GOOGLETRANSLATE(B647,""en"",""de"")"),"Kunst")</f>
        <v>Kunst</v>
      </c>
      <c r="H647" s="2" t="str">
        <f ca="1">IFERROR(__xludf.DUMMYFUNCTION("GOOGLETRANSLATE(B647,""en"",""zh"")"),"艺术")</f>
        <v>艺术</v>
      </c>
      <c r="I647" s="2" t="str">
        <f ca="1">IFERROR(__xludf.DUMMYFUNCTION("GOOGLETRANSLATE(B647,""en"",""gd"")"),"Ealain")</f>
        <v>Ealain</v>
      </c>
    </row>
    <row r="648" spans="1:9" ht="14.25" customHeight="1" x14ac:dyDescent="0.3">
      <c r="A648" s="2">
        <v>647</v>
      </c>
      <c r="B648" s="3" t="s">
        <v>655</v>
      </c>
      <c r="C648" s="2" t="str">
        <f ca="1">IFERROR(__xludf.DUMMYFUNCTION("GOOGLETRANSLATE(B648, ""en"",""es"")"),"campaña")</f>
        <v>campaña</v>
      </c>
      <c r="D648" s="2" t="str">
        <f ca="1">IFERROR(__xludf.DUMMYFUNCTION("GOOGLETRANSLATE(B648,""en"",""ig"")"),"kampeenu")</f>
        <v>kampeenu</v>
      </c>
      <c r="E648" s="2" t="str">
        <f ca="1">IFERROR(__xludf.DUMMYFUNCTION("GOOGLETRANSLATE(B648,""en"",""fr"")"),"campagne")</f>
        <v>campagne</v>
      </c>
      <c r="F648" s="2" t="str">
        <f ca="1">IFERROR(__xludf.DUMMYFUNCTION("GOOGLETRANSLATE(B648,""en"",""it"")"),"campagna")</f>
        <v>campagna</v>
      </c>
      <c r="G648" s="2" t="str">
        <f ca="1">IFERROR(__xludf.DUMMYFUNCTION("GOOGLETRANSLATE(B648,""en"",""de"")"),"Kampagne")</f>
        <v>Kampagne</v>
      </c>
      <c r="H648" s="2" t="str">
        <f ca="1">IFERROR(__xludf.DUMMYFUNCTION("GOOGLETRANSLATE(B648,""en"",""zh"")"),"活动")</f>
        <v>活动</v>
      </c>
      <c r="I648" s="2" t="str">
        <f ca="1">IFERROR(__xludf.DUMMYFUNCTION("GOOGLETRANSLATE(B648,""en"",""gd"")"),"Iomairt")</f>
        <v>Iomairt</v>
      </c>
    </row>
    <row r="649" spans="1:9" ht="14.25" customHeight="1" x14ac:dyDescent="0.3">
      <c r="A649" s="2">
        <v>648</v>
      </c>
      <c r="B649" s="3" t="s">
        <v>656</v>
      </c>
      <c r="C649" s="2" t="str">
        <f ca="1">IFERROR(__xludf.DUMMYFUNCTION("GOOGLETRANSLATE(B649, ""en"",""es"")"),"privado")</f>
        <v>privado</v>
      </c>
      <c r="D649" s="2" t="str">
        <f ca="1">IFERROR(__xludf.DUMMYFUNCTION("GOOGLETRANSLATE(B649,""en"",""ig"")"),"abughi nke oha")</f>
        <v>abughi nke oha</v>
      </c>
      <c r="E649" s="2" t="str">
        <f ca="1">IFERROR(__xludf.DUMMYFUNCTION("GOOGLETRANSLATE(B649,""en"",""fr"")"),"privé")</f>
        <v>privé</v>
      </c>
      <c r="F649" s="2" t="str">
        <f ca="1">IFERROR(__xludf.DUMMYFUNCTION("GOOGLETRANSLATE(B649,""en"",""it"")"),"privato")</f>
        <v>privato</v>
      </c>
      <c r="G649" s="2" t="str">
        <f ca="1">IFERROR(__xludf.DUMMYFUNCTION("GOOGLETRANSLATE(B649,""en"",""de"")"),"Privat")</f>
        <v>Privat</v>
      </c>
      <c r="H649" s="2" t="str">
        <f ca="1">IFERROR(__xludf.DUMMYFUNCTION("GOOGLETRANSLATE(B649,""en"",""zh"")"),"私人的")</f>
        <v>私人的</v>
      </c>
      <c r="I649" s="2" t="str">
        <f ca="1">IFERROR(__xludf.DUMMYFUNCTION("GOOGLETRANSLATE(B649,""en"",""gd"")"),"Prìobhaideach")</f>
        <v>Prìobhaideach</v>
      </c>
    </row>
    <row r="650" spans="1:9" ht="14.25" customHeight="1" x14ac:dyDescent="0.3">
      <c r="A650" s="2">
        <v>649</v>
      </c>
      <c r="B650" s="3" t="s">
        <v>657</v>
      </c>
      <c r="C650" s="2" t="str">
        <f ca="1">IFERROR(__xludf.DUMMYFUNCTION("GOOGLETRANSLATE(B650, ""en"",""es"")"),"pausa")</f>
        <v>pausa</v>
      </c>
      <c r="D650" s="2" t="str">
        <f ca="1">IFERROR(__xludf.DUMMYFUNCTION("GOOGLETRANSLATE(B650,""en"",""ig"")"),"kwusi")</f>
        <v>kwusi</v>
      </c>
      <c r="E650" s="2" t="str">
        <f ca="1">IFERROR(__xludf.DUMMYFUNCTION("GOOGLETRANSLATE(B650,""en"",""fr"")"),"pause")</f>
        <v>pause</v>
      </c>
      <c r="F650" s="2" t="str">
        <f ca="1">IFERROR(__xludf.DUMMYFUNCTION("GOOGLETRANSLATE(B650,""en"",""it"")"),"pausa")</f>
        <v>pausa</v>
      </c>
      <c r="G650" s="2" t="str">
        <f ca="1">IFERROR(__xludf.DUMMYFUNCTION("GOOGLETRANSLATE(B650,""en"",""de"")"),"Pause")</f>
        <v>Pause</v>
      </c>
      <c r="H650" s="2" t="str">
        <f ca="1">IFERROR(__xludf.DUMMYFUNCTION("GOOGLETRANSLATE(B650,""en"",""zh"")"),"暂停")</f>
        <v>暂停</v>
      </c>
      <c r="I650" s="2" t="str">
        <f ca="1">IFERROR(__xludf.DUMMYFUNCTION("GOOGLETRANSLATE(B650,""en"",""gd"")"),"Stad")</f>
        <v>Stad</v>
      </c>
    </row>
    <row r="651" spans="1:9" ht="14.25" customHeight="1" x14ac:dyDescent="0.3">
      <c r="A651" s="2">
        <v>650</v>
      </c>
      <c r="B651" s="3" t="s">
        <v>658</v>
      </c>
      <c r="C651" s="2" t="str">
        <f ca="1">IFERROR(__xludf.DUMMYFUNCTION("GOOGLETRANSLATE(B651, ""en"",""es"")"),"todos")</f>
        <v>todos</v>
      </c>
      <c r="D651" s="2" t="str">
        <f ca="1">IFERROR(__xludf.DUMMYFUNCTION("GOOGLETRANSLATE(B651,""en"",""ig"")"),"onye obula")</f>
        <v>onye obula</v>
      </c>
      <c r="E651" s="2" t="str">
        <f ca="1">IFERROR(__xludf.DUMMYFUNCTION("GOOGLETRANSLATE(B651,""en"",""fr"")"),"tout le monde")</f>
        <v>tout le monde</v>
      </c>
      <c r="F651" s="2" t="str">
        <f ca="1">IFERROR(__xludf.DUMMYFUNCTION("GOOGLETRANSLATE(B651,""en"",""it"")"),"tutti")</f>
        <v>tutti</v>
      </c>
      <c r="G651" s="2" t="str">
        <f ca="1">IFERROR(__xludf.DUMMYFUNCTION("GOOGLETRANSLATE(B651,""en"",""de"")"),"alle")</f>
        <v>alle</v>
      </c>
      <c r="H651" s="2" t="str">
        <f ca="1">IFERROR(__xludf.DUMMYFUNCTION("GOOGLETRANSLATE(B651,""en"",""zh"")"),"每个人")</f>
        <v>每个人</v>
      </c>
      <c r="I651" s="2" t="str">
        <f ca="1">IFERROR(__xludf.DUMMYFUNCTION("GOOGLETRANSLATE(B651,""en"",""gd"")"),"a h-uile duine")</f>
        <v>a h-uile duine</v>
      </c>
    </row>
    <row r="652" spans="1:9" ht="14.25" customHeight="1" x14ac:dyDescent="0.3">
      <c r="A652" s="2">
        <v>651</v>
      </c>
      <c r="B652" s="3" t="s">
        <v>659</v>
      </c>
      <c r="C652" s="2" t="str">
        <f ca="1">IFERROR(__xludf.DUMMYFUNCTION("GOOGLETRANSLATE(B652, ""en"",""es"")"),"olvidar")</f>
        <v>olvidar</v>
      </c>
      <c r="D652" s="2" t="str">
        <f ca="1">IFERROR(__xludf.DUMMYFUNCTION("GOOGLETRANSLATE(B652,""en"",""ig"")"),"ichefu")</f>
        <v>ichefu</v>
      </c>
      <c r="E652" s="2" t="str">
        <f ca="1">IFERROR(__xludf.DUMMYFUNCTION("GOOGLETRANSLATE(B652,""en"",""fr"")"),"oublier")</f>
        <v>oublier</v>
      </c>
      <c r="F652" s="2" t="str">
        <f ca="1">IFERROR(__xludf.DUMMYFUNCTION("GOOGLETRANSLATE(B652,""en"",""it"")"),"dimenticare")</f>
        <v>dimenticare</v>
      </c>
      <c r="G652" s="2" t="str">
        <f ca="1">IFERROR(__xludf.DUMMYFUNCTION("GOOGLETRANSLATE(B652,""en"",""de"")"),"vergessen")</f>
        <v>vergessen</v>
      </c>
      <c r="H652" s="2" t="str">
        <f ca="1">IFERROR(__xludf.DUMMYFUNCTION("GOOGLETRANSLATE(B652,""en"",""zh"")"),"忘记")</f>
        <v>忘记</v>
      </c>
      <c r="I652" s="2" t="str">
        <f ca="1">IFERROR(__xludf.DUMMYFUNCTION("GOOGLETRANSLATE(B652,""en"",""gd"")"),"dìochuimhnich")</f>
        <v>dìochuimhnich</v>
      </c>
    </row>
    <row r="653" spans="1:9" ht="14.25" customHeight="1" x14ac:dyDescent="0.3">
      <c r="A653" s="2">
        <v>652</v>
      </c>
      <c r="B653" s="3" t="s">
        <v>660</v>
      </c>
      <c r="C653" s="2" t="str">
        <f ca="1">IFERROR(__xludf.DUMMYFUNCTION("GOOGLETRANSLATE(B653, ""en"",""es"")"),"página")</f>
        <v>página</v>
      </c>
      <c r="D653" s="2" t="str">
        <f ca="1">IFERROR(__xludf.DUMMYFUNCTION("GOOGLETRANSLATE(B653,""en"",""ig"")"),"ihuakwukwo")</f>
        <v>ihuakwukwo</v>
      </c>
      <c r="E653" s="2" t="str">
        <f ca="1">IFERROR(__xludf.DUMMYFUNCTION("GOOGLETRANSLATE(B653,""en"",""fr"")"),"page")</f>
        <v>page</v>
      </c>
      <c r="F653" s="2" t="str">
        <f ca="1">IFERROR(__xludf.DUMMYFUNCTION("GOOGLETRANSLATE(B653,""en"",""it"")"),"pagina")</f>
        <v>pagina</v>
      </c>
      <c r="G653" s="2" t="str">
        <f ca="1">IFERROR(__xludf.DUMMYFUNCTION("GOOGLETRANSLATE(B653,""en"",""de"")"),"Seite")</f>
        <v>Seite</v>
      </c>
      <c r="H653" s="2" t="str">
        <f ca="1">IFERROR(__xludf.DUMMYFUNCTION("GOOGLETRANSLATE(B653,""en"",""zh"")"),"页")</f>
        <v>页</v>
      </c>
      <c r="I653" s="2" t="str">
        <f ca="1">IFERROR(__xludf.DUMMYFUNCTION("GOOGLETRANSLATE(B653,""en"",""gd"")"),"Duilleag")</f>
        <v>Duilleag</v>
      </c>
    </row>
    <row r="654" spans="1:9" ht="14.25" customHeight="1" x14ac:dyDescent="0.3">
      <c r="A654" s="2">
        <v>653</v>
      </c>
      <c r="B654" s="3" t="s">
        <v>661</v>
      </c>
      <c r="C654" s="2" t="str">
        <f ca="1">IFERROR(__xludf.DUMMYFUNCTION("GOOGLETRANSLATE(B654, ""en"",""es"")"),"preocuparse")</f>
        <v>preocuparse</v>
      </c>
      <c r="D654" s="2" t="str">
        <f ca="1">IFERROR(__xludf.DUMMYFUNCTION("GOOGLETRANSLATE(B654,""en"",""ig"")"),"icheche")</f>
        <v>icheche</v>
      </c>
      <c r="E654" s="2" t="str">
        <f ca="1">IFERROR(__xludf.DUMMYFUNCTION("GOOGLETRANSLATE(B654,""en"",""fr"")"),"inquiétude")</f>
        <v>inquiétude</v>
      </c>
      <c r="F654" s="2" t="str">
        <f ca="1">IFERROR(__xludf.DUMMYFUNCTION("GOOGLETRANSLATE(B654,""en"",""it"")"),"preoccupazione")</f>
        <v>preoccupazione</v>
      </c>
      <c r="G654" s="2" t="str">
        <f ca="1">IFERROR(__xludf.DUMMYFUNCTION("GOOGLETRANSLATE(B654,""en"",""de"")"),"Sorge")</f>
        <v>Sorge</v>
      </c>
      <c r="H654" s="2" t="str">
        <f ca="1">IFERROR(__xludf.DUMMYFUNCTION("GOOGLETRANSLATE(B654,""en"",""zh"")"),"担心")</f>
        <v>担心</v>
      </c>
      <c r="I654" s="2" t="str">
        <f ca="1">IFERROR(__xludf.DUMMYFUNCTION("GOOGLETRANSLATE(B654,""en"",""gd"")"),"dragh")</f>
        <v>dragh</v>
      </c>
    </row>
    <row r="655" spans="1:9" ht="14.25" customHeight="1" x14ac:dyDescent="0.3">
      <c r="A655" s="2">
        <v>654</v>
      </c>
      <c r="B655" s="3" t="s">
        <v>662</v>
      </c>
      <c r="C655" s="2" t="str">
        <f ca="1">IFERROR(__xludf.DUMMYFUNCTION("GOOGLETRANSLATE(B655, ""en"",""es"")"),"verano")</f>
        <v>verano</v>
      </c>
      <c r="D655" s="2" t="str">
        <f ca="1">IFERROR(__xludf.DUMMYFUNCTION("GOOGLETRANSLATE(B655,""en"",""ig"")"),"soma")</f>
        <v>soma</v>
      </c>
      <c r="E655" s="2" t="str">
        <f ca="1">IFERROR(__xludf.DUMMYFUNCTION("GOOGLETRANSLATE(B655,""en"",""fr"")"),"été")</f>
        <v>été</v>
      </c>
      <c r="F655" s="2" t="str">
        <f ca="1">IFERROR(__xludf.DUMMYFUNCTION("GOOGLETRANSLATE(B655,""en"",""it"")"),"estate")</f>
        <v>estate</v>
      </c>
      <c r="G655" s="2" t="str">
        <f ca="1">IFERROR(__xludf.DUMMYFUNCTION("GOOGLETRANSLATE(B655,""en"",""de"")"),"Sommer")</f>
        <v>Sommer</v>
      </c>
      <c r="H655" s="2" t="str">
        <f ca="1">IFERROR(__xludf.DUMMYFUNCTION("GOOGLETRANSLATE(B655,""en"",""zh"")"),"夏天")</f>
        <v>夏天</v>
      </c>
      <c r="I655" s="2" t="str">
        <f ca="1">IFERROR(__xludf.DUMMYFUNCTION("GOOGLETRANSLATE(B655,""en"",""gd"")"),"Samhradh")</f>
        <v>Samhradh</v>
      </c>
    </row>
    <row r="656" spans="1:9" ht="14.25" customHeight="1" x14ac:dyDescent="0.3">
      <c r="A656" s="2">
        <v>655</v>
      </c>
      <c r="B656" s="3" t="s">
        <v>663</v>
      </c>
      <c r="C656" s="2" t="str">
        <f ca="1">IFERROR(__xludf.DUMMYFUNCTION("GOOGLETRANSLATE(B656, ""en"",""es"")"),"beber")</f>
        <v>beber</v>
      </c>
      <c r="D656" s="2" t="str">
        <f ca="1">IFERROR(__xludf.DUMMYFUNCTION("GOOGLETRANSLATE(B656,""en"",""ig"")"),"inu")</f>
        <v>inu</v>
      </c>
      <c r="E656" s="2" t="str">
        <f ca="1">IFERROR(__xludf.DUMMYFUNCTION("GOOGLETRANSLATE(B656,""en"",""fr"")"),"boire")</f>
        <v>boire</v>
      </c>
      <c r="F656" s="2" t="str">
        <f ca="1">IFERROR(__xludf.DUMMYFUNCTION("GOOGLETRANSLATE(B656,""en"",""it"")"),"bere")</f>
        <v>bere</v>
      </c>
      <c r="G656" s="2" t="str">
        <f ca="1">IFERROR(__xludf.DUMMYFUNCTION("GOOGLETRANSLATE(B656,""en"",""de"")"),"trinken")</f>
        <v>trinken</v>
      </c>
      <c r="H656" s="2" t="str">
        <f ca="1">IFERROR(__xludf.DUMMYFUNCTION("GOOGLETRANSLATE(B656,""en"",""zh"")"),"喝")</f>
        <v>喝</v>
      </c>
      <c r="I656" s="2" t="str">
        <f ca="1">IFERROR(__xludf.DUMMYFUNCTION("GOOGLETRANSLATE(B656,""en"",""gd"")"),"deoch")</f>
        <v>deoch</v>
      </c>
    </row>
    <row r="657" spans="1:9" ht="14.25" customHeight="1" x14ac:dyDescent="0.3">
      <c r="A657" s="2">
        <v>656</v>
      </c>
      <c r="B657" s="3" t="s">
        <v>664</v>
      </c>
      <c r="C657" s="2" t="str">
        <f ca="1">IFERROR(__xludf.DUMMYFUNCTION("GOOGLETRANSLATE(B657, ""en"",""es"")"),"opinión")</f>
        <v>opinión</v>
      </c>
      <c r="D657" s="2" t="str">
        <f ca="1">IFERROR(__xludf.DUMMYFUNCTION("GOOGLETRANSLATE(B657,""en"",""ig"")"),"uche")</f>
        <v>uche</v>
      </c>
      <c r="E657" s="2" t="str">
        <f ca="1">IFERROR(__xludf.DUMMYFUNCTION("GOOGLETRANSLATE(B657,""en"",""fr"")"),"avis")</f>
        <v>avis</v>
      </c>
      <c r="F657" s="2" t="str">
        <f ca="1">IFERROR(__xludf.DUMMYFUNCTION("GOOGLETRANSLATE(B657,""en"",""it"")"),"opinione")</f>
        <v>opinione</v>
      </c>
      <c r="G657" s="2" t="str">
        <f ca="1">IFERROR(__xludf.DUMMYFUNCTION("GOOGLETRANSLATE(B657,""en"",""de"")"),"Meinung")</f>
        <v>Meinung</v>
      </c>
      <c r="H657" s="2" t="str">
        <f ca="1">IFERROR(__xludf.DUMMYFUNCTION("GOOGLETRANSLATE(B657,""en"",""zh"")"),"观点")</f>
        <v>观点</v>
      </c>
      <c r="I657" s="2" t="str">
        <f ca="1">IFERROR(__xludf.DUMMYFUNCTION("GOOGLETRANSLATE(B657,""en"",""gd"")"),"Beachd")</f>
        <v>Beachd</v>
      </c>
    </row>
    <row r="658" spans="1:9" ht="14.25" customHeight="1" x14ac:dyDescent="0.3">
      <c r="A658" s="2">
        <v>657</v>
      </c>
      <c r="B658" s="3" t="s">
        <v>665</v>
      </c>
      <c r="C658" s="2" t="str">
        <f ca="1">IFERROR(__xludf.DUMMYFUNCTION("GOOGLETRANSLATE(B658, ""en"",""es"")"),"parque")</f>
        <v>parque</v>
      </c>
      <c r="D658" s="2" t="str">
        <f ca="1">IFERROR(__xludf.DUMMYFUNCTION("GOOGLETRANSLATE(B658,""en"",""ig"")"),"dokota")</f>
        <v>dokota</v>
      </c>
      <c r="E658" s="2" t="str">
        <f ca="1">IFERROR(__xludf.DUMMYFUNCTION("GOOGLETRANSLATE(B658,""en"",""fr"")"),"parc")</f>
        <v>parc</v>
      </c>
      <c r="F658" s="2" t="str">
        <f ca="1">IFERROR(__xludf.DUMMYFUNCTION("GOOGLETRANSLATE(B658,""en"",""it"")"),"parco")</f>
        <v>parco</v>
      </c>
      <c r="G658" s="2" t="str">
        <f ca="1">IFERROR(__xludf.DUMMYFUNCTION("GOOGLETRANSLATE(B658,""en"",""de"")"),"Park")</f>
        <v>Park</v>
      </c>
      <c r="H658" s="2" t="str">
        <f ca="1">IFERROR(__xludf.DUMMYFUNCTION("GOOGLETRANSLATE(B658,""en"",""zh"")"),"公园")</f>
        <v>公园</v>
      </c>
      <c r="I658" s="2" t="str">
        <f ca="1">IFERROR(__xludf.DUMMYFUNCTION("GOOGLETRANSLATE(B658,""en"",""gd"")"),"pàirc")</f>
        <v>pàirc</v>
      </c>
    </row>
    <row r="659" spans="1:9" ht="14.25" customHeight="1" x14ac:dyDescent="0.3">
      <c r="A659" s="2">
        <v>658</v>
      </c>
      <c r="B659" s="3" t="s">
        <v>666</v>
      </c>
      <c r="C659" s="2" t="str">
        <f ca="1">IFERROR(__xludf.DUMMYFUNCTION("GOOGLETRANSLATE(B659, ""en"",""es"")"),"representar")</f>
        <v>representar</v>
      </c>
      <c r="D659" s="2" t="str">
        <f ca="1">IFERROR(__xludf.DUMMYFUNCTION("GOOGLETRANSLATE(B659,""en"",""ig"")"),"inochi")</f>
        <v>inochi</v>
      </c>
      <c r="E659" s="2" t="str">
        <f ca="1">IFERROR(__xludf.DUMMYFUNCTION("GOOGLETRANSLATE(B659,""en"",""fr"")"),"représenter")</f>
        <v>représenter</v>
      </c>
      <c r="F659" s="2" t="str">
        <f ca="1">IFERROR(__xludf.DUMMYFUNCTION("GOOGLETRANSLATE(B659,""en"",""it"")"),"rappresentare")</f>
        <v>rappresentare</v>
      </c>
      <c r="G659" s="2" t="str">
        <f ca="1">IFERROR(__xludf.DUMMYFUNCTION("GOOGLETRANSLATE(B659,""en"",""de"")"),"vertreten")</f>
        <v>vertreten</v>
      </c>
      <c r="H659" s="2" t="str">
        <f ca="1">IFERROR(__xludf.DUMMYFUNCTION("GOOGLETRANSLATE(B659,""en"",""zh"")"),"代表")</f>
        <v>代表</v>
      </c>
      <c r="I659" s="2" t="str">
        <f ca="1">IFERROR(__xludf.DUMMYFUNCTION("GOOGLETRANSLATE(B659,""en"",""gd"")"),"riochdachadh")</f>
        <v>riochdachadh</v>
      </c>
    </row>
    <row r="660" spans="1:9" ht="14.25" customHeight="1" x14ac:dyDescent="0.3">
      <c r="A660" s="2">
        <v>659</v>
      </c>
      <c r="B660" s="3" t="s">
        <v>667</v>
      </c>
      <c r="C660" s="2" t="str">
        <f ca="1">IFERROR(__xludf.DUMMYFUNCTION("GOOGLETRANSLATE(B660, ""en"",""es"")"),"llave")</f>
        <v>llave</v>
      </c>
      <c r="D660" s="2" t="str">
        <f ca="1">IFERROR(__xludf.DUMMYFUNCTION("GOOGLETRANSLATE(B660,""en"",""ig"")"),"kii")</f>
        <v>kii</v>
      </c>
      <c r="E660" s="2" t="str">
        <f ca="1">IFERROR(__xludf.DUMMYFUNCTION("GOOGLETRANSLATE(B660,""en"",""fr"")"),"clé")</f>
        <v>clé</v>
      </c>
      <c r="F660" s="2" t="str">
        <f ca="1">IFERROR(__xludf.DUMMYFUNCTION("GOOGLETRANSLATE(B660,""en"",""it"")"),"chiave")</f>
        <v>chiave</v>
      </c>
      <c r="G660" s="2" t="str">
        <f ca="1">IFERROR(__xludf.DUMMYFUNCTION("GOOGLETRANSLATE(B660,""en"",""de"")"),"Schlüssel")</f>
        <v>Schlüssel</v>
      </c>
      <c r="H660" s="2" t="str">
        <f ca="1">IFERROR(__xludf.DUMMYFUNCTION("GOOGLETRANSLATE(B660,""en"",""zh"")"),"钥匙")</f>
        <v>钥匙</v>
      </c>
      <c r="I660" s="2" t="str">
        <f ca="1">IFERROR(__xludf.DUMMYFUNCTION("GOOGLETRANSLATE(B660,""en"",""gd"")"),"iuchair")</f>
        <v>iuchair</v>
      </c>
    </row>
    <row r="661" spans="1:9" ht="14.25" customHeight="1" x14ac:dyDescent="0.3">
      <c r="A661" s="2">
        <v>660</v>
      </c>
      <c r="B661" s="3" t="s">
        <v>668</v>
      </c>
      <c r="C661" s="2" t="str">
        <f ca="1">IFERROR(__xludf.DUMMYFUNCTION("GOOGLETRANSLATE(B661, ""en"",""es"")"),"adentro")</f>
        <v>adentro</v>
      </c>
      <c r="D661" s="2" t="str">
        <f ca="1">IFERROR(__xludf.DUMMYFUNCTION("GOOGLETRANSLATE(B661,""en"",""ig"")"),"keime")</f>
        <v>keime</v>
      </c>
      <c r="E661" s="2" t="str">
        <f ca="1">IFERROR(__xludf.DUMMYFUNCTION("GOOGLETRANSLATE(B661,""en"",""fr"")"),"à l'intérieur")</f>
        <v>à l'intérieur</v>
      </c>
      <c r="F661" s="2" t="str">
        <f ca="1">IFERROR(__xludf.DUMMYFUNCTION("GOOGLETRANSLATE(B661,""en"",""it"")"),"dentro")</f>
        <v>dentro</v>
      </c>
      <c r="G661" s="2" t="str">
        <f ca="1">IFERROR(__xludf.DUMMYFUNCTION("GOOGLETRANSLATE(B661,""en"",""de"")"),"innen")</f>
        <v>innen</v>
      </c>
      <c r="H661" s="2" t="str">
        <f ca="1">IFERROR(__xludf.DUMMYFUNCTION("GOOGLETRANSLATE(B661,""en"",""zh"")"),"里面")</f>
        <v>里面</v>
      </c>
      <c r="I661" s="2" t="str">
        <f ca="1">IFERROR(__xludf.DUMMYFUNCTION("GOOGLETRANSLATE(B661,""en"",""gd"")"),"Taobh a-staigh")</f>
        <v>Taobh a-staigh</v>
      </c>
    </row>
    <row r="662" spans="1:9" ht="14.25" customHeight="1" x14ac:dyDescent="0.3">
      <c r="A662" s="2">
        <v>661</v>
      </c>
      <c r="B662" s="3" t="s">
        <v>669</v>
      </c>
      <c r="C662" s="2" t="str">
        <f ca="1">IFERROR(__xludf.DUMMYFUNCTION("GOOGLETRANSLATE(B662, ""en"",""es"")"),"gerente")</f>
        <v>gerente</v>
      </c>
      <c r="D662" s="2" t="str">
        <f ca="1">IFERROR(__xludf.DUMMYFUNCTION("GOOGLETRANSLATE(B662,""en"",""ig"")"),"onyeisi oru")</f>
        <v>onyeisi oru</v>
      </c>
      <c r="E662" s="2" t="str">
        <f ca="1">IFERROR(__xludf.DUMMYFUNCTION("GOOGLETRANSLATE(B662,""en"",""fr"")"),"directeur")</f>
        <v>directeur</v>
      </c>
      <c r="F662" s="2" t="str">
        <f ca="1">IFERROR(__xludf.DUMMYFUNCTION("GOOGLETRANSLATE(B662,""en"",""it"")"),"manager")</f>
        <v>manager</v>
      </c>
      <c r="G662" s="2" t="str">
        <f ca="1">IFERROR(__xludf.DUMMYFUNCTION("GOOGLETRANSLATE(B662,""en"",""de"")"),"Manager")</f>
        <v>Manager</v>
      </c>
      <c r="H662" s="2" t="str">
        <f ca="1">IFERROR(__xludf.DUMMYFUNCTION("GOOGLETRANSLATE(B662,""en"",""zh"")"),"经理")</f>
        <v>经理</v>
      </c>
      <c r="I662" s="2" t="str">
        <f ca="1">IFERROR(__xludf.DUMMYFUNCTION("GOOGLETRANSLATE(B662,""en"",""gd"")"),"Manaidsear")</f>
        <v>Manaidsear</v>
      </c>
    </row>
    <row r="663" spans="1:9" ht="14.25" customHeight="1" x14ac:dyDescent="0.3">
      <c r="A663" s="2">
        <v>662</v>
      </c>
      <c r="B663" s="3" t="s">
        <v>670</v>
      </c>
      <c r="C663" s="2" t="str">
        <f ca="1">IFERROR(__xludf.DUMMYFUNCTION("GOOGLETRANSLATE(B663, ""en"",""es"")"),"internacional")</f>
        <v>internacional</v>
      </c>
      <c r="D663" s="2" t="str">
        <f ca="1">IFERROR(__xludf.DUMMYFUNCTION("GOOGLETRANSLATE(B663,""en"",""ig"")"),"ozuruuwa")</f>
        <v>ozuruuwa</v>
      </c>
      <c r="E663" s="2" t="str">
        <f ca="1">IFERROR(__xludf.DUMMYFUNCTION("GOOGLETRANSLATE(B663,""en"",""fr"")"),"international")</f>
        <v>international</v>
      </c>
      <c r="F663" s="2" t="str">
        <f ca="1">IFERROR(__xludf.DUMMYFUNCTION("GOOGLETRANSLATE(B663,""en"",""it"")"),"internazionale")</f>
        <v>internazionale</v>
      </c>
      <c r="G663" s="2" t="str">
        <f ca="1">IFERROR(__xludf.DUMMYFUNCTION("GOOGLETRANSLATE(B663,""en"",""de"")"),"International")</f>
        <v>International</v>
      </c>
      <c r="H663" s="2" t="str">
        <f ca="1">IFERROR(__xludf.DUMMYFUNCTION("GOOGLETRANSLATE(B663,""en"",""zh"")"),"国际的")</f>
        <v>国际的</v>
      </c>
      <c r="I663" s="2" t="str">
        <f ca="1">IFERROR(__xludf.DUMMYFUNCTION("GOOGLETRANSLATE(B663,""en"",""gd"")"),"Eadar-nàiseanta")</f>
        <v>Eadar-nàiseanta</v>
      </c>
    </row>
    <row r="664" spans="1:9" ht="14.25" customHeight="1" x14ac:dyDescent="0.3">
      <c r="A664" s="2">
        <v>663</v>
      </c>
      <c r="B664" s="3" t="s">
        <v>671</v>
      </c>
      <c r="C664" s="2" t="str">
        <f ca="1">IFERROR(__xludf.DUMMYFUNCTION("GOOGLETRANSLATE(B664, ""en"",""es"")"),"contener")</f>
        <v>contener</v>
      </c>
      <c r="D664" s="2" t="str">
        <f ca="1">IFERROR(__xludf.DUMMYFUNCTION("GOOGLETRANSLATE(B664,""en"",""ig"")"),"ijido")</f>
        <v>ijido</v>
      </c>
      <c r="E664" s="2" t="str">
        <f ca="1">IFERROR(__xludf.DUMMYFUNCTION("GOOGLETRANSLATE(B664,""en"",""fr"")"),"contenir")</f>
        <v>contenir</v>
      </c>
      <c r="F664" s="2" t="str">
        <f ca="1">IFERROR(__xludf.DUMMYFUNCTION("GOOGLETRANSLATE(B664,""en"",""it"")"),"contenere")</f>
        <v>contenere</v>
      </c>
      <c r="G664" s="2" t="str">
        <f ca="1">IFERROR(__xludf.DUMMYFUNCTION("GOOGLETRANSLATE(B664,""en"",""de"")"),"enthalten")</f>
        <v>enthalten</v>
      </c>
      <c r="H664" s="2" t="str">
        <f ca="1">IFERROR(__xludf.DUMMYFUNCTION("GOOGLETRANSLATE(B664,""en"",""zh"")"),"包含")</f>
        <v>包含</v>
      </c>
      <c r="I664" s="2" t="str">
        <f ca="1">IFERROR(__xludf.DUMMYFUNCTION("GOOGLETRANSLATE(B664,""en"",""gd"")"),"tha")</f>
        <v>tha</v>
      </c>
    </row>
    <row r="665" spans="1:9" ht="14.25" customHeight="1" x14ac:dyDescent="0.3">
      <c r="A665" s="2">
        <v>664</v>
      </c>
      <c r="B665" s="3" t="s">
        <v>672</v>
      </c>
      <c r="C665" s="2" t="str">
        <f ca="1">IFERROR(__xludf.DUMMYFUNCTION("GOOGLETRANSLATE(B665, ""en"",""es"")"),"aviso")</f>
        <v>aviso</v>
      </c>
      <c r="D665" s="2" t="str">
        <f ca="1">IFERROR(__xludf.DUMMYFUNCTION("GOOGLETRANSLATE(B665,""en"",""ig"")"),"nkwuputa")</f>
        <v>nkwuputa</v>
      </c>
      <c r="E665" s="2" t="str">
        <f ca="1">IFERROR(__xludf.DUMMYFUNCTION("GOOGLETRANSLATE(B665,""en"",""fr"")"),"avis")</f>
        <v>avis</v>
      </c>
      <c r="F665" s="2" t="str">
        <f ca="1">IFERROR(__xludf.DUMMYFUNCTION("GOOGLETRANSLATE(B665,""en"",""it"")"),"avviso")</f>
        <v>avviso</v>
      </c>
      <c r="G665" s="2" t="str">
        <f ca="1">IFERROR(__xludf.DUMMYFUNCTION("GOOGLETRANSLATE(B665,""en"",""de"")"),"beachten")</f>
        <v>beachten</v>
      </c>
      <c r="H665" s="2" t="str">
        <f ca="1">IFERROR(__xludf.DUMMYFUNCTION("GOOGLETRANSLATE(B665,""en"",""zh"")"),"注意")</f>
        <v>注意</v>
      </c>
      <c r="I665" s="2" t="str">
        <f ca="1">IFERROR(__xludf.DUMMYFUNCTION("GOOGLETRANSLATE(B665,""en"",""gd"")"),"Sanas")</f>
        <v>Sanas</v>
      </c>
    </row>
    <row r="666" spans="1:9" ht="14.25" customHeight="1" x14ac:dyDescent="0.3">
      <c r="A666" s="2">
        <v>665</v>
      </c>
      <c r="B666" s="3" t="s">
        <v>673</v>
      </c>
      <c r="C666" s="2" t="str">
        <f ca="1">IFERROR(__xludf.DUMMYFUNCTION("GOOGLETRANSLATE(B666, ""en"",""es"")"),"preguntarse")</f>
        <v>preguntarse</v>
      </c>
      <c r="D666" s="2" t="str">
        <f ca="1">IFERROR(__xludf.DUMMYFUNCTION("GOOGLETRANSLATE(B666,""en"",""ig"")"),"ntunnanya")</f>
        <v>ntunnanya</v>
      </c>
      <c r="E666" s="2" t="str">
        <f ca="1">IFERROR(__xludf.DUMMYFUNCTION("GOOGLETRANSLATE(B666,""en"",""fr"")"),"merveille")</f>
        <v>merveille</v>
      </c>
      <c r="F666" s="2" t="str">
        <f ca="1">IFERROR(__xludf.DUMMYFUNCTION("GOOGLETRANSLATE(B666,""en"",""it"")"),"Meraviglia")</f>
        <v>Meraviglia</v>
      </c>
      <c r="G666" s="2" t="str">
        <f ca="1">IFERROR(__xludf.DUMMYFUNCTION("GOOGLETRANSLATE(B666,""en"",""de"")"),"Wunder")</f>
        <v>Wunder</v>
      </c>
      <c r="H666" s="2" t="str">
        <f ca="1">IFERROR(__xludf.DUMMYFUNCTION("GOOGLETRANSLATE(B666,""en"",""zh"")"),"想知道")</f>
        <v>想知道</v>
      </c>
      <c r="I666" s="2" t="str">
        <f ca="1">IFERROR(__xludf.DUMMYFUNCTION("GOOGLETRANSLATE(B666,""en"",""gd"")"),"iongnadh")</f>
        <v>iongnadh</v>
      </c>
    </row>
    <row r="667" spans="1:9" ht="14.25" customHeight="1" x14ac:dyDescent="0.3">
      <c r="A667" s="2">
        <v>666</v>
      </c>
      <c r="B667" s="3" t="s">
        <v>674</v>
      </c>
      <c r="C667" s="2" t="str">
        <f ca="1">IFERROR(__xludf.DUMMYFUNCTION("GOOGLETRANSLATE(B667, ""en"",""es"")"),"naturaleza")</f>
        <v>naturaleza</v>
      </c>
      <c r="D667" s="2" t="str">
        <f ca="1">IFERROR(__xludf.DUMMYFUNCTION("GOOGLETRANSLATE(B667,""en"",""ig"")"),"agwa")</f>
        <v>agwa</v>
      </c>
      <c r="E667" s="2" t="str">
        <f ca="1">IFERROR(__xludf.DUMMYFUNCTION("GOOGLETRANSLATE(B667,""en"",""fr"")"),"nature")</f>
        <v>nature</v>
      </c>
      <c r="F667" s="2" t="str">
        <f ca="1">IFERROR(__xludf.DUMMYFUNCTION("GOOGLETRANSLATE(B667,""en"",""it"")"),"natura")</f>
        <v>natura</v>
      </c>
      <c r="G667" s="2" t="str">
        <f ca="1">IFERROR(__xludf.DUMMYFUNCTION("GOOGLETRANSLATE(B667,""en"",""de"")"),"Natur")</f>
        <v>Natur</v>
      </c>
      <c r="H667" s="2" t="str">
        <f ca="1">IFERROR(__xludf.DUMMYFUNCTION("GOOGLETRANSLATE(B667,""en"",""zh"")"),"自然")</f>
        <v>自然</v>
      </c>
      <c r="I667" s="2" t="str">
        <f ca="1">IFERROR(__xludf.DUMMYFUNCTION("GOOGLETRANSLATE(B667,""en"",""gd"")"),"Nàdar")</f>
        <v>Nàdar</v>
      </c>
    </row>
    <row r="668" spans="1:9" ht="14.25" customHeight="1" x14ac:dyDescent="0.3">
      <c r="A668" s="2">
        <v>667</v>
      </c>
      <c r="B668" s="3" t="s">
        <v>675</v>
      </c>
      <c r="C668" s="2" t="str">
        <f ca="1">IFERROR(__xludf.DUMMYFUNCTION("GOOGLETRANSLATE(B668, ""en"",""es"")"),"estructura")</f>
        <v>estructura</v>
      </c>
      <c r="D668" s="2" t="str">
        <f ca="1">IFERROR(__xludf.DUMMYFUNCTION("GOOGLETRANSLATE(B668,""en"",""ig"")"),"ndoko")</f>
        <v>ndoko</v>
      </c>
      <c r="E668" s="2" t="str">
        <f ca="1">IFERROR(__xludf.DUMMYFUNCTION("GOOGLETRANSLATE(B668,""en"",""fr"")"),"structure")</f>
        <v>structure</v>
      </c>
      <c r="F668" s="2" t="str">
        <f ca="1">IFERROR(__xludf.DUMMYFUNCTION("GOOGLETRANSLATE(B668,""en"",""it"")"),"struttura")</f>
        <v>struttura</v>
      </c>
      <c r="G668" s="2" t="str">
        <f ca="1">IFERROR(__xludf.DUMMYFUNCTION("GOOGLETRANSLATE(B668,""en"",""de"")"),"Struktur")</f>
        <v>Struktur</v>
      </c>
      <c r="H668" s="2" t="str">
        <f ca="1">IFERROR(__xludf.DUMMYFUNCTION("GOOGLETRANSLATE(B668,""en"",""zh"")"),"结构")</f>
        <v>结构</v>
      </c>
      <c r="I668" s="2" t="str">
        <f ca="1">IFERROR(__xludf.DUMMYFUNCTION("GOOGLETRANSLATE(B668,""en"",""gd"")"),"structar")</f>
        <v>structar</v>
      </c>
    </row>
    <row r="669" spans="1:9" ht="14.25" customHeight="1" x14ac:dyDescent="0.3">
      <c r="A669" s="2">
        <v>668</v>
      </c>
      <c r="B669" s="3" t="s">
        <v>676</v>
      </c>
      <c r="C669" s="2" t="str">
        <f ca="1">IFERROR(__xludf.DUMMYFUNCTION("GOOGLETRANSLATE(B669, ""en"",""es"")"),"sección")</f>
        <v>sección</v>
      </c>
      <c r="D669" s="2" t="str">
        <f ca="1">IFERROR(__xludf.DUMMYFUNCTION("GOOGLETRANSLATE(B669,""en"",""ig"")"),"ngalaba")</f>
        <v>ngalaba</v>
      </c>
      <c r="E669" s="2" t="str">
        <f ca="1">IFERROR(__xludf.DUMMYFUNCTION("GOOGLETRANSLATE(B669,""en"",""fr"")"),"section")</f>
        <v>section</v>
      </c>
      <c r="F669" s="2" t="str">
        <f ca="1">IFERROR(__xludf.DUMMYFUNCTION("GOOGLETRANSLATE(B669,""en"",""it"")"),"sezione")</f>
        <v>sezione</v>
      </c>
      <c r="G669" s="2" t="str">
        <f ca="1">IFERROR(__xludf.DUMMYFUNCTION("GOOGLETRANSLATE(B669,""en"",""de"")"),"Abschnitt")</f>
        <v>Abschnitt</v>
      </c>
      <c r="H669" s="2" t="str">
        <f ca="1">IFERROR(__xludf.DUMMYFUNCTION("GOOGLETRANSLATE(B669,""en"",""zh"")"),"部分")</f>
        <v>部分</v>
      </c>
      <c r="I669" s="2" t="str">
        <f ca="1">IFERROR(__xludf.DUMMYFUNCTION("GOOGLETRANSLATE(B669,""en"",""gd"")"),"Earrann")</f>
        <v>Earrann</v>
      </c>
    </row>
    <row r="670" spans="1:9" ht="14.25" customHeight="1" x14ac:dyDescent="0.3">
      <c r="A670" s="2">
        <v>669</v>
      </c>
      <c r="B670" s="3" t="s">
        <v>677</v>
      </c>
      <c r="C670" s="2" t="str">
        <f ca="1">IFERROR(__xludf.DUMMYFUNCTION("GOOGLETRANSLATE(B670, ""en"",""es"")"),"mí mismo")</f>
        <v>mí mismo</v>
      </c>
      <c r="D670" s="2" t="str">
        <f ca="1">IFERROR(__xludf.DUMMYFUNCTION("GOOGLETRANSLATE(B670,""en"",""ig"")"),"enwe kwa")</f>
        <v>enwe kwa</v>
      </c>
      <c r="E670" s="2" t="str">
        <f ca="1">IFERROR(__xludf.DUMMYFUNCTION("GOOGLETRANSLATE(B670,""en"",""fr"")"),"moi-même")</f>
        <v>moi-même</v>
      </c>
      <c r="F670" s="2" t="str">
        <f ca="1">IFERROR(__xludf.DUMMYFUNCTION("GOOGLETRANSLATE(B670,""en"",""it"")"),"me stessa")</f>
        <v>me stessa</v>
      </c>
      <c r="G670" s="2" t="str">
        <f ca="1">IFERROR(__xludf.DUMMYFUNCTION("GOOGLETRANSLATE(B670,""en"",""de"")"),"ich selbst")</f>
        <v>ich selbst</v>
      </c>
      <c r="H670" s="2" t="str">
        <f ca="1">IFERROR(__xludf.DUMMYFUNCTION("GOOGLETRANSLATE(B670,""en"",""zh"")"),"我")</f>
        <v>我</v>
      </c>
      <c r="I670" s="2" t="str">
        <f ca="1">IFERROR(__xludf.DUMMYFUNCTION("GOOGLETRANSLATE(B670,""en"",""gd"")"),"mi-fhìn")</f>
        <v>mi-fhìn</v>
      </c>
    </row>
    <row r="671" spans="1:9" ht="14.25" customHeight="1" x14ac:dyDescent="0.3">
      <c r="A671" s="2">
        <v>670</v>
      </c>
      <c r="B671" s="3" t="s">
        <v>678</v>
      </c>
      <c r="C671" s="2" t="str">
        <f ca="1">IFERROR(__xludf.DUMMYFUNCTION("GOOGLETRANSLATE(B671, ""en"",""es"")"),"exactamente")</f>
        <v>exactamente</v>
      </c>
      <c r="D671" s="2" t="str">
        <f ca="1">IFERROR(__xludf.DUMMYFUNCTION("GOOGLETRANSLATE(B671,""en"",""ig"")"),"dam")</f>
        <v>dam</v>
      </c>
      <c r="E671" s="2" t="str">
        <f ca="1">IFERROR(__xludf.DUMMYFUNCTION("GOOGLETRANSLATE(B671,""en"",""fr"")"),"exactement")</f>
        <v>exactement</v>
      </c>
      <c r="F671" s="2" t="str">
        <f ca="1">IFERROR(__xludf.DUMMYFUNCTION("GOOGLETRANSLATE(B671,""en"",""it"")"),"esattamente")</f>
        <v>esattamente</v>
      </c>
      <c r="G671" s="2" t="str">
        <f ca="1">IFERROR(__xludf.DUMMYFUNCTION("GOOGLETRANSLATE(B671,""en"",""de"")"),"genau")</f>
        <v>genau</v>
      </c>
      <c r="H671" s="2" t="str">
        <f ca="1">IFERROR(__xludf.DUMMYFUNCTION("GOOGLETRANSLATE(B671,""en"",""zh"")"),"确切地")</f>
        <v>确切地</v>
      </c>
      <c r="I671" s="2" t="str">
        <f ca="1">IFERROR(__xludf.DUMMYFUNCTION("GOOGLETRANSLATE(B671,""en"",""gd"")"),"dìreach")</f>
        <v>dìreach</v>
      </c>
    </row>
    <row r="672" spans="1:9" ht="14.25" customHeight="1" x14ac:dyDescent="0.3">
      <c r="A672" s="2">
        <v>671</v>
      </c>
      <c r="B672" s="3" t="s">
        <v>679</v>
      </c>
      <c r="C672" s="2" t="str">
        <f ca="1">IFERROR(__xludf.DUMMYFUNCTION("GOOGLETRANSLATE(B672, ""en"",""es"")"),"planta")</f>
        <v>planta</v>
      </c>
      <c r="D672" s="2" t="str">
        <f ca="1">IFERROR(__xludf.DUMMYFUNCTION("GOOGLETRANSLATE(B672,""en"",""ig"")"),"kuo")</f>
        <v>kuo</v>
      </c>
      <c r="E672" s="2" t="str">
        <f ca="1">IFERROR(__xludf.DUMMYFUNCTION("GOOGLETRANSLATE(B672,""en"",""fr"")"),"usine")</f>
        <v>usine</v>
      </c>
      <c r="F672" s="2" t="str">
        <f ca="1">IFERROR(__xludf.DUMMYFUNCTION("GOOGLETRANSLATE(B672,""en"",""it"")"),"pianta")</f>
        <v>pianta</v>
      </c>
      <c r="G672" s="2" t="str">
        <f ca="1">IFERROR(__xludf.DUMMYFUNCTION("GOOGLETRANSLATE(B672,""en"",""de"")"),"Anlage")</f>
        <v>Anlage</v>
      </c>
      <c r="H672" s="2" t="str">
        <f ca="1">IFERROR(__xludf.DUMMYFUNCTION("GOOGLETRANSLATE(B672,""en"",""zh"")"),"植物")</f>
        <v>植物</v>
      </c>
      <c r="I672" s="2" t="str">
        <f ca="1">IFERROR(__xludf.DUMMYFUNCTION("GOOGLETRANSLATE(B672,""en"",""gd"")"),"plannt")</f>
        <v>plannt</v>
      </c>
    </row>
    <row r="673" spans="1:9" ht="14.25" customHeight="1" x14ac:dyDescent="0.3">
      <c r="A673" s="2">
        <v>672</v>
      </c>
      <c r="B673" s="3" t="s">
        <v>680</v>
      </c>
      <c r="C673" s="2" t="str">
        <f ca="1">IFERROR(__xludf.DUMMYFUNCTION("GOOGLETRANSLATE(B673, ""en"",""es"")"),"pintar")</f>
        <v>pintar</v>
      </c>
      <c r="D673" s="2" t="str">
        <f ca="1">IFERROR(__xludf.DUMMYFUNCTION("GOOGLETRANSLATE(B673,""en"",""ig"")"),"agba")</f>
        <v>agba</v>
      </c>
      <c r="E673" s="2" t="str">
        <f ca="1">IFERROR(__xludf.DUMMYFUNCTION("GOOGLETRANSLATE(B673,""en"",""fr"")"),"peinture")</f>
        <v>peinture</v>
      </c>
      <c r="F673" s="2" t="str">
        <f ca="1">IFERROR(__xludf.DUMMYFUNCTION("GOOGLETRANSLATE(B673,""en"",""it"")"),"colore")</f>
        <v>colore</v>
      </c>
      <c r="G673" s="2" t="str">
        <f ca="1">IFERROR(__xludf.DUMMYFUNCTION("GOOGLETRANSLATE(B673,""en"",""de"")"),"malen")</f>
        <v>malen</v>
      </c>
      <c r="H673" s="2" t="str">
        <f ca="1">IFERROR(__xludf.DUMMYFUNCTION("GOOGLETRANSLATE(B673,""en"",""zh"")"),"画")</f>
        <v>画</v>
      </c>
      <c r="I673" s="2" t="str">
        <f ca="1">IFERROR(__xludf.DUMMYFUNCTION("GOOGLETRANSLATE(B673,""en"",""gd"")"),"peant")</f>
        <v>peant</v>
      </c>
    </row>
    <row r="674" spans="1:9" ht="14.25" customHeight="1" x14ac:dyDescent="0.3">
      <c r="A674" s="2">
        <v>673</v>
      </c>
      <c r="B674" s="3" t="s">
        <v>681</v>
      </c>
      <c r="C674" s="2" t="str">
        <f ca="1">IFERROR(__xludf.DUMMYFUNCTION("GOOGLETRANSLATE(B674, ""en"",""es"")"),"obrero")</f>
        <v>obrero</v>
      </c>
      <c r="D674" s="2" t="str">
        <f ca="1">IFERROR(__xludf.DUMMYFUNCTION("GOOGLETRANSLATE(B674,""en"",""ig"")"),"onyeoru nwoke")</f>
        <v>onyeoru nwoke</v>
      </c>
      <c r="E674" s="2" t="str">
        <f ca="1">IFERROR(__xludf.DUMMYFUNCTION("GOOGLETRANSLATE(B674,""en"",""fr"")"),"ouvrier")</f>
        <v>ouvrier</v>
      </c>
      <c r="F674" s="2" t="str">
        <f ca="1">IFERROR(__xludf.DUMMYFUNCTION("GOOGLETRANSLATE(B674,""en"",""it"")"),"lavoratore")</f>
        <v>lavoratore</v>
      </c>
      <c r="G674" s="2" t="str">
        <f ca="1">IFERROR(__xludf.DUMMYFUNCTION("GOOGLETRANSLATE(B674,""en"",""de"")"),"Arbeiter")</f>
        <v>Arbeiter</v>
      </c>
      <c r="H674" s="2" t="str">
        <f ca="1">IFERROR(__xludf.DUMMYFUNCTION("GOOGLETRANSLATE(B674,""en"",""zh"")"),"工人")</f>
        <v>工人</v>
      </c>
      <c r="I674" s="2" t="str">
        <f ca="1">IFERROR(__xludf.DUMMYFUNCTION("GOOGLETRANSLATE(B674,""en"",""gd"")"),"neach-obrach")</f>
        <v>neach-obrach</v>
      </c>
    </row>
    <row r="675" spans="1:9" ht="14.25" customHeight="1" x14ac:dyDescent="0.3">
      <c r="A675" s="2">
        <v>674</v>
      </c>
      <c r="B675" s="3" t="s">
        <v>682</v>
      </c>
      <c r="C675" s="2" t="str">
        <f ca="1">IFERROR(__xludf.DUMMYFUNCTION("GOOGLETRANSLATE(B675, ""en"",""es"")"),"prensa")</f>
        <v>prensa</v>
      </c>
      <c r="D675" s="2" t="str">
        <f ca="1">IFERROR(__xludf.DUMMYFUNCTION("GOOGLETRANSLATE(B675,""en"",""ig"")"),"nke edere ede")</f>
        <v>nke edere ede</v>
      </c>
      <c r="E675" s="2" t="str">
        <f ca="1">IFERROR(__xludf.DUMMYFUNCTION("GOOGLETRANSLATE(B675,""en"",""fr"")"),"presse")</f>
        <v>presse</v>
      </c>
      <c r="F675" s="2" t="str">
        <f ca="1">IFERROR(__xludf.DUMMYFUNCTION("GOOGLETRANSLATE(B675,""en"",""it"")"),"premere")</f>
        <v>premere</v>
      </c>
      <c r="G675" s="2" t="str">
        <f ca="1">IFERROR(__xludf.DUMMYFUNCTION("GOOGLETRANSLATE(B675,""en"",""de"")"),"Drücken Sie")</f>
        <v>Drücken Sie</v>
      </c>
      <c r="H675" s="2" t="str">
        <f ca="1">IFERROR(__xludf.DUMMYFUNCTION("GOOGLETRANSLATE(B675,""en"",""zh"")"),"按")</f>
        <v>按</v>
      </c>
      <c r="I675" s="2" t="str">
        <f ca="1">IFERROR(__xludf.DUMMYFUNCTION("GOOGLETRANSLATE(B675,""en"",""gd"")"),"Brùth")</f>
        <v>Brùth</v>
      </c>
    </row>
    <row r="676" spans="1:9" ht="14.25" customHeight="1" x14ac:dyDescent="0.3">
      <c r="A676" s="2">
        <v>675</v>
      </c>
      <c r="B676" s="3" t="s">
        <v>683</v>
      </c>
      <c r="C676" s="2" t="str">
        <f ca="1">IFERROR(__xludf.DUMMYFUNCTION("GOOGLETRANSLATE(B676, ""en"",""es"")"),"lo que")</f>
        <v>lo que</v>
      </c>
      <c r="D676" s="2" t="str">
        <f ca="1">IFERROR(__xludf.DUMMYFUNCTION("GOOGLETRANSLATE(B676,""en"",""ig"")"),"otuodila")</f>
        <v>otuodila</v>
      </c>
      <c r="E676" s="2" t="str">
        <f ca="1">IFERROR(__xludf.DUMMYFUNCTION("GOOGLETRANSLATE(B676,""en"",""fr"")"),"peu importe")</f>
        <v>peu importe</v>
      </c>
      <c r="F676" s="2" t="str">
        <f ca="1">IFERROR(__xludf.DUMMYFUNCTION("GOOGLETRANSLATE(B676,""en"",""it"")"),"Qualunque cosa")</f>
        <v>Qualunque cosa</v>
      </c>
      <c r="G676" s="2" t="str">
        <f ca="1">IFERROR(__xludf.DUMMYFUNCTION("GOOGLETRANSLATE(B676,""en"",""de"")"),"was auch immer")</f>
        <v>was auch immer</v>
      </c>
      <c r="H676" s="2" t="str">
        <f ca="1">IFERROR(__xludf.DUMMYFUNCTION("GOOGLETRANSLATE(B676,""en"",""zh"")"),"任何")</f>
        <v>任何</v>
      </c>
      <c r="I676" s="2" t="str">
        <f ca="1">IFERROR(__xludf.DUMMYFUNCTION("GOOGLETRANSLATE(B676,""en"",""gd"")"),"ge bith dè")</f>
        <v>ge bith dè</v>
      </c>
    </row>
    <row r="677" spans="1:9" ht="14.25" customHeight="1" x14ac:dyDescent="0.3">
      <c r="A677" s="2">
        <v>676</v>
      </c>
      <c r="B677" s="3" t="s">
        <v>684</v>
      </c>
      <c r="C677" s="2" t="str">
        <f ca="1">IFERROR(__xludf.DUMMYFUNCTION("GOOGLETRANSLATE(B677, ""en"",""es"")"),"necesario")</f>
        <v>necesario</v>
      </c>
      <c r="D677" s="2" t="str">
        <f ca="1">IFERROR(__xludf.DUMMYFUNCTION("GOOGLETRANSLATE(B677,""en"",""ig"")"),"idi mkpa")</f>
        <v>idi mkpa</v>
      </c>
      <c r="E677" s="2" t="str">
        <f ca="1">IFERROR(__xludf.DUMMYFUNCTION("GOOGLETRANSLATE(B677,""en"",""fr"")"),"nécessaire")</f>
        <v>nécessaire</v>
      </c>
      <c r="F677" s="2" t="str">
        <f ca="1">IFERROR(__xludf.DUMMYFUNCTION("GOOGLETRANSLATE(B677,""en"",""it"")"),"necessario")</f>
        <v>necessario</v>
      </c>
      <c r="G677" s="2" t="str">
        <f ca="1">IFERROR(__xludf.DUMMYFUNCTION("GOOGLETRANSLATE(B677,""en"",""de"")"),"notwendig")</f>
        <v>notwendig</v>
      </c>
      <c r="H677" s="2" t="str">
        <f ca="1">IFERROR(__xludf.DUMMYFUNCTION("GOOGLETRANSLATE(B677,""en"",""zh"")"),"必要的")</f>
        <v>必要的</v>
      </c>
      <c r="I677" s="2" t="str">
        <f ca="1">IFERROR(__xludf.DUMMYFUNCTION("GOOGLETRANSLATE(B677,""en"",""gd"")"),"riatanach")</f>
        <v>riatanach</v>
      </c>
    </row>
    <row r="678" spans="1:9" ht="14.25" customHeight="1" x14ac:dyDescent="0.3">
      <c r="A678" s="2">
        <v>677</v>
      </c>
      <c r="B678" s="3" t="s">
        <v>685</v>
      </c>
      <c r="C678" s="2" t="str">
        <f ca="1">IFERROR(__xludf.DUMMYFUNCTION("GOOGLETRANSLATE(B678, ""en"",""es"")"),"región")</f>
        <v>región</v>
      </c>
      <c r="D678" s="2" t="str">
        <f ca="1">IFERROR(__xludf.DUMMYFUNCTION("GOOGLETRANSLATE(B678,""en"",""ig"")"),"obodo")</f>
        <v>obodo</v>
      </c>
      <c r="E678" s="2" t="str">
        <f ca="1">IFERROR(__xludf.DUMMYFUNCTION("GOOGLETRANSLATE(B678,""en"",""fr"")"),"région")</f>
        <v>région</v>
      </c>
      <c r="F678" s="2" t="str">
        <f ca="1">IFERROR(__xludf.DUMMYFUNCTION("GOOGLETRANSLATE(B678,""en"",""it"")"),"regione")</f>
        <v>regione</v>
      </c>
      <c r="G678" s="2" t="str">
        <f ca="1">IFERROR(__xludf.DUMMYFUNCTION("GOOGLETRANSLATE(B678,""en"",""de"")"),"Region")</f>
        <v>Region</v>
      </c>
      <c r="H678" s="2" t="str">
        <f ca="1">IFERROR(__xludf.DUMMYFUNCTION("GOOGLETRANSLATE(B678,""en"",""zh"")"),"地区")</f>
        <v>地区</v>
      </c>
      <c r="I678" s="2" t="str">
        <f ca="1">IFERROR(__xludf.DUMMYFUNCTION("GOOGLETRANSLATE(B678,""en"",""gd"")"),"Roinn")</f>
        <v>Roinn</v>
      </c>
    </row>
    <row r="679" spans="1:9" ht="14.25" customHeight="1" x14ac:dyDescent="0.3">
      <c r="A679" s="2">
        <v>678</v>
      </c>
      <c r="B679" s="3" t="s">
        <v>686</v>
      </c>
      <c r="C679" s="2" t="str">
        <f ca="1">IFERROR(__xludf.DUMMYFUNCTION("GOOGLETRANSLATE(B679, ""en"",""es"")"),"crecimiento")</f>
        <v>crecimiento</v>
      </c>
      <c r="D679" s="2" t="str">
        <f ca="1">IFERROR(__xludf.DUMMYFUNCTION("GOOGLETRANSLATE(B679,""en"",""ig"")"),"ibu")</f>
        <v>ibu</v>
      </c>
      <c r="E679" s="2" t="str">
        <f ca="1">IFERROR(__xludf.DUMMYFUNCTION("GOOGLETRANSLATE(B679,""en"",""fr"")"),"croissance")</f>
        <v>croissance</v>
      </c>
      <c r="F679" s="2" t="str">
        <f ca="1">IFERROR(__xludf.DUMMYFUNCTION("GOOGLETRANSLATE(B679,""en"",""it"")"),"crescita")</f>
        <v>crescita</v>
      </c>
      <c r="G679" s="2" t="str">
        <f ca="1">IFERROR(__xludf.DUMMYFUNCTION("GOOGLETRANSLATE(B679,""en"",""de"")"),"Wachstum")</f>
        <v>Wachstum</v>
      </c>
      <c r="H679" s="2" t="str">
        <f ca="1">IFERROR(__xludf.DUMMYFUNCTION("GOOGLETRANSLATE(B679,""en"",""zh"")"),"生长")</f>
        <v>生长</v>
      </c>
      <c r="I679" s="2" t="str">
        <f ca="1">IFERROR(__xludf.DUMMYFUNCTION("GOOGLETRANSLATE(B679,""en"",""gd"")"),"fàs")</f>
        <v>fàs</v>
      </c>
    </row>
    <row r="680" spans="1:9" ht="14.25" customHeight="1" x14ac:dyDescent="0.3">
      <c r="A680" s="2">
        <v>679</v>
      </c>
      <c r="B680" s="3" t="s">
        <v>687</v>
      </c>
      <c r="C680" s="2" t="str">
        <f ca="1">IFERROR(__xludf.DUMMYFUNCTION("GOOGLETRANSLATE(B680, ""en"",""es"")"),"noche")</f>
        <v>noche</v>
      </c>
      <c r="D680" s="2" t="str">
        <f ca="1">IFERROR(__xludf.DUMMYFUNCTION("GOOGLETRANSLATE(B680,""en"",""ig"")"),"mgbede")</f>
        <v>mgbede</v>
      </c>
      <c r="E680" s="2" t="str">
        <f ca="1">IFERROR(__xludf.DUMMYFUNCTION("GOOGLETRANSLATE(B680,""en"",""fr"")"),"soirée")</f>
        <v>soirée</v>
      </c>
      <c r="F680" s="2" t="str">
        <f ca="1">IFERROR(__xludf.DUMMYFUNCTION("GOOGLETRANSLATE(B680,""en"",""it"")"),"sera")</f>
        <v>sera</v>
      </c>
      <c r="G680" s="2" t="str">
        <f ca="1">IFERROR(__xludf.DUMMYFUNCTION("GOOGLETRANSLATE(B680,""en"",""de"")"),"Abend")</f>
        <v>Abend</v>
      </c>
      <c r="H680" s="2" t="str">
        <f ca="1">IFERROR(__xludf.DUMMYFUNCTION("GOOGLETRANSLATE(B680,""en"",""zh"")"),"晚上")</f>
        <v>晚上</v>
      </c>
      <c r="I680" s="2" t="str">
        <f ca="1">IFERROR(__xludf.DUMMYFUNCTION("GOOGLETRANSLATE(B680,""en"",""gd"")"),"feasgar")</f>
        <v>feasgar</v>
      </c>
    </row>
    <row r="681" spans="1:9" ht="14.25" customHeight="1" x14ac:dyDescent="0.3">
      <c r="A681" s="2">
        <v>680</v>
      </c>
      <c r="B681" s="3" t="s">
        <v>688</v>
      </c>
      <c r="C681" s="2" t="str">
        <f ca="1">IFERROR(__xludf.DUMMYFUNCTION("GOOGLETRANSLATE(B681, ""en"",""es"")"),"influencia")</f>
        <v>influencia</v>
      </c>
      <c r="D681" s="2" t="str">
        <f ca="1">IFERROR(__xludf.DUMMYFUNCTION("GOOGLETRANSLATE(B681,""en"",""ig"")"),"ike onwunwe")</f>
        <v>ike onwunwe</v>
      </c>
      <c r="E681" s="2" t="str">
        <f ca="1">IFERROR(__xludf.DUMMYFUNCTION("GOOGLETRANSLATE(B681,""en"",""fr"")"),"influence")</f>
        <v>influence</v>
      </c>
      <c r="F681" s="2" t="str">
        <f ca="1">IFERROR(__xludf.DUMMYFUNCTION("GOOGLETRANSLATE(B681,""en"",""it"")"),"influenza")</f>
        <v>influenza</v>
      </c>
      <c r="G681" s="2" t="str">
        <f ca="1">IFERROR(__xludf.DUMMYFUNCTION("GOOGLETRANSLATE(B681,""en"",""de"")"),"beeinflussen")</f>
        <v>beeinflussen</v>
      </c>
      <c r="H681" s="2" t="str">
        <f ca="1">IFERROR(__xludf.DUMMYFUNCTION("GOOGLETRANSLATE(B681,""en"",""zh"")"),"影响")</f>
        <v>影响</v>
      </c>
      <c r="I681" s="2" t="str">
        <f ca="1">IFERROR(__xludf.DUMMYFUNCTION("GOOGLETRANSLATE(B681,""en"",""gd"")"),"Buaidh")</f>
        <v>Buaidh</v>
      </c>
    </row>
    <row r="682" spans="1:9" ht="14.25" customHeight="1" x14ac:dyDescent="0.3">
      <c r="A682" s="2">
        <v>681</v>
      </c>
      <c r="B682" s="3" t="s">
        <v>689</v>
      </c>
      <c r="C682" s="2" t="str">
        <f ca="1">IFERROR(__xludf.DUMMYFUNCTION("GOOGLETRANSLATE(B682, ""en"",""es"")"),"respeto")</f>
        <v>respeto</v>
      </c>
      <c r="D682" s="2" t="str">
        <f ca="1">IFERROR(__xludf.DUMMYFUNCTION("GOOGLETRANSLATE(B682,""en"",""ig"")"),"nkwanye ugwu")</f>
        <v>nkwanye ugwu</v>
      </c>
      <c r="E682" s="2" t="str">
        <f ca="1">IFERROR(__xludf.DUMMYFUNCTION("GOOGLETRANSLATE(B682,""en"",""fr"")"),"respect")</f>
        <v>respect</v>
      </c>
      <c r="F682" s="2" t="str">
        <f ca="1">IFERROR(__xludf.DUMMYFUNCTION("GOOGLETRANSLATE(B682,""en"",""it"")"),"rispetto")</f>
        <v>rispetto</v>
      </c>
      <c r="G682" s="2" t="str">
        <f ca="1">IFERROR(__xludf.DUMMYFUNCTION("GOOGLETRANSLATE(B682,""en"",""de"")"),"respektieren")</f>
        <v>respektieren</v>
      </c>
      <c r="H682" s="2" t="str">
        <f ca="1">IFERROR(__xludf.DUMMYFUNCTION("GOOGLETRANSLATE(B682,""en"",""zh"")"),"尊重")</f>
        <v>尊重</v>
      </c>
      <c r="I682" s="2" t="str">
        <f ca="1">IFERROR(__xludf.DUMMYFUNCTION("GOOGLETRANSLATE(B682,""en"",""gd"")"),"Spèis")</f>
        <v>Spèis</v>
      </c>
    </row>
    <row r="683" spans="1:9" ht="14.25" customHeight="1" x14ac:dyDescent="0.3">
      <c r="A683" s="2">
        <v>682</v>
      </c>
      <c r="B683" s="3" t="s">
        <v>690</v>
      </c>
      <c r="C683" s="2" t="str">
        <f ca="1">IFERROR(__xludf.DUMMYFUNCTION("GOOGLETRANSLATE(B683, ""en"",""es"")"),"varios")</f>
        <v>varios</v>
      </c>
      <c r="D683" s="2" t="str">
        <f ca="1">IFERROR(__xludf.DUMMYFUNCTION("GOOGLETRANSLATE(B683,""en"",""ig"")"),"iche iche")</f>
        <v>iche iche</v>
      </c>
      <c r="E683" s="2" t="str">
        <f ca="1">IFERROR(__xludf.DUMMYFUNCTION("GOOGLETRANSLATE(B683,""en"",""fr"")"),"divers")</f>
        <v>divers</v>
      </c>
      <c r="F683" s="2" t="str">
        <f ca="1">IFERROR(__xludf.DUMMYFUNCTION("GOOGLETRANSLATE(B683,""en"",""it"")"),"vari")</f>
        <v>vari</v>
      </c>
      <c r="G683" s="2" t="str">
        <f ca="1">IFERROR(__xludf.DUMMYFUNCTION("GOOGLETRANSLATE(B683,""en"",""de"")"),"verschieden")</f>
        <v>verschieden</v>
      </c>
      <c r="H683" s="2" t="str">
        <f ca="1">IFERROR(__xludf.DUMMYFUNCTION("GOOGLETRANSLATE(B683,""en"",""zh"")"),"各种各样的")</f>
        <v>各种各样的</v>
      </c>
      <c r="I683" s="2" t="str">
        <f ca="1">IFERROR(__xludf.DUMMYFUNCTION("GOOGLETRANSLATE(B683,""en"",""gd"")"),"Diofar")</f>
        <v>Diofar</v>
      </c>
    </row>
    <row r="684" spans="1:9" ht="14.25" customHeight="1" x14ac:dyDescent="0.3">
      <c r="A684" s="2">
        <v>683</v>
      </c>
      <c r="B684" s="3" t="s">
        <v>691</v>
      </c>
      <c r="C684" s="2" t="str">
        <f ca="1">IFERROR(__xludf.DUMMYFUNCTION("GOOGLETRANSLATE(B684, ""en"",""es"")"),"atrapar")</f>
        <v>atrapar</v>
      </c>
      <c r="D684" s="2" t="str">
        <f ca="1">IFERROR(__xludf.DUMMYFUNCTION("GOOGLETRANSLATE(B684,""en"",""ig"")"),"gbute")</f>
        <v>gbute</v>
      </c>
      <c r="E684" s="2" t="str">
        <f ca="1">IFERROR(__xludf.DUMMYFUNCTION("GOOGLETRANSLATE(B684,""en"",""fr"")"),"attraper")</f>
        <v>attraper</v>
      </c>
      <c r="F684" s="2" t="str">
        <f ca="1">IFERROR(__xludf.DUMMYFUNCTION("GOOGLETRANSLATE(B684,""en"",""it"")"),"presa")</f>
        <v>presa</v>
      </c>
      <c r="G684" s="2" t="str">
        <f ca="1">IFERROR(__xludf.DUMMYFUNCTION("GOOGLETRANSLATE(B684,""en"",""de"")"),"fangen")</f>
        <v>fangen</v>
      </c>
      <c r="H684" s="2" t="str">
        <f ca="1">IFERROR(__xludf.DUMMYFUNCTION("GOOGLETRANSLATE(B684,""en"",""zh"")"),"抓住")</f>
        <v>抓住</v>
      </c>
      <c r="I684" s="2" t="str">
        <f ca="1">IFERROR(__xludf.DUMMYFUNCTION("GOOGLETRANSLATE(B684,""en"",""gd"")"),"glacadh")</f>
        <v>glacadh</v>
      </c>
    </row>
    <row r="685" spans="1:9" ht="14.25" customHeight="1" x14ac:dyDescent="0.3">
      <c r="A685" s="2">
        <v>684</v>
      </c>
      <c r="B685" s="3" t="s">
        <v>692</v>
      </c>
      <c r="C685" s="2" t="str">
        <f ca="1">IFERROR(__xludf.DUMMYFUNCTION("GOOGLETRANSLATE(B685, ""en"",""es"")"),"de este modo")</f>
        <v>de este modo</v>
      </c>
      <c r="D685" s="2" t="str">
        <f ca="1">IFERROR(__xludf.DUMMYFUNCTION("GOOGLETRANSLATE(B685,""en"",""ig"")"),"dos")</f>
        <v>dos</v>
      </c>
      <c r="E685" s="2" t="str">
        <f ca="1">IFERROR(__xludf.DUMMYFUNCTION("GOOGLETRANSLATE(B685,""en"",""fr"")"),"ainsi")</f>
        <v>ainsi</v>
      </c>
      <c r="F685" s="2" t="str">
        <f ca="1">IFERROR(__xludf.DUMMYFUNCTION("GOOGLETRANSLATE(B685,""en"",""it"")"),"così")</f>
        <v>così</v>
      </c>
      <c r="G685" s="2" t="str">
        <f ca="1">IFERROR(__xludf.DUMMYFUNCTION("GOOGLETRANSLATE(B685,""en"",""de"")"),"daher")</f>
        <v>daher</v>
      </c>
      <c r="H685" s="2" t="str">
        <f ca="1">IFERROR(__xludf.DUMMYFUNCTION("GOOGLETRANSLATE(B685,""en"",""zh"")"),"因此")</f>
        <v>因此</v>
      </c>
      <c r="I685" s="2" t="str">
        <f ca="1">IFERROR(__xludf.DUMMYFUNCTION("GOOGLETRANSLATE(B685,""en"",""gd"")"),"Mar sin")</f>
        <v>Mar sin</v>
      </c>
    </row>
    <row r="686" spans="1:9" ht="14.25" customHeight="1" x14ac:dyDescent="0.3">
      <c r="A686" s="2">
        <v>685</v>
      </c>
      <c r="B686" s="3" t="s">
        <v>693</v>
      </c>
      <c r="C686" s="2" t="str">
        <f ca="1">IFERROR(__xludf.DUMMYFUNCTION("GOOGLETRANSLATE(B686, ""en"",""es"")"),"habilidad")</f>
        <v>habilidad</v>
      </c>
      <c r="D686" s="2" t="str">
        <f ca="1">IFERROR(__xludf.DUMMYFUNCTION("GOOGLETRANSLATE(B686,""en"",""ig"")"),"nka")</f>
        <v>nka</v>
      </c>
      <c r="E686" s="2" t="str">
        <f ca="1">IFERROR(__xludf.DUMMYFUNCTION("GOOGLETRANSLATE(B686,""en"",""fr"")"),"compétence")</f>
        <v>compétence</v>
      </c>
      <c r="F686" s="2" t="str">
        <f ca="1">IFERROR(__xludf.DUMMYFUNCTION("GOOGLETRANSLATE(B686,""en"",""it"")"),"abilità")</f>
        <v>abilità</v>
      </c>
      <c r="G686" s="2" t="str">
        <f ca="1">IFERROR(__xludf.DUMMYFUNCTION("GOOGLETRANSLATE(B686,""en"",""de"")"),"Fähigkeit")</f>
        <v>Fähigkeit</v>
      </c>
      <c r="H686" s="2" t="str">
        <f ca="1">IFERROR(__xludf.DUMMYFUNCTION("GOOGLETRANSLATE(B686,""en"",""zh"")"),"技能")</f>
        <v>技能</v>
      </c>
      <c r="I686" s="2" t="str">
        <f ca="1">IFERROR(__xludf.DUMMYFUNCTION("GOOGLETRANSLATE(B686,""en"",""gd"")"),"sgil")</f>
        <v>sgil</v>
      </c>
    </row>
    <row r="687" spans="1:9" ht="14.25" customHeight="1" x14ac:dyDescent="0.3">
      <c r="A687" s="2">
        <v>686</v>
      </c>
      <c r="B687" s="3" t="s">
        <v>694</v>
      </c>
      <c r="C687" s="2" t="str">
        <f ca="1">IFERROR(__xludf.DUMMYFUNCTION("GOOGLETRANSLATE(B687, ""en"",""es"")"),"intentar")</f>
        <v>intentar</v>
      </c>
      <c r="D687" s="2" t="str">
        <f ca="1">IFERROR(__xludf.DUMMYFUNCTION("GOOGLETRANSLATE(B687,""en"",""ig"")"),"mnwale")</f>
        <v>mnwale</v>
      </c>
      <c r="E687" s="2" t="str">
        <f ca="1">IFERROR(__xludf.DUMMYFUNCTION("GOOGLETRANSLATE(B687,""en"",""fr"")"),"tentative")</f>
        <v>tentative</v>
      </c>
      <c r="F687" s="2" t="str">
        <f ca="1">IFERROR(__xludf.DUMMYFUNCTION("GOOGLETRANSLATE(B687,""en"",""it"")"),"tentativo")</f>
        <v>tentativo</v>
      </c>
      <c r="G687" s="2" t="str">
        <f ca="1">IFERROR(__xludf.DUMMYFUNCTION("GOOGLETRANSLATE(B687,""en"",""de"")"),"versuchen")</f>
        <v>versuchen</v>
      </c>
      <c r="H687" s="2" t="str">
        <f ca="1">IFERROR(__xludf.DUMMYFUNCTION("GOOGLETRANSLATE(B687,""en"",""zh"")"),"试图")</f>
        <v>试图</v>
      </c>
      <c r="I687" s="2" t="str">
        <f ca="1">IFERROR(__xludf.DUMMYFUNCTION("GOOGLETRANSLATE(B687,""en"",""gd"")"),"oidhirp")</f>
        <v>oidhirp</v>
      </c>
    </row>
    <row r="688" spans="1:9" ht="14.25" customHeight="1" x14ac:dyDescent="0.3">
      <c r="A688" s="2">
        <v>687</v>
      </c>
      <c r="B688" s="3" t="s">
        <v>695</v>
      </c>
      <c r="C688" s="2" t="str">
        <f ca="1">IFERROR(__xludf.DUMMYFUNCTION("GOOGLETRANSLATE(B688, ""en"",""es"")"),"hijo")</f>
        <v>hijo</v>
      </c>
      <c r="D688" s="2" t="str">
        <f ca="1">IFERROR(__xludf.DUMMYFUNCTION("GOOGLETRANSLATE(B688,""en"",""ig"")"),"nwanwoke")</f>
        <v>nwanwoke</v>
      </c>
      <c r="E688" s="2" t="str">
        <f ca="1">IFERROR(__xludf.DUMMYFUNCTION("GOOGLETRANSLATE(B688,""en"",""fr"")"),"fils")</f>
        <v>fils</v>
      </c>
      <c r="F688" s="2" t="str">
        <f ca="1">IFERROR(__xludf.DUMMYFUNCTION("GOOGLETRANSLATE(B688,""en"",""it"")"),"figlio")</f>
        <v>figlio</v>
      </c>
      <c r="G688" s="2" t="str">
        <f ca="1">IFERROR(__xludf.DUMMYFUNCTION("GOOGLETRANSLATE(B688,""en"",""de"")"),"Sohn")</f>
        <v>Sohn</v>
      </c>
      <c r="H688" s="2" t="str">
        <f ca="1">IFERROR(__xludf.DUMMYFUNCTION("GOOGLETRANSLATE(B688,""en"",""zh"")"),"儿子")</f>
        <v>儿子</v>
      </c>
      <c r="I688" s="2" t="str">
        <f ca="1">IFERROR(__xludf.DUMMYFUNCTION("GOOGLETRANSLATE(B688,""en"",""gd"")"),"mac")</f>
        <v>mac</v>
      </c>
    </row>
    <row r="689" spans="1:9" ht="14.25" customHeight="1" x14ac:dyDescent="0.3">
      <c r="A689" s="2">
        <v>688</v>
      </c>
      <c r="B689" s="3" t="s">
        <v>696</v>
      </c>
      <c r="C689" s="2" t="str">
        <f ca="1">IFERROR(__xludf.DUMMYFUNCTION("GOOGLETRANSLATE(B689, ""en"",""es"")"),"simple")</f>
        <v>simple</v>
      </c>
      <c r="D689" s="2" t="str">
        <f ca="1">IFERROR(__xludf.DUMMYFUNCTION("GOOGLETRANSLATE(B689,""en"",""ig"")"),"nke enweghiaghugho")</f>
        <v>nke enweghiaghugho</v>
      </c>
      <c r="E689" s="2" t="str">
        <f ca="1">IFERROR(__xludf.DUMMYFUNCTION("GOOGLETRANSLATE(B689,""en"",""fr"")"),"simple")</f>
        <v>simple</v>
      </c>
      <c r="F689" s="2" t="str">
        <f ca="1">IFERROR(__xludf.DUMMYFUNCTION("GOOGLETRANSLATE(B689,""en"",""it"")"),"semplice")</f>
        <v>semplice</v>
      </c>
      <c r="G689" s="2" t="str">
        <f ca="1">IFERROR(__xludf.DUMMYFUNCTION("GOOGLETRANSLATE(B689,""en"",""de"")"),"einfach")</f>
        <v>einfach</v>
      </c>
      <c r="H689" s="2" t="str">
        <f ca="1">IFERROR(__xludf.DUMMYFUNCTION("GOOGLETRANSLATE(B689,""en"",""zh"")"),"简单的")</f>
        <v>简单的</v>
      </c>
      <c r="I689" s="2" t="str">
        <f ca="1">IFERROR(__xludf.DUMMYFUNCTION("GOOGLETRANSLATE(B689,""en"",""gd"")"),"Simple")</f>
        <v>Simple</v>
      </c>
    </row>
    <row r="690" spans="1:9" ht="14.25" customHeight="1" x14ac:dyDescent="0.3">
      <c r="A690" s="2">
        <v>689</v>
      </c>
      <c r="B690" s="3" t="s">
        <v>697</v>
      </c>
      <c r="C690" s="2" t="str">
        <f ca="1">IFERROR(__xludf.DUMMYFUNCTION("GOOGLETRANSLATE(B690, ""en"",""es"")"),"medio")</f>
        <v>medio</v>
      </c>
      <c r="D690" s="2" t="str">
        <f ca="1">IFERROR(__xludf.DUMMYFUNCTION("GOOGLETRANSLATE(B690,""en"",""ig"")"),"keusoro")</f>
        <v>keusoro</v>
      </c>
      <c r="E690" s="2" t="str">
        <f ca="1">IFERROR(__xludf.DUMMYFUNCTION("GOOGLETRANSLATE(B690,""en"",""fr"")"),"moyen")</f>
        <v>moyen</v>
      </c>
      <c r="F690" s="2" t="str">
        <f ca="1">IFERROR(__xludf.DUMMYFUNCTION("GOOGLETRANSLATE(B690,""en"",""it"")"),"medio")</f>
        <v>medio</v>
      </c>
      <c r="G690" s="2" t="str">
        <f ca="1">IFERROR(__xludf.DUMMYFUNCTION("GOOGLETRANSLATE(B690,""en"",""de"")"),"Mittel")</f>
        <v>Mittel</v>
      </c>
      <c r="H690" s="2" t="str">
        <f ca="1">IFERROR(__xludf.DUMMYFUNCTION("GOOGLETRANSLATE(B690,""en"",""zh"")"),"中等的")</f>
        <v>中等的</v>
      </c>
      <c r="I690" s="2" t="str">
        <f ca="1">IFERROR(__xludf.DUMMYFUNCTION("GOOGLETRANSLATE(B690,""en"",""gd"")"),"Meadhanach")</f>
        <v>Meadhanach</v>
      </c>
    </row>
    <row r="691" spans="1:9" ht="14.25" customHeight="1" x14ac:dyDescent="0.3">
      <c r="A691" s="2">
        <v>690</v>
      </c>
      <c r="B691" s="3" t="s">
        <v>698</v>
      </c>
      <c r="C691" s="2" t="str">
        <f ca="1">IFERROR(__xludf.DUMMYFUNCTION("GOOGLETRANSLATE(B691, ""en"",""es"")"),"promedio")</f>
        <v>promedio</v>
      </c>
      <c r="D691" s="2" t="str">
        <f ca="1">IFERROR(__xludf.DUMMYFUNCTION("GOOGLETRANSLATE(B691,""en"",""ig"")"),"agbaetiti")</f>
        <v>agbaetiti</v>
      </c>
      <c r="E691" s="2" t="str">
        <f ca="1">IFERROR(__xludf.DUMMYFUNCTION("GOOGLETRANSLATE(B691,""en"",""fr"")"),"moyenne")</f>
        <v>moyenne</v>
      </c>
      <c r="F691" s="2" t="str">
        <f ca="1">IFERROR(__xludf.DUMMYFUNCTION("GOOGLETRANSLATE(B691,""en"",""it"")"),"media")</f>
        <v>media</v>
      </c>
      <c r="G691" s="2" t="str">
        <f ca="1">IFERROR(__xludf.DUMMYFUNCTION("GOOGLETRANSLATE(B691,""en"",""de"")"),"Durchschnitt")</f>
        <v>Durchschnitt</v>
      </c>
      <c r="H691" s="2" t="str">
        <f ca="1">IFERROR(__xludf.DUMMYFUNCTION("GOOGLETRANSLATE(B691,""en"",""zh"")"),"平均的")</f>
        <v>平均的</v>
      </c>
      <c r="I691" s="2" t="str">
        <f ca="1">IFERROR(__xludf.DUMMYFUNCTION("GOOGLETRANSLATE(B691,""en"",""gd"")"),"cuibheasach")</f>
        <v>cuibheasach</v>
      </c>
    </row>
    <row r="692" spans="1:9" ht="14.25" customHeight="1" x14ac:dyDescent="0.3">
      <c r="A692" s="2">
        <v>691</v>
      </c>
      <c r="B692" s="3" t="s">
        <v>699</v>
      </c>
      <c r="C692" s="2" t="str">
        <f ca="1">IFERROR(__xludf.DUMMYFUNCTION("GOOGLETRANSLATE(B692, ""en"",""es"")"),"existencias")</f>
        <v>existencias</v>
      </c>
      <c r="D692" s="2" t="str">
        <f ca="1">IFERROR(__xludf.DUMMYFUNCTION("GOOGLETRANSLATE(B692,""en"",""ig"")"),"stok")</f>
        <v>stok</v>
      </c>
      <c r="E692" s="2" t="str">
        <f ca="1">IFERROR(__xludf.DUMMYFUNCTION("GOOGLETRANSLATE(B692,""en"",""fr"")"),"action")</f>
        <v>action</v>
      </c>
      <c r="F692" s="2" t="str">
        <f ca="1">IFERROR(__xludf.DUMMYFUNCTION("GOOGLETRANSLATE(B692,""en"",""it"")"),"azione")</f>
        <v>azione</v>
      </c>
      <c r="G692" s="2" t="str">
        <f ca="1">IFERROR(__xludf.DUMMYFUNCTION("GOOGLETRANSLATE(B692,""en"",""de"")"),"Aktie")</f>
        <v>Aktie</v>
      </c>
      <c r="H692" s="2" t="str">
        <f ca="1">IFERROR(__xludf.DUMMYFUNCTION("GOOGLETRANSLATE(B692,""en"",""zh"")"),"库存")</f>
        <v>库存</v>
      </c>
      <c r="I692" s="2" t="str">
        <f ca="1">IFERROR(__xludf.DUMMYFUNCTION("GOOGLETRANSLATE(B692,""en"",""gd"")"),"stoc")</f>
        <v>stoc</v>
      </c>
    </row>
    <row r="693" spans="1:9" ht="14.25" customHeight="1" x14ac:dyDescent="0.3">
      <c r="A693" s="2">
        <v>692</v>
      </c>
      <c r="B693" s="3" t="s">
        <v>700</v>
      </c>
      <c r="C693" s="2" t="str">
        <f ca="1">IFERROR(__xludf.DUMMYFUNCTION("GOOGLETRANSLATE(B693, ""en"",""es"")"),"gestión")</f>
        <v>gestión</v>
      </c>
      <c r="D693" s="2" t="str">
        <f ca="1">IFERROR(__xludf.DUMMYFUNCTION("GOOGLETRANSLATE(B693,""en"",""ig"")"),"maneeji")</f>
        <v>maneeji</v>
      </c>
      <c r="E693" s="2" t="str">
        <f ca="1">IFERROR(__xludf.DUMMYFUNCTION("GOOGLETRANSLATE(B693,""en"",""fr"")"),"gestion")</f>
        <v>gestion</v>
      </c>
      <c r="F693" s="2" t="str">
        <f ca="1">IFERROR(__xludf.DUMMYFUNCTION("GOOGLETRANSLATE(B693,""en"",""it"")"),"gestione")</f>
        <v>gestione</v>
      </c>
      <c r="G693" s="2" t="str">
        <f ca="1">IFERROR(__xludf.DUMMYFUNCTION("GOOGLETRANSLATE(B693,""en"",""de"")"),"Management")</f>
        <v>Management</v>
      </c>
      <c r="H693" s="2" t="str">
        <f ca="1">IFERROR(__xludf.DUMMYFUNCTION("GOOGLETRANSLATE(B693,""en"",""zh"")"),"管理")</f>
        <v>管理</v>
      </c>
      <c r="I693" s="2" t="str">
        <f ca="1">IFERROR(__xludf.DUMMYFUNCTION("GOOGLETRANSLATE(B693,""en"",""gd"")"),"Riaghladh")</f>
        <v>Riaghladh</v>
      </c>
    </row>
    <row r="694" spans="1:9" ht="14.25" customHeight="1" x14ac:dyDescent="0.3">
      <c r="A694" s="2">
        <v>693</v>
      </c>
      <c r="B694" s="3" t="s">
        <v>701</v>
      </c>
      <c r="C694" s="2" t="str">
        <f ca="1">IFERROR(__xludf.DUMMYFUNCTION("GOOGLETRANSLATE(B694, ""en"",""es"")"),"personaje")</f>
        <v>personaje</v>
      </c>
      <c r="D694" s="2" t="str">
        <f ca="1">IFERROR(__xludf.DUMMYFUNCTION("GOOGLETRANSLATE(B694,""en"",""ig"")"),"agwa")</f>
        <v>agwa</v>
      </c>
      <c r="E694" s="2" t="str">
        <f ca="1">IFERROR(__xludf.DUMMYFUNCTION("GOOGLETRANSLATE(B694,""en"",""fr"")"),"personnage")</f>
        <v>personnage</v>
      </c>
      <c r="F694" s="2" t="str">
        <f ca="1">IFERROR(__xludf.DUMMYFUNCTION("GOOGLETRANSLATE(B694,""en"",""it"")"),"carattere")</f>
        <v>carattere</v>
      </c>
      <c r="G694" s="2" t="str">
        <f ca="1">IFERROR(__xludf.DUMMYFUNCTION("GOOGLETRANSLATE(B694,""en"",""de"")"),"Charakter")</f>
        <v>Charakter</v>
      </c>
      <c r="H694" s="2" t="str">
        <f ca="1">IFERROR(__xludf.DUMMYFUNCTION("GOOGLETRANSLATE(B694,""en"",""zh"")"),"特点")</f>
        <v>特点</v>
      </c>
      <c r="I694" s="2" t="str">
        <f ca="1">IFERROR(__xludf.DUMMYFUNCTION("GOOGLETRANSLATE(B694,""en"",""gd"")"),"Caractar")</f>
        <v>Caractar</v>
      </c>
    </row>
    <row r="695" spans="1:9" ht="14.25" customHeight="1" x14ac:dyDescent="0.3">
      <c r="A695" s="2">
        <v>694</v>
      </c>
      <c r="B695" s="3" t="s">
        <v>702</v>
      </c>
      <c r="C695" s="2" t="str">
        <f ca="1">IFERROR(__xludf.DUMMYFUNCTION("GOOGLETRANSLATE(B695, ""en"",""es"")"),"cama")</f>
        <v>cama</v>
      </c>
      <c r="D695" s="2" t="str">
        <f ca="1">IFERROR(__xludf.DUMMYFUNCTION("GOOGLETRANSLATE(B695,""en"",""ig"")"),"akwa")</f>
        <v>akwa</v>
      </c>
      <c r="E695" s="2" t="str">
        <f ca="1">IFERROR(__xludf.DUMMYFUNCTION("GOOGLETRANSLATE(B695,""en"",""fr"")"),"lit")</f>
        <v>lit</v>
      </c>
      <c r="F695" s="2" t="str">
        <f ca="1">IFERROR(__xludf.DUMMYFUNCTION("GOOGLETRANSLATE(B695,""en"",""it"")"),"letto")</f>
        <v>letto</v>
      </c>
      <c r="G695" s="2" t="str">
        <f ca="1">IFERROR(__xludf.DUMMYFUNCTION("GOOGLETRANSLATE(B695,""en"",""de"")"),"Bett")</f>
        <v>Bett</v>
      </c>
      <c r="H695" s="2" t="str">
        <f ca="1">IFERROR(__xludf.DUMMYFUNCTION("GOOGLETRANSLATE(B695,""en"",""zh"")"),"床")</f>
        <v>床</v>
      </c>
      <c r="I695" s="2" t="str">
        <f ca="1">IFERROR(__xludf.DUMMYFUNCTION("GOOGLETRANSLATE(B695,""en"",""gd"")"),"leabaidh")</f>
        <v>leabaidh</v>
      </c>
    </row>
    <row r="696" spans="1:9" ht="14.25" customHeight="1" x14ac:dyDescent="0.3">
      <c r="A696" s="2">
        <v>695</v>
      </c>
      <c r="B696" s="3" t="s">
        <v>703</v>
      </c>
      <c r="C696" s="2" t="str">
        <f ca="1">IFERROR(__xludf.DUMMYFUNCTION("GOOGLETRANSLATE(B696, ""en"",""es"")"),"golpear")</f>
        <v>golpear</v>
      </c>
      <c r="D696" s="2" t="str">
        <f ca="1">IFERROR(__xludf.DUMMYFUNCTION("GOOGLETRANSLATE(B696,""en"",""ig"")"),"iti")</f>
        <v>iti</v>
      </c>
      <c r="E696" s="2" t="str">
        <f ca="1">IFERROR(__xludf.DUMMYFUNCTION("GOOGLETRANSLATE(B696,""en"",""fr"")"),"frapper")</f>
        <v>frapper</v>
      </c>
      <c r="F696" s="2" t="str">
        <f ca="1">IFERROR(__xludf.DUMMYFUNCTION("GOOGLETRANSLATE(B696,""en"",""it"")"),"colpo")</f>
        <v>colpo</v>
      </c>
      <c r="G696" s="2" t="str">
        <f ca="1">IFERROR(__xludf.DUMMYFUNCTION("GOOGLETRANSLATE(B696,""en"",""de"")"),"Schlag")</f>
        <v>Schlag</v>
      </c>
      <c r="H696" s="2" t="str">
        <f ca="1">IFERROR(__xludf.DUMMYFUNCTION("GOOGLETRANSLATE(B696,""en"",""zh"")"),"打")</f>
        <v>打</v>
      </c>
      <c r="I696" s="2" t="str">
        <f ca="1">IFERROR(__xludf.DUMMYFUNCTION("GOOGLETRANSLATE(B696,""en"",""gd"")"),"Buail")</f>
        <v>Buail</v>
      </c>
    </row>
    <row r="697" spans="1:9" ht="14.25" customHeight="1" x14ac:dyDescent="0.3">
      <c r="A697" s="2">
        <v>696</v>
      </c>
      <c r="B697" s="3" t="s">
        <v>704</v>
      </c>
      <c r="C697" s="2" t="str">
        <f ca="1">IFERROR(__xludf.DUMMYFUNCTION("GOOGLETRANSLATE(B697, ""en"",""es"")"),"establecer")</f>
        <v>establecer</v>
      </c>
      <c r="D697" s="2" t="str">
        <f ca="1">IFERROR(__xludf.DUMMYFUNCTION("GOOGLETRANSLATE(B697,""en"",""ig"")"),"igosi")</f>
        <v>igosi</v>
      </c>
      <c r="E697" s="2" t="str">
        <f ca="1">IFERROR(__xludf.DUMMYFUNCTION("GOOGLETRANSLATE(B697,""en"",""fr"")"),"établir")</f>
        <v>établir</v>
      </c>
      <c r="F697" s="2" t="str">
        <f ca="1">IFERROR(__xludf.DUMMYFUNCTION("GOOGLETRANSLATE(B697,""en"",""it"")"),"stabilire")</f>
        <v>stabilire</v>
      </c>
      <c r="G697" s="2" t="str">
        <f ca="1">IFERROR(__xludf.DUMMYFUNCTION("GOOGLETRANSLATE(B697,""en"",""de"")"),"gründen")</f>
        <v>gründen</v>
      </c>
      <c r="H697" s="2" t="str">
        <f ca="1">IFERROR(__xludf.DUMMYFUNCTION("GOOGLETRANSLATE(B697,""en"",""zh"")"),"建立")</f>
        <v>建立</v>
      </c>
      <c r="I697" s="2" t="str">
        <f ca="1">IFERROR(__xludf.DUMMYFUNCTION("GOOGLETRANSLATE(B697,""en"",""gd"")"),"Stèidhich")</f>
        <v>Stèidhich</v>
      </c>
    </row>
    <row r="698" spans="1:9" ht="14.25" customHeight="1" x14ac:dyDescent="0.3">
      <c r="A698" s="2">
        <v>697</v>
      </c>
      <c r="B698" s="3" t="s">
        <v>705</v>
      </c>
      <c r="C698" s="2" t="str">
        <f ca="1">IFERROR(__xludf.DUMMYFUNCTION("GOOGLETRANSLATE(B698, ""en"",""es"")"),"en efecto")</f>
        <v>en efecto</v>
      </c>
      <c r="D698" s="2" t="str">
        <f ca="1">IFERROR(__xludf.DUMMYFUNCTION("GOOGLETRANSLATE(B698,""en"",""ig"")"),"eziokwu")</f>
        <v>eziokwu</v>
      </c>
      <c r="E698" s="2" t="str">
        <f ca="1">IFERROR(__xludf.DUMMYFUNCTION("GOOGLETRANSLATE(B698,""en"",""fr"")"),"en effet")</f>
        <v>en effet</v>
      </c>
      <c r="F698" s="2" t="str">
        <f ca="1">IFERROR(__xludf.DUMMYFUNCTION("GOOGLETRANSLATE(B698,""en"",""it"")"),"Infatti")</f>
        <v>Infatti</v>
      </c>
      <c r="G698" s="2" t="str">
        <f ca="1">IFERROR(__xludf.DUMMYFUNCTION("GOOGLETRANSLATE(B698,""en"",""de"")"),"In der Tat")</f>
        <v>In der Tat</v>
      </c>
      <c r="H698" s="2" t="str">
        <f ca="1">IFERROR(__xludf.DUMMYFUNCTION("GOOGLETRANSLATE(B698,""en"",""zh"")"),"的确")</f>
        <v>的确</v>
      </c>
      <c r="I698" s="2" t="str">
        <f ca="1">IFERROR(__xludf.DUMMYFUNCTION("GOOGLETRANSLATE(B698,""en"",""gd"")"),"gu dearbh")</f>
        <v>gu dearbh</v>
      </c>
    </row>
    <row r="699" spans="1:9" ht="14.25" customHeight="1" x14ac:dyDescent="0.3">
      <c r="A699" s="2">
        <v>698</v>
      </c>
      <c r="B699" s="3" t="s">
        <v>706</v>
      </c>
      <c r="C699" s="2" t="str">
        <f ca="1">IFERROR(__xludf.DUMMYFUNCTION("GOOGLETRANSLATE(B699, ""en"",""es"")"),"final")</f>
        <v>final</v>
      </c>
      <c r="D699" s="2" t="str">
        <f ca="1">IFERROR(__xludf.DUMMYFUNCTION("GOOGLETRANSLATE(B699,""en"",""ig"")"),"nke ikpeazu")</f>
        <v>nke ikpeazu</v>
      </c>
      <c r="E699" s="2" t="str">
        <f ca="1">IFERROR(__xludf.DUMMYFUNCTION("GOOGLETRANSLATE(B699,""en"",""fr"")"),"final")</f>
        <v>final</v>
      </c>
      <c r="F699" s="2" t="str">
        <f ca="1">IFERROR(__xludf.DUMMYFUNCTION("GOOGLETRANSLATE(B699,""en"",""it"")"),"finale")</f>
        <v>finale</v>
      </c>
      <c r="G699" s="2" t="str">
        <f ca="1">IFERROR(__xludf.DUMMYFUNCTION("GOOGLETRANSLATE(B699,""en"",""de"")"),"Finale")</f>
        <v>Finale</v>
      </c>
      <c r="H699" s="2" t="str">
        <f ca="1">IFERROR(__xludf.DUMMYFUNCTION("GOOGLETRANSLATE(B699,""en"",""zh"")"),"最终的")</f>
        <v>最终的</v>
      </c>
      <c r="I699" s="2" t="str">
        <f ca="1">IFERROR(__xludf.DUMMYFUNCTION("GOOGLETRANSLATE(B699,""en"",""gd"")"),"Deireannach")</f>
        <v>Deireannach</v>
      </c>
    </row>
    <row r="700" spans="1:9" ht="14.25" customHeight="1" x14ac:dyDescent="0.3">
      <c r="A700" s="2">
        <v>699</v>
      </c>
      <c r="B700" s="3" t="s">
        <v>707</v>
      </c>
      <c r="C700" s="2" t="str">
        <f ca="1">IFERROR(__xludf.DUMMYFUNCTION("GOOGLETRANSLATE(B700, ""en"",""es"")"),"economía")</f>
        <v>economía</v>
      </c>
      <c r="D700" s="2" t="str">
        <f ca="1">IFERROR(__xludf.DUMMYFUNCTION("GOOGLETRANSLATE(B700,""en"",""ig"")"),"aku")</f>
        <v>aku</v>
      </c>
      <c r="E700" s="2" t="str">
        <f ca="1">IFERROR(__xludf.DUMMYFUNCTION("GOOGLETRANSLATE(B700,""en"",""fr"")"),"économie")</f>
        <v>économie</v>
      </c>
      <c r="F700" s="2" t="str">
        <f ca="1">IFERROR(__xludf.DUMMYFUNCTION("GOOGLETRANSLATE(B700,""en"",""it"")"),"economia")</f>
        <v>economia</v>
      </c>
      <c r="G700" s="2" t="str">
        <f ca="1">IFERROR(__xludf.DUMMYFUNCTION("GOOGLETRANSLATE(B700,""en"",""de"")"),"Wirtschaft")</f>
        <v>Wirtschaft</v>
      </c>
      <c r="H700" s="2" t="str">
        <f ca="1">IFERROR(__xludf.DUMMYFUNCTION("GOOGLETRANSLATE(B700,""en"",""zh"")"),"经济")</f>
        <v>经济</v>
      </c>
      <c r="I700" s="2" t="str">
        <f ca="1">IFERROR(__xludf.DUMMYFUNCTION("GOOGLETRANSLATE(B700,""en"",""gd"")"),"Eaconamaidh")</f>
        <v>Eaconamaidh</v>
      </c>
    </row>
    <row r="701" spans="1:9" ht="14.25" customHeight="1" x14ac:dyDescent="0.3">
      <c r="A701" s="2">
        <v>700</v>
      </c>
      <c r="B701" s="3" t="s">
        <v>708</v>
      </c>
      <c r="C701" s="2" t="str">
        <f ca="1">IFERROR(__xludf.DUMMYFUNCTION("GOOGLETRANSLATE(B701, ""en"",""es"")"),"adaptar")</f>
        <v>adaptar</v>
      </c>
      <c r="D701" s="2" t="str">
        <f ca="1">IFERROR(__xludf.DUMMYFUNCTION("GOOGLETRANSLATE(B701,""en"",""ig"")"),"ima mma")</f>
        <v>ima mma</v>
      </c>
      <c r="E701" s="2" t="str">
        <f ca="1">IFERROR(__xludf.DUMMYFUNCTION("GOOGLETRANSLATE(B701,""en"",""fr"")"),"ajuster")</f>
        <v>ajuster</v>
      </c>
      <c r="F701" s="2" t="str">
        <f ca="1">IFERROR(__xludf.DUMMYFUNCTION("GOOGLETRANSLATE(B701,""en"",""it"")"),"adatto")</f>
        <v>adatto</v>
      </c>
      <c r="G701" s="2" t="str">
        <f ca="1">IFERROR(__xludf.DUMMYFUNCTION("GOOGLETRANSLATE(B701,""en"",""de"")"),"fit")</f>
        <v>fit</v>
      </c>
      <c r="H701" s="2" t="str">
        <f ca="1">IFERROR(__xludf.DUMMYFUNCTION("GOOGLETRANSLATE(B701,""en"",""zh"")"),"合身")</f>
        <v>合身</v>
      </c>
      <c r="I701" s="2" t="str">
        <f ca="1">IFERROR(__xludf.DUMMYFUNCTION("GOOGLETRANSLATE(B701,""en"",""gd"")"),"iomchaidh")</f>
        <v>iomchaidh</v>
      </c>
    </row>
    <row r="702" spans="1:9" ht="14.25" customHeight="1" x14ac:dyDescent="0.3">
      <c r="A702" s="2">
        <v>701</v>
      </c>
      <c r="B702" s="3" t="s">
        <v>709</v>
      </c>
      <c r="C702" s="2" t="str">
        <f ca="1">IFERROR(__xludf.DUMMYFUNCTION("GOOGLETRANSLATE(B702, ""en"",""es"")"),"chico")</f>
        <v>chico</v>
      </c>
      <c r="D702" s="2" t="str">
        <f ca="1">IFERROR(__xludf.DUMMYFUNCTION("GOOGLETRANSLATE(B702,""en"",""ig"")"),"ndi mmadu")</f>
        <v>ndi mmadu</v>
      </c>
      <c r="E702" s="2" t="str">
        <f ca="1">IFERROR(__xludf.DUMMYFUNCTION("GOOGLETRANSLATE(B702,""en"",""fr"")"),"gars")</f>
        <v>gars</v>
      </c>
      <c r="F702" s="2" t="str">
        <f ca="1">IFERROR(__xludf.DUMMYFUNCTION("GOOGLETRANSLATE(B702,""en"",""it"")"),"tipo")</f>
        <v>tipo</v>
      </c>
      <c r="G702" s="2" t="str">
        <f ca="1">IFERROR(__xludf.DUMMYFUNCTION("GOOGLETRANSLATE(B702,""en"",""de"")"),"Kerl")</f>
        <v>Kerl</v>
      </c>
      <c r="H702" s="2" t="str">
        <f ca="1">IFERROR(__xludf.DUMMYFUNCTION("GOOGLETRANSLATE(B702,""en"",""zh"")"),"伙计")</f>
        <v>伙计</v>
      </c>
      <c r="I702" s="2" t="str">
        <f ca="1">IFERROR(__xludf.DUMMYFUNCTION("GOOGLETRANSLATE(B702,""en"",""gd"")"),"Guy")</f>
        <v>Guy</v>
      </c>
    </row>
    <row r="703" spans="1:9" ht="14.25" customHeight="1" x14ac:dyDescent="0.3">
      <c r="A703" s="2">
        <v>702</v>
      </c>
      <c r="B703" s="3" t="s">
        <v>710</v>
      </c>
      <c r="C703" s="2" t="str">
        <f ca="1">IFERROR(__xludf.DUMMYFUNCTION("GOOGLETRANSLATE(B703, ""en"",""es"")"),"función")</f>
        <v>función</v>
      </c>
      <c r="D703" s="2" t="str">
        <f ca="1">IFERROR(__xludf.DUMMYFUNCTION("GOOGLETRANSLATE(B703,""en"",""ig"")"),"oru oruru")</f>
        <v>oru oruru</v>
      </c>
      <c r="E703" s="2" t="str">
        <f ca="1">IFERROR(__xludf.DUMMYFUNCTION("GOOGLETRANSLATE(B703,""en"",""fr"")"),"fonction")</f>
        <v>fonction</v>
      </c>
      <c r="F703" s="2" t="str">
        <f ca="1">IFERROR(__xludf.DUMMYFUNCTION("GOOGLETRANSLATE(B703,""en"",""it"")"),"funzione")</f>
        <v>funzione</v>
      </c>
      <c r="G703" s="2" t="str">
        <f ca="1">IFERROR(__xludf.DUMMYFUNCTION("GOOGLETRANSLATE(B703,""en"",""de"")"),"Funktion")</f>
        <v>Funktion</v>
      </c>
      <c r="H703" s="2" t="str">
        <f ca="1">IFERROR(__xludf.DUMMYFUNCTION("GOOGLETRANSLATE(B703,""en"",""zh"")"),"功能")</f>
        <v>功能</v>
      </c>
      <c r="I703" s="2" t="str">
        <f ca="1">IFERROR(__xludf.DUMMYFUNCTION("GOOGLETRANSLATE(B703,""en"",""gd"")"),"gnìomh")</f>
        <v>gnìomh</v>
      </c>
    </row>
    <row r="704" spans="1:9" ht="14.25" customHeight="1" x14ac:dyDescent="0.3">
      <c r="A704" s="2">
        <v>703</v>
      </c>
      <c r="B704" s="3" t="s">
        <v>711</v>
      </c>
      <c r="C704" s="2" t="str">
        <f ca="1">IFERROR(__xludf.DUMMYFUNCTION("GOOGLETRANSLATE(B704, ""en"",""es"")"),"ayer")</f>
        <v>ayer</v>
      </c>
      <c r="D704" s="2" t="str">
        <f ca="1">IFERROR(__xludf.DUMMYFUNCTION("GOOGLETRANSLATE(B704,""en"",""ig"")"),"unyahu")</f>
        <v>unyahu</v>
      </c>
      <c r="E704" s="2" t="str">
        <f ca="1">IFERROR(__xludf.DUMMYFUNCTION("GOOGLETRANSLATE(B704,""en"",""fr"")"),"hier")</f>
        <v>hier</v>
      </c>
      <c r="F704" s="2" t="str">
        <f ca="1">IFERROR(__xludf.DUMMYFUNCTION("GOOGLETRANSLATE(B704,""en"",""it"")"),"Ieri")</f>
        <v>Ieri</v>
      </c>
      <c r="G704" s="2" t="str">
        <f ca="1">IFERROR(__xludf.DUMMYFUNCTION("GOOGLETRANSLATE(B704,""en"",""de"")"),"gestern")</f>
        <v>gestern</v>
      </c>
      <c r="H704" s="2" t="str">
        <f ca="1">IFERROR(__xludf.DUMMYFUNCTION("GOOGLETRANSLATE(B704,""en"",""zh"")"),"昨天")</f>
        <v>昨天</v>
      </c>
      <c r="I704" s="2" t="str">
        <f ca="1">IFERROR(__xludf.DUMMYFUNCTION("GOOGLETRANSLATE(B704,""en"",""gd"")"),"an-dè")</f>
        <v>an-dè</v>
      </c>
    </row>
    <row r="705" spans="1:9" ht="14.25" customHeight="1" x14ac:dyDescent="0.3">
      <c r="A705" s="2">
        <v>704</v>
      </c>
      <c r="B705" s="3" t="s">
        <v>712</v>
      </c>
      <c r="C705" s="2" t="str">
        <f ca="1">IFERROR(__xludf.DUMMYFUNCTION("GOOGLETRANSLATE(B705, ""en"",""es"")"),"imagen")</f>
        <v>imagen</v>
      </c>
      <c r="D705" s="2" t="str">
        <f ca="1">IFERROR(__xludf.DUMMYFUNCTION("GOOGLETRANSLATE(B705,""en"",""ig"")"),"oyiyi")</f>
        <v>oyiyi</v>
      </c>
      <c r="E705" s="2" t="str">
        <f ca="1">IFERROR(__xludf.DUMMYFUNCTION("GOOGLETRANSLATE(B705,""en"",""fr"")"),"image")</f>
        <v>image</v>
      </c>
      <c r="F705" s="2" t="str">
        <f ca="1">IFERROR(__xludf.DUMMYFUNCTION("GOOGLETRANSLATE(B705,""en"",""it"")"),"Immagine")</f>
        <v>Immagine</v>
      </c>
      <c r="G705" s="2" t="str">
        <f ca="1">IFERROR(__xludf.DUMMYFUNCTION("GOOGLETRANSLATE(B705,""en"",""de"")"),"Bild")</f>
        <v>Bild</v>
      </c>
      <c r="H705" s="2" t="str">
        <f ca="1">IFERROR(__xludf.DUMMYFUNCTION("GOOGLETRANSLATE(B705,""en"",""zh"")"),"图像")</f>
        <v>图像</v>
      </c>
      <c r="I705" s="2" t="str">
        <f ca="1">IFERROR(__xludf.DUMMYFUNCTION("GOOGLETRANSLATE(B705,""en"",""gd"")"),"Ìomhaigh")</f>
        <v>Ìomhaigh</v>
      </c>
    </row>
    <row r="706" spans="1:9" ht="14.25" customHeight="1" x14ac:dyDescent="0.3">
      <c r="A706" s="2">
        <v>705</v>
      </c>
      <c r="B706" s="3" t="s">
        <v>713</v>
      </c>
      <c r="C706" s="2" t="str">
        <f ca="1">IFERROR(__xludf.DUMMYFUNCTION("GOOGLETRANSLATE(B706, ""en"",""es"")"),"tamaño")</f>
        <v>tamaño</v>
      </c>
      <c r="D706" s="2" t="str">
        <f ca="1">IFERROR(__xludf.DUMMYFUNCTION("GOOGLETRANSLATE(B706,""en"",""ig"")"),"saiz")</f>
        <v>saiz</v>
      </c>
      <c r="E706" s="2" t="str">
        <f ca="1">IFERROR(__xludf.DUMMYFUNCTION("GOOGLETRANSLATE(B706,""en"",""fr"")"),"taille")</f>
        <v>taille</v>
      </c>
      <c r="F706" s="2" t="str">
        <f ca="1">IFERROR(__xludf.DUMMYFUNCTION("GOOGLETRANSLATE(B706,""en"",""it"")"),"misurare")</f>
        <v>misurare</v>
      </c>
      <c r="G706" s="2" t="str">
        <f ca="1">IFERROR(__xludf.DUMMYFUNCTION("GOOGLETRANSLATE(B706,""en"",""de"")"),"Größe")</f>
        <v>Größe</v>
      </c>
      <c r="H706" s="2" t="str">
        <f ca="1">IFERROR(__xludf.DUMMYFUNCTION("GOOGLETRANSLATE(B706,""en"",""zh"")"),"尺寸")</f>
        <v>尺寸</v>
      </c>
      <c r="I706" s="2" t="str">
        <f ca="1">IFERROR(__xludf.DUMMYFUNCTION("GOOGLETRANSLATE(B706,""en"",""gd"")"),"Meud")</f>
        <v>Meud</v>
      </c>
    </row>
    <row r="707" spans="1:9" ht="14.25" customHeight="1" x14ac:dyDescent="0.3">
      <c r="A707" s="2">
        <v>706</v>
      </c>
      <c r="B707" s="3" t="s">
        <v>714</v>
      </c>
      <c r="C707" s="2" t="str">
        <f ca="1">IFERROR(__xludf.DUMMYFUNCTION("GOOGLETRANSLATE(B707, ""en"",""es"")"),"comportamiento")</f>
        <v>comportamiento</v>
      </c>
      <c r="D707" s="2" t="str">
        <f ca="1">IFERROR(__xludf.DUMMYFUNCTION("GOOGLETRANSLATE(B707,""en"",""ig"")"),"agwa")</f>
        <v>agwa</v>
      </c>
      <c r="E707" s="2" t="str">
        <f ca="1">IFERROR(__xludf.DUMMYFUNCTION("GOOGLETRANSLATE(B707,""en"",""fr"")"),"comportement")</f>
        <v>comportement</v>
      </c>
      <c r="F707" s="2" t="str">
        <f ca="1">IFERROR(__xludf.DUMMYFUNCTION("GOOGLETRANSLATE(B707,""en"",""it"")"),"comportamento")</f>
        <v>comportamento</v>
      </c>
      <c r="G707" s="2" t="str">
        <f ca="1">IFERROR(__xludf.DUMMYFUNCTION("GOOGLETRANSLATE(B707,""en"",""de"")"),"Verhalten")</f>
        <v>Verhalten</v>
      </c>
      <c r="H707" s="2" t="str">
        <f ca="1">IFERROR(__xludf.DUMMYFUNCTION("GOOGLETRANSLATE(B707,""en"",""zh"")"),"行为")</f>
        <v>行为</v>
      </c>
      <c r="I707" s="2" t="str">
        <f ca="1">IFERROR(__xludf.DUMMYFUNCTION("GOOGLETRANSLATE(B707,""en"",""gd"")"),"giùlan")</f>
        <v>giùlan</v>
      </c>
    </row>
    <row r="708" spans="1:9" ht="14.25" customHeight="1" x14ac:dyDescent="0.3">
      <c r="A708" s="2">
        <v>707</v>
      </c>
      <c r="B708" s="3" t="s">
        <v>715</v>
      </c>
      <c r="C708" s="2" t="str">
        <f ca="1">IFERROR(__xludf.DUMMYFUNCTION("GOOGLETRANSLATE(B708, ""en"",""es"")"),"suma")</f>
        <v>suma</v>
      </c>
      <c r="D708" s="2" t="str">
        <f ca="1">IFERROR(__xludf.DUMMYFUNCTION("GOOGLETRANSLATE(B708,""en"",""ig"")"),"mgbako")</f>
        <v>mgbako</v>
      </c>
      <c r="E708" s="2" t="str">
        <f ca="1">IFERROR(__xludf.DUMMYFUNCTION("GOOGLETRANSLATE(B708,""en"",""fr"")"),"ajout")</f>
        <v>ajout</v>
      </c>
      <c r="F708" s="2" t="str">
        <f ca="1">IFERROR(__xludf.DUMMYFUNCTION("GOOGLETRANSLATE(B708,""en"",""it"")"),"aggiunta")</f>
        <v>aggiunta</v>
      </c>
      <c r="G708" s="2" t="str">
        <f ca="1">IFERROR(__xludf.DUMMYFUNCTION("GOOGLETRANSLATE(B708,""en"",""de"")"),"Zusatz")</f>
        <v>Zusatz</v>
      </c>
      <c r="H708" s="2" t="str">
        <f ca="1">IFERROR(__xludf.DUMMYFUNCTION("GOOGLETRANSLATE(B708,""en"",""zh"")"),"添加")</f>
        <v>添加</v>
      </c>
      <c r="I708" s="2" t="str">
        <f ca="1">IFERROR(__xludf.DUMMYFUNCTION("GOOGLETRANSLATE(B708,""en"",""gd"")"),"Cur ris")</f>
        <v>Cur ris</v>
      </c>
    </row>
    <row r="709" spans="1:9" ht="14.25" customHeight="1" x14ac:dyDescent="0.3">
      <c r="A709" s="2">
        <v>708</v>
      </c>
      <c r="B709" s="3" t="s">
        <v>716</v>
      </c>
      <c r="C709" s="2" t="str">
        <f ca="1">IFERROR(__xludf.DUMMYFUNCTION("GOOGLETRANSLATE(B709, ""en"",""es"")"),"determinar")</f>
        <v>determinar</v>
      </c>
      <c r="D709" s="2" t="str">
        <f ca="1">IFERROR(__xludf.DUMMYFUNCTION("GOOGLETRANSLATE(B709,""en"",""ig"")"),"igba mbo")</f>
        <v>igba mbo</v>
      </c>
      <c r="E709" s="2" t="str">
        <f ca="1">IFERROR(__xludf.DUMMYFUNCTION("GOOGLETRANSLATE(B709,""en"",""fr"")"),"déterminer")</f>
        <v>déterminer</v>
      </c>
      <c r="F709" s="2" t="str">
        <f ca="1">IFERROR(__xludf.DUMMYFUNCTION("GOOGLETRANSLATE(B709,""en"",""it"")"),"determinare")</f>
        <v>determinare</v>
      </c>
      <c r="G709" s="2" t="str">
        <f ca="1">IFERROR(__xludf.DUMMYFUNCTION("GOOGLETRANSLATE(B709,""en"",""de"")"),"bestimmen")</f>
        <v>bestimmen</v>
      </c>
      <c r="H709" s="2" t="str">
        <f ca="1">IFERROR(__xludf.DUMMYFUNCTION("GOOGLETRANSLATE(B709,""en"",""zh"")"),"决定")</f>
        <v>决定</v>
      </c>
      <c r="I709" s="2" t="str">
        <f ca="1">IFERROR(__xludf.DUMMYFUNCTION("GOOGLETRANSLATE(B709,""en"",""gd"")"),"co-dhùnadh")</f>
        <v>co-dhùnadh</v>
      </c>
    </row>
    <row r="710" spans="1:9" ht="14.25" customHeight="1" x14ac:dyDescent="0.3">
      <c r="A710" s="2">
        <v>709</v>
      </c>
      <c r="B710" s="3" t="s">
        <v>717</v>
      </c>
      <c r="C710" s="2" t="str">
        <f ca="1">IFERROR(__xludf.DUMMYFUNCTION("GOOGLETRANSLATE(B710, ""en"",""es"")"),"estación")</f>
        <v>estación</v>
      </c>
      <c r="D710" s="2" t="str">
        <f ca="1">IFERROR(__xludf.DUMMYFUNCTION("GOOGLETRANSLATE(B710,""en"",""ig"")"),"ebe ugboigwe na-ano")</f>
        <v>ebe ugboigwe na-ano</v>
      </c>
      <c r="E710" s="2" t="str">
        <f ca="1">IFERROR(__xludf.DUMMYFUNCTION("GOOGLETRANSLATE(B710,""en"",""fr"")"),"gare")</f>
        <v>gare</v>
      </c>
      <c r="F710" s="2" t="str">
        <f ca="1">IFERROR(__xludf.DUMMYFUNCTION("GOOGLETRANSLATE(B710,""en"",""it"")"),"stazione")</f>
        <v>stazione</v>
      </c>
      <c r="G710" s="2" t="str">
        <f ca="1">IFERROR(__xludf.DUMMYFUNCTION("GOOGLETRANSLATE(B710,""en"",""de"")"),"Bahnhof")</f>
        <v>Bahnhof</v>
      </c>
      <c r="H710" s="2" t="str">
        <f ca="1">IFERROR(__xludf.DUMMYFUNCTION("GOOGLETRANSLATE(B710,""en"",""zh"")"),"车站")</f>
        <v>车站</v>
      </c>
      <c r="I710" s="2" t="str">
        <f ca="1">IFERROR(__xludf.DUMMYFUNCTION("GOOGLETRANSLATE(B710,""en"",""gd"")"),"Stèisean")</f>
        <v>Stèisean</v>
      </c>
    </row>
    <row r="711" spans="1:9" ht="14.25" customHeight="1" x14ac:dyDescent="0.3">
      <c r="A711" s="2">
        <v>710</v>
      </c>
      <c r="B711" s="3" t="s">
        <v>718</v>
      </c>
      <c r="C711" s="2" t="str">
        <f ca="1">IFERROR(__xludf.DUMMYFUNCTION("GOOGLETRANSLATE(B711, ""en"",""es"")"),"población")</f>
        <v>población</v>
      </c>
      <c r="D711" s="2" t="str">
        <f ca="1">IFERROR(__xludf.DUMMYFUNCTION("GOOGLETRANSLATE(B711,""en"",""ig"")"),"nguputa mmadu")</f>
        <v>nguputa mmadu</v>
      </c>
      <c r="E711" s="2" t="str">
        <f ca="1">IFERROR(__xludf.DUMMYFUNCTION("GOOGLETRANSLATE(B711,""en"",""fr"")"),"population")</f>
        <v>population</v>
      </c>
      <c r="F711" s="2" t="str">
        <f ca="1">IFERROR(__xludf.DUMMYFUNCTION("GOOGLETRANSLATE(B711,""en"",""it"")"),"popolazione")</f>
        <v>popolazione</v>
      </c>
      <c r="G711" s="2" t="str">
        <f ca="1">IFERROR(__xludf.DUMMYFUNCTION("GOOGLETRANSLATE(B711,""en"",""de"")"),"Bevölkerung")</f>
        <v>Bevölkerung</v>
      </c>
      <c r="H711" s="2" t="str">
        <f ca="1">IFERROR(__xludf.DUMMYFUNCTION("GOOGLETRANSLATE(B711,""en"",""zh"")"),"人口")</f>
        <v>人口</v>
      </c>
      <c r="I711" s="2" t="str">
        <f ca="1">IFERROR(__xludf.DUMMYFUNCTION("GOOGLETRANSLATE(B711,""en"",""gd"")"),"Àireamh-sluaigh")</f>
        <v>Àireamh-sluaigh</v>
      </c>
    </row>
    <row r="712" spans="1:9" ht="14.25" customHeight="1" x14ac:dyDescent="0.3">
      <c r="A712" s="2">
        <v>711</v>
      </c>
      <c r="B712" s="3" t="s">
        <v>719</v>
      </c>
      <c r="C712" s="2" t="str">
        <f ca="1">IFERROR(__xludf.DUMMYFUNCTION("GOOGLETRANSLATE(B712, ""en"",""es"")"),"fallar")</f>
        <v>fallar</v>
      </c>
      <c r="D712" s="2" t="str">
        <f ca="1">IFERROR(__xludf.DUMMYFUNCTION("GOOGLETRANSLATE(B712,""en"",""ig"")"),"ida")</f>
        <v>ida</v>
      </c>
      <c r="E712" s="2" t="str">
        <f ca="1">IFERROR(__xludf.DUMMYFUNCTION("GOOGLETRANSLATE(B712,""en"",""fr"")"),"échouer")</f>
        <v>échouer</v>
      </c>
      <c r="F712" s="2" t="str">
        <f ca="1">IFERROR(__xludf.DUMMYFUNCTION("GOOGLETRANSLATE(B712,""en"",""it"")"),"fallire")</f>
        <v>fallire</v>
      </c>
      <c r="G712" s="2" t="str">
        <f ca="1">IFERROR(__xludf.DUMMYFUNCTION("GOOGLETRANSLATE(B712,""en"",""de"")"),"scheitern")</f>
        <v>scheitern</v>
      </c>
      <c r="H712" s="2" t="str">
        <f ca="1">IFERROR(__xludf.DUMMYFUNCTION("GOOGLETRANSLATE(B712,""en"",""zh"")"),"失败")</f>
        <v>失败</v>
      </c>
      <c r="I712" s="2" t="str">
        <f ca="1">IFERROR(__xludf.DUMMYFUNCTION("GOOGLETRANSLATE(B712,""en"",""gd"")"),"fàilligeadh")</f>
        <v>fàilligeadh</v>
      </c>
    </row>
    <row r="713" spans="1:9" ht="14.25" customHeight="1" x14ac:dyDescent="0.3">
      <c r="A713" s="2">
        <v>712</v>
      </c>
      <c r="B713" s="3" t="s">
        <v>720</v>
      </c>
      <c r="C713" s="2" t="str">
        <f ca="1">IFERROR(__xludf.DUMMYFUNCTION("GOOGLETRANSLATE(B713, ""en"",""es"")"),"ambiente")</f>
        <v>ambiente</v>
      </c>
      <c r="D713" s="2" t="str">
        <f ca="1">IFERROR(__xludf.DUMMYFUNCTION("GOOGLETRANSLATE(B713,""en"",""ig"")"),"agbata")</f>
        <v>agbata</v>
      </c>
      <c r="E713" s="2" t="str">
        <f ca="1">IFERROR(__xludf.DUMMYFUNCTION("GOOGLETRANSLATE(B713,""en"",""fr"")"),"environnement")</f>
        <v>environnement</v>
      </c>
      <c r="F713" s="2" t="str">
        <f ca="1">IFERROR(__xludf.DUMMYFUNCTION("GOOGLETRANSLATE(B713,""en"",""it"")"),"ambiente")</f>
        <v>ambiente</v>
      </c>
      <c r="G713" s="2" t="str">
        <f ca="1">IFERROR(__xludf.DUMMYFUNCTION("GOOGLETRANSLATE(B713,""en"",""de"")"),"Umfeld")</f>
        <v>Umfeld</v>
      </c>
      <c r="H713" s="2" t="str">
        <f ca="1">IFERROR(__xludf.DUMMYFUNCTION("GOOGLETRANSLATE(B713,""en"",""zh"")"),"环境")</f>
        <v>环境</v>
      </c>
      <c r="I713" s="2" t="str">
        <f ca="1">IFERROR(__xludf.DUMMYFUNCTION("GOOGLETRANSLATE(B713,""en"",""gd"")"),"Àrainneachd")</f>
        <v>Àrainneachd</v>
      </c>
    </row>
    <row r="714" spans="1:9" ht="14.25" customHeight="1" x14ac:dyDescent="0.3">
      <c r="A714" s="2">
        <v>713</v>
      </c>
      <c r="B714" s="3" t="s">
        <v>721</v>
      </c>
      <c r="C714" s="2" t="str">
        <f ca="1">IFERROR(__xludf.DUMMYFUNCTION("GOOGLETRANSLATE(B714, ""en"",""es"")"),"producción")</f>
        <v>producción</v>
      </c>
      <c r="D714" s="2" t="str">
        <f ca="1">IFERROR(__xludf.DUMMYFUNCTION("GOOGLETRANSLATE(B714,""en"",""ig"")"),"ihe mmeputa")</f>
        <v>ihe mmeputa</v>
      </c>
      <c r="E714" s="2" t="str">
        <f ca="1">IFERROR(__xludf.DUMMYFUNCTION("GOOGLETRANSLATE(B714,""en"",""fr"")"),"production")</f>
        <v>production</v>
      </c>
      <c r="F714" s="2" t="str">
        <f ca="1">IFERROR(__xludf.DUMMYFUNCTION("GOOGLETRANSLATE(B714,""en"",""it"")"),"produzione")</f>
        <v>produzione</v>
      </c>
      <c r="G714" s="2" t="str">
        <f ca="1">IFERROR(__xludf.DUMMYFUNCTION("GOOGLETRANSLATE(B714,""en"",""de"")"),"Produktion")</f>
        <v>Produktion</v>
      </c>
      <c r="H714" s="2" t="str">
        <f ca="1">IFERROR(__xludf.DUMMYFUNCTION("GOOGLETRANSLATE(B714,""en"",""zh"")"),"生产")</f>
        <v>生产</v>
      </c>
      <c r="I714" s="2" t="str">
        <f ca="1">IFERROR(__xludf.DUMMYFUNCTION("GOOGLETRANSLATE(B714,""en"",""gd"")"),"Riochdachadh")</f>
        <v>Riochdachadh</v>
      </c>
    </row>
    <row r="715" spans="1:9" ht="14.25" customHeight="1" x14ac:dyDescent="0.3">
      <c r="A715" s="2">
        <v>714</v>
      </c>
      <c r="B715" s="3" t="s">
        <v>722</v>
      </c>
      <c r="C715" s="2" t="str">
        <f ca="1">IFERROR(__xludf.DUMMYFUNCTION("GOOGLETRANSLATE(B715, ""en"",""es"")"),"contrato")</f>
        <v>contrato</v>
      </c>
      <c r="D715" s="2" t="str">
        <f ca="1">IFERROR(__xludf.DUMMYFUNCTION("GOOGLETRANSLATE(B715,""en"",""ig"")"),"nsuko")</f>
        <v>nsuko</v>
      </c>
      <c r="E715" s="2" t="str">
        <f ca="1">IFERROR(__xludf.DUMMYFUNCTION("GOOGLETRANSLATE(B715,""en"",""fr"")"),"contracter")</f>
        <v>contracter</v>
      </c>
      <c r="F715" s="2" t="str">
        <f ca="1">IFERROR(__xludf.DUMMYFUNCTION("GOOGLETRANSLATE(B715,""en"",""it"")"),"contrarre")</f>
        <v>contrarre</v>
      </c>
      <c r="G715" s="2" t="str">
        <f ca="1">IFERROR(__xludf.DUMMYFUNCTION("GOOGLETRANSLATE(B715,""en"",""de"")"),"Vertrag")</f>
        <v>Vertrag</v>
      </c>
      <c r="H715" s="2" t="str">
        <f ca="1">IFERROR(__xludf.DUMMYFUNCTION("GOOGLETRANSLATE(B715,""en"",""zh"")"),"合同")</f>
        <v>合同</v>
      </c>
      <c r="I715" s="2" t="str">
        <f ca="1">IFERROR(__xludf.DUMMYFUNCTION("GOOGLETRANSLATE(B715,""en"",""gd"")"),"Cùmhnant")</f>
        <v>Cùmhnant</v>
      </c>
    </row>
    <row r="716" spans="1:9" ht="14.25" customHeight="1" x14ac:dyDescent="0.3">
      <c r="A716" s="2">
        <v>715</v>
      </c>
      <c r="B716" s="3" t="s">
        <v>723</v>
      </c>
      <c r="C716" s="2" t="str">
        <f ca="1">IFERROR(__xludf.DUMMYFUNCTION("GOOGLETRANSLATE(B716, ""en"",""es"")"),"jugador")</f>
        <v>jugador</v>
      </c>
      <c r="D716" s="2" t="str">
        <f ca="1">IFERROR(__xludf.DUMMYFUNCTION("GOOGLETRANSLATE(B716,""en"",""ig"")"),"onye ejije nwoke")</f>
        <v>onye ejije nwoke</v>
      </c>
      <c r="E716" s="2" t="str">
        <f ca="1">IFERROR(__xludf.DUMMYFUNCTION("GOOGLETRANSLATE(B716,""en"",""fr"")"),"joueur")</f>
        <v>joueur</v>
      </c>
      <c r="F716" s="2" t="str">
        <f ca="1">IFERROR(__xludf.DUMMYFUNCTION("GOOGLETRANSLATE(B716,""en"",""it"")"),"giocatore")</f>
        <v>giocatore</v>
      </c>
      <c r="G716" s="2" t="str">
        <f ca="1">IFERROR(__xludf.DUMMYFUNCTION("GOOGLETRANSLATE(B716,""en"",""de"")"),"Spieler")</f>
        <v>Spieler</v>
      </c>
      <c r="H716" s="2" t="str">
        <f ca="1">IFERROR(__xludf.DUMMYFUNCTION("GOOGLETRANSLATE(B716,""en"",""zh"")"),"球员")</f>
        <v>球员</v>
      </c>
      <c r="I716" s="2" t="str">
        <f ca="1">IFERROR(__xludf.DUMMYFUNCTION("GOOGLETRANSLATE(B716,""en"",""gd"")"),"cluicheadair")</f>
        <v>cluicheadair</v>
      </c>
    </row>
    <row r="717" spans="1:9" ht="14.25" customHeight="1" x14ac:dyDescent="0.3">
      <c r="A717" s="2">
        <v>716</v>
      </c>
      <c r="B717" s="3" t="s">
        <v>724</v>
      </c>
      <c r="C717" s="2" t="str">
        <f ca="1">IFERROR(__xludf.DUMMYFUNCTION("GOOGLETRANSLATE(B717, ""en"",""es"")"),"comentario")</f>
        <v>comentario</v>
      </c>
      <c r="D717" s="2" t="str">
        <f ca="1">IFERROR(__xludf.DUMMYFUNCTION("GOOGLETRANSLATE(B717,""en"",""ig"")"),"mchere")</f>
        <v>mchere</v>
      </c>
      <c r="E717" s="2" t="str">
        <f ca="1">IFERROR(__xludf.DUMMYFUNCTION("GOOGLETRANSLATE(B717,""en"",""fr"")"),"commentaire")</f>
        <v>commentaire</v>
      </c>
      <c r="F717" s="2" t="str">
        <f ca="1">IFERROR(__xludf.DUMMYFUNCTION("GOOGLETRANSLATE(B717,""en"",""it"")"),"commento")</f>
        <v>commento</v>
      </c>
      <c r="G717" s="2" t="str">
        <f ca="1">IFERROR(__xludf.DUMMYFUNCTION("GOOGLETRANSLATE(B717,""en"",""de"")"),"Kommentar")</f>
        <v>Kommentar</v>
      </c>
      <c r="H717" s="2" t="str">
        <f ca="1">IFERROR(__xludf.DUMMYFUNCTION("GOOGLETRANSLATE(B717,""en"",""zh"")"),"评论")</f>
        <v>评论</v>
      </c>
      <c r="I717" s="2" t="str">
        <f ca="1">IFERROR(__xludf.DUMMYFUNCTION("GOOGLETRANSLATE(B717,""en"",""gd"")"),"Thoir beachd air")</f>
        <v>Thoir beachd air</v>
      </c>
    </row>
    <row r="718" spans="1:9" ht="14.25" customHeight="1" x14ac:dyDescent="0.3">
      <c r="A718" s="2">
        <v>717</v>
      </c>
      <c r="B718" s="3" t="s">
        <v>725</v>
      </c>
      <c r="C718" s="2" t="str">
        <f ca="1">IFERROR(__xludf.DUMMYFUNCTION("GOOGLETRANSLATE(B718, ""en"",""es"")"),"ingresar")</f>
        <v>ingresar</v>
      </c>
      <c r="D718" s="2" t="str">
        <f ca="1">IFERROR(__xludf.DUMMYFUNCTION("GOOGLETRANSLATE(B718,""en"",""ig"")"),"iba")</f>
        <v>iba</v>
      </c>
      <c r="E718" s="2" t="str">
        <f ca="1">IFERROR(__xludf.DUMMYFUNCTION("GOOGLETRANSLATE(B718,""en"",""fr"")"),"entrer")</f>
        <v>entrer</v>
      </c>
      <c r="F718" s="2" t="str">
        <f ca="1">IFERROR(__xludf.DUMMYFUNCTION("GOOGLETRANSLATE(B718,""en"",""it"")"),"accedere")</f>
        <v>accedere</v>
      </c>
      <c r="G718" s="2" t="str">
        <f ca="1">IFERROR(__xludf.DUMMYFUNCTION("GOOGLETRANSLATE(B718,""en"",""de"")"),"eingeben")</f>
        <v>eingeben</v>
      </c>
      <c r="H718" s="2" t="str">
        <f ca="1">IFERROR(__xludf.DUMMYFUNCTION("GOOGLETRANSLATE(B718,""en"",""zh"")"),"进入")</f>
        <v>进入</v>
      </c>
      <c r="I718" s="2" t="str">
        <f ca="1">IFERROR(__xludf.DUMMYFUNCTION("GOOGLETRANSLATE(B718,""en"",""gd"")"),"Cuir a-steach")</f>
        <v>Cuir a-steach</v>
      </c>
    </row>
    <row r="719" spans="1:9" ht="14.25" customHeight="1" x14ac:dyDescent="0.3">
      <c r="A719" s="2">
        <v>718</v>
      </c>
      <c r="B719" s="3" t="s">
        <v>726</v>
      </c>
      <c r="C719" s="2" t="str">
        <f ca="1">IFERROR(__xludf.DUMMYFUNCTION("GOOGLETRANSLATE(B719, ""en"",""es"")"),"ocurrir")</f>
        <v>ocurrir</v>
      </c>
      <c r="D719" s="2" t="str">
        <f ca="1">IFERROR(__xludf.DUMMYFUNCTION("GOOGLETRANSLATE(B719,""en"",""ig"")"),"ino")</f>
        <v>ino</v>
      </c>
      <c r="E719" s="2" t="str">
        <f ca="1">IFERROR(__xludf.DUMMYFUNCTION("GOOGLETRANSLATE(B719,""en"",""fr"")"),"se produire")</f>
        <v>se produire</v>
      </c>
      <c r="F719" s="2" t="str">
        <f ca="1">IFERROR(__xludf.DUMMYFUNCTION("GOOGLETRANSLATE(B719,""en"",""it"")"),"verificarsi")</f>
        <v>verificarsi</v>
      </c>
      <c r="G719" s="2" t="str">
        <f ca="1">IFERROR(__xludf.DUMMYFUNCTION("GOOGLETRANSLATE(B719,""en"",""de"")"),"geschehen")</f>
        <v>geschehen</v>
      </c>
      <c r="H719" s="2" t="str">
        <f ca="1">IFERROR(__xludf.DUMMYFUNCTION("GOOGLETRANSLATE(B719,""en"",""zh"")"),"发生")</f>
        <v>发生</v>
      </c>
      <c r="I719" s="2" t="str">
        <f ca="1">IFERROR(__xludf.DUMMYFUNCTION("GOOGLETRANSLATE(B719,""en"",""gd"")"),"tachairt")</f>
        <v>tachairt</v>
      </c>
    </row>
    <row r="720" spans="1:9" ht="14.25" customHeight="1" x14ac:dyDescent="0.3">
      <c r="A720" s="2">
        <v>719</v>
      </c>
      <c r="B720" s="3" t="s">
        <v>727</v>
      </c>
      <c r="C720" s="2" t="str">
        <f ca="1">IFERROR(__xludf.DUMMYFUNCTION("GOOGLETRANSLATE(B720, ""en"",""es"")"),"solo")</f>
        <v>solo</v>
      </c>
      <c r="D720" s="2" t="str">
        <f ca="1">IFERROR(__xludf.DUMMYFUNCTION("GOOGLETRANSLATE(B720,""en"",""ig"")"),"so ya")</f>
        <v>so ya</v>
      </c>
      <c r="E720" s="2" t="str">
        <f ca="1">IFERROR(__xludf.DUMMYFUNCTION("GOOGLETRANSLATE(B720,""en"",""fr"")"),"seul")</f>
        <v>seul</v>
      </c>
      <c r="F720" s="2" t="str">
        <f ca="1">IFERROR(__xludf.DUMMYFUNCTION("GOOGLETRANSLATE(B720,""en"",""it"")"),"solo")</f>
        <v>solo</v>
      </c>
      <c r="G720" s="2" t="str">
        <f ca="1">IFERROR(__xludf.DUMMYFUNCTION("GOOGLETRANSLATE(B720,""en"",""de"")"),"allein")</f>
        <v>allein</v>
      </c>
      <c r="H720" s="2" t="str">
        <f ca="1">IFERROR(__xludf.DUMMYFUNCTION("GOOGLETRANSLATE(B720,""en"",""zh"")"),"独自的")</f>
        <v>独自的</v>
      </c>
      <c r="I720" s="2" t="str">
        <f ca="1">IFERROR(__xludf.DUMMYFUNCTION("GOOGLETRANSLATE(B720,""en"",""gd"")"),"leotha fhèin")</f>
        <v>leotha fhèin</v>
      </c>
    </row>
    <row r="721" spans="1:9" ht="14.25" customHeight="1" x14ac:dyDescent="0.3">
      <c r="A721" s="2">
        <v>720</v>
      </c>
      <c r="B721" s="3" t="s">
        <v>728</v>
      </c>
      <c r="C721" s="2" t="str">
        <f ca="1">IFERROR(__xludf.DUMMYFUNCTION("GOOGLETRANSLATE(B721, ""en"",""es"")"),"significativo")</f>
        <v>significativo</v>
      </c>
      <c r="D721" s="2" t="str">
        <f ca="1">IFERROR(__xludf.DUMMYFUNCTION("GOOGLETRANSLATE(B721,""en"",""ig"")"),"nke dimkpa")</f>
        <v>nke dimkpa</v>
      </c>
      <c r="E721" s="2" t="str">
        <f ca="1">IFERROR(__xludf.DUMMYFUNCTION("GOOGLETRANSLATE(B721,""en"",""fr"")"),"significatif")</f>
        <v>significatif</v>
      </c>
      <c r="F721" s="2" t="str">
        <f ca="1">IFERROR(__xludf.DUMMYFUNCTION("GOOGLETRANSLATE(B721,""en"",""it"")"),"significativo")</f>
        <v>significativo</v>
      </c>
      <c r="G721" s="2" t="str">
        <f ca="1">IFERROR(__xludf.DUMMYFUNCTION("GOOGLETRANSLATE(B721,""en"",""de"")"),"bedeutsam")</f>
        <v>bedeutsam</v>
      </c>
      <c r="H721" s="2" t="str">
        <f ca="1">IFERROR(__xludf.DUMMYFUNCTION("GOOGLETRANSLATE(B721,""en"",""zh"")"),"重要的")</f>
        <v>重要的</v>
      </c>
      <c r="I721" s="2" t="str">
        <f ca="1">IFERROR(__xludf.DUMMYFUNCTION("GOOGLETRANSLATE(B721,""en"",""gd"")"),"cudromach")</f>
        <v>cudromach</v>
      </c>
    </row>
    <row r="722" spans="1:9" ht="14.25" customHeight="1" x14ac:dyDescent="0.3">
      <c r="A722" s="2">
        <v>721</v>
      </c>
      <c r="B722" s="3" t="s">
        <v>729</v>
      </c>
      <c r="C722" s="2" t="str">
        <f ca="1">IFERROR(__xludf.DUMMYFUNCTION("GOOGLETRANSLATE(B722, ""en"",""es"")"),"droga")</f>
        <v>droga</v>
      </c>
      <c r="D722" s="2" t="str">
        <f ca="1">IFERROR(__xludf.DUMMYFUNCTION("GOOGLETRANSLATE(B722,""en"",""ig"")"),"ogwu")</f>
        <v>ogwu</v>
      </c>
      <c r="E722" s="2" t="str">
        <f ca="1">IFERROR(__xludf.DUMMYFUNCTION("GOOGLETRANSLATE(B722,""en"",""fr"")"),"médicament")</f>
        <v>médicament</v>
      </c>
      <c r="F722" s="2" t="str">
        <f ca="1">IFERROR(__xludf.DUMMYFUNCTION("GOOGLETRANSLATE(B722,""en"",""it"")"),"farmaco")</f>
        <v>farmaco</v>
      </c>
      <c r="G722" s="2" t="str">
        <f ca="1">IFERROR(__xludf.DUMMYFUNCTION("GOOGLETRANSLATE(B722,""en"",""de"")"),"Arzneimittel")</f>
        <v>Arzneimittel</v>
      </c>
      <c r="H722" s="2" t="str">
        <f ca="1">IFERROR(__xludf.DUMMYFUNCTION("GOOGLETRANSLATE(B722,""en"",""zh"")"),"药品")</f>
        <v>药品</v>
      </c>
      <c r="I722" s="2" t="str">
        <f ca="1">IFERROR(__xludf.DUMMYFUNCTION("GOOGLETRANSLATE(B722,""en"",""gd"")"),"droga")</f>
        <v>droga</v>
      </c>
    </row>
    <row r="723" spans="1:9" ht="14.25" customHeight="1" x14ac:dyDescent="0.3">
      <c r="A723" s="2">
        <v>722</v>
      </c>
      <c r="B723" s="3" t="s">
        <v>730</v>
      </c>
      <c r="C723" s="2" t="str">
        <f ca="1">IFERROR(__xludf.DUMMYFUNCTION("GOOGLETRANSLATE(B723, ""en"",""es"")"),"muro")</f>
        <v>muro</v>
      </c>
      <c r="D723" s="2" t="str">
        <f ca="1">IFERROR(__xludf.DUMMYFUNCTION("GOOGLETRANSLATE(B723,""en"",""ig"")"),"mgbaaja")</f>
        <v>mgbaaja</v>
      </c>
      <c r="E723" s="2" t="str">
        <f ca="1">IFERROR(__xludf.DUMMYFUNCTION("GOOGLETRANSLATE(B723,""en"",""fr"")"),"mur")</f>
        <v>mur</v>
      </c>
      <c r="F723" s="2" t="str">
        <f ca="1">IFERROR(__xludf.DUMMYFUNCTION("GOOGLETRANSLATE(B723,""en"",""it"")"),"parete")</f>
        <v>parete</v>
      </c>
      <c r="G723" s="2" t="str">
        <f ca="1">IFERROR(__xludf.DUMMYFUNCTION("GOOGLETRANSLATE(B723,""en"",""de"")"),"Wand")</f>
        <v>Wand</v>
      </c>
      <c r="H723" s="2" t="str">
        <f ca="1">IFERROR(__xludf.DUMMYFUNCTION("GOOGLETRANSLATE(B723,""en"",""zh"")"),"墙")</f>
        <v>墙</v>
      </c>
      <c r="I723" s="2" t="str">
        <f ca="1">IFERROR(__xludf.DUMMYFUNCTION("GOOGLETRANSLATE(B723,""en"",""gd"")"),"balla")</f>
        <v>balla</v>
      </c>
    </row>
    <row r="724" spans="1:9" ht="14.25" customHeight="1" x14ac:dyDescent="0.3">
      <c r="A724" s="2">
        <v>723</v>
      </c>
      <c r="B724" s="3" t="s">
        <v>731</v>
      </c>
      <c r="C724" s="2" t="str">
        <f ca="1">IFERROR(__xludf.DUMMYFUNCTION("GOOGLETRANSLATE(B724, ""en"",""es"")"),"serie")</f>
        <v>serie</v>
      </c>
      <c r="D724" s="2" t="str">
        <f ca="1">IFERROR(__xludf.DUMMYFUNCTION("GOOGLETRANSLATE(B724,""en"",""ig"")"),"nsorosoro")</f>
        <v>nsorosoro</v>
      </c>
      <c r="E724" s="2" t="str">
        <f ca="1">IFERROR(__xludf.DUMMYFUNCTION("GOOGLETRANSLATE(B724,""en"",""fr"")"),"série")</f>
        <v>série</v>
      </c>
      <c r="F724" s="2" t="str">
        <f ca="1">IFERROR(__xludf.DUMMYFUNCTION("GOOGLETRANSLATE(B724,""en"",""it"")"),"serie")</f>
        <v>serie</v>
      </c>
      <c r="G724" s="2" t="str">
        <f ca="1">IFERROR(__xludf.DUMMYFUNCTION("GOOGLETRANSLATE(B724,""en"",""de"")"),"Serie")</f>
        <v>Serie</v>
      </c>
      <c r="H724" s="2" t="str">
        <f ca="1">IFERROR(__xludf.DUMMYFUNCTION("GOOGLETRANSLATE(B724,""en"",""zh"")"),"系列")</f>
        <v>系列</v>
      </c>
      <c r="I724" s="2" t="str">
        <f ca="1">IFERROR(__xludf.DUMMYFUNCTION("GOOGLETRANSLATE(B724,""en"",""gd"")"),"Sreath")</f>
        <v>Sreath</v>
      </c>
    </row>
    <row r="725" spans="1:9" ht="14.25" customHeight="1" x14ac:dyDescent="0.3">
      <c r="A725" s="2">
        <v>724</v>
      </c>
      <c r="B725" s="3" t="s">
        <v>732</v>
      </c>
      <c r="C725" s="2" t="str">
        <f ca="1">IFERROR(__xludf.DUMMYFUNCTION("GOOGLETRANSLATE(B725, ""en"",""es"")"),"directo")</f>
        <v>directo</v>
      </c>
      <c r="D725" s="2" t="str">
        <f ca="1">IFERROR(__xludf.DUMMYFUNCTION("GOOGLETRANSLATE(B725,""en"",""ig"")"),"izi uzo")</f>
        <v>izi uzo</v>
      </c>
      <c r="E725" s="2" t="str">
        <f ca="1">IFERROR(__xludf.DUMMYFUNCTION("GOOGLETRANSLATE(B725,""en"",""fr"")"),"direct")</f>
        <v>direct</v>
      </c>
      <c r="F725" s="2" t="str">
        <f ca="1">IFERROR(__xludf.DUMMYFUNCTION("GOOGLETRANSLATE(B725,""en"",""it"")"),"diretto")</f>
        <v>diretto</v>
      </c>
      <c r="G725" s="2" t="str">
        <f ca="1">IFERROR(__xludf.DUMMYFUNCTION("GOOGLETRANSLATE(B725,""en"",""de"")"),"Direkte")</f>
        <v>Direkte</v>
      </c>
      <c r="H725" s="2" t="str">
        <f ca="1">IFERROR(__xludf.DUMMYFUNCTION("GOOGLETRANSLATE(B725,""en"",""zh"")"),"直接的")</f>
        <v>直接的</v>
      </c>
      <c r="I725" s="2" t="str">
        <f ca="1">IFERROR(__xludf.DUMMYFUNCTION("GOOGLETRANSLATE(B725,""en"",""gd"")"),"Dìreach")</f>
        <v>Dìreach</v>
      </c>
    </row>
    <row r="726" spans="1:9" ht="14.25" customHeight="1" x14ac:dyDescent="0.3">
      <c r="A726" s="2">
        <v>725</v>
      </c>
      <c r="B726" s="3" t="s">
        <v>733</v>
      </c>
      <c r="C726" s="2" t="str">
        <f ca="1">IFERROR(__xludf.DUMMYFUNCTION("GOOGLETRANSLATE(B726, ""en"",""es"")"),"éxito")</f>
        <v>éxito</v>
      </c>
      <c r="D726" s="2" t="str">
        <f ca="1">IFERROR(__xludf.DUMMYFUNCTION("GOOGLETRANSLATE(B726,""en"",""ig"")"),"oganihu")</f>
        <v>oganihu</v>
      </c>
      <c r="E726" s="2" t="str">
        <f ca="1">IFERROR(__xludf.DUMMYFUNCTION("GOOGLETRANSLATE(B726,""en"",""fr"")"),"succès")</f>
        <v>succès</v>
      </c>
      <c r="F726" s="2" t="str">
        <f ca="1">IFERROR(__xludf.DUMMYFUNCTION("GOOGLETRANSLATE(B726,""en"",""it"")"),"successo")</f>
        <v>successo</v>
      </c>
      <c r="G726" s="2" t="str">
        <f ca="1">IFERROR(__xludf.DUMMYFUNCTION("GOOGLETRANSLATE(B726,""en"",""de"")"),"Erfolg")</f>
        <v>Erfolg</v>
      </c>
      <c r="H726" s="2" t="str">
        <f ca="1">IFERROR(__xludf.DUMMYFUNCTION("GOOGLETRANSLATE(B726,""en"",""zh"")"),"成功")</f>
        <v>成功</v>
      </c>
      <c r="I726" s="2" t="str">
        <f ca="1">IFERROR(__xludf.DUMMYFUNCTION("GOOGLETRANSLATE(B726,""en"",""gd"")"),"soirbheachas")</f>
        <v>soirbheachas</v>
      </c>
    </row>
    <row r="727" spans="1:9" ht="14.25" customHeight="1" x14ac:dyDescent="0.3">
      <c r="A727" s="2">
        <v>726</v>
      </c>
      <c r="B727" s="3" t="s">
        <v>734</v>
      </c>
      <c r="C727" s="2" t="str">
        <f ca="1">IFERROR(__xludf.DUMMYFUNCTION("GOOGLETRANSLATE(B727, ""en"",""es"")"),"mañana")</f>
        <v>mañana</v>
      </c>
      <c r="D727" s="2" t="str">
        <f ca="1">IFERROR(__xludf.DUMMYFUNCTION("GOOGLETRANSLATE(B727,""en"",""ig"")"),"echi")</f>
        <v>echi</v>
      </c>
      <c r="E727" s="2" t="str">
        <f ca="1">IFERROR(__xludf.DUMMYFUNCTION("GOOGLETRANSLATE(B727,""en"",""fr"")"),"demain")</f>
        <v>demain</v>
      </c>
      <c r="F727" s="2" t="str">
        <f ca="1">IFERROR(__xludf.DUMMYFUNCTION("GOOGLETRANSLATE(B727,""en"",""it"")"),"Domani")</f>
        <v>Domani</v>
      </c>
      <c r="G727" s="2" t="str">
        <f ca="1">IFERROR(__xludf.DUMMYFUNCTION("GOOGLETRANSLATE(B727,""en"",""de"")"),"morgen")</f>
        <v>morgen</v>
      </c>
      <c r="H727" s="2" t="str">
        <f ca="1">IFERROR(__xludf.DUMMYFUNCTION("GOOGLETRANSLATE(B727,""en"",""zh"")"),"明天")</f>
        <v>明天</v>
      </c>
      <c r="I727" s="2" t="str">
        <f ca="1">IFERROR(__xludf.DUMMYFUNCTION("GOOGLETRANSLATE(B727,""en"",""gd"")"),"a-màireach")</f>
        <v>a-màireach</v>
      </c>
    </row>
    <row r="728" spans="1:9" ht="14.25" customHeight="1" x14ac:dyDescent="0.3">
      <c r="A728" s="2">
        <v>727</v>
      </c>
      <c r="B728" s="3" t="s">
        <v>735</v>
      </c>
      <c r="C728" s="2" t="str">
        <f ca="1">IFERROR(__xludf.DUMMYFUNCTION("GOOGLETRANSLATE(B728, ""en"",""es"")"),"director")</f>
        <v>director</v>
      </c>
      <c r="D728" s="2" t="str">
        <f ca="1">IFERROR(__xludf.DUMMYFUNCTION("GOOGLETRANSLATE(B728,""en"",""ig"")"),"daireto")</f>
        <v>daireto</v>
      </c>
      <c r="E728" s="2" t="str">
        <f ca="1">IFERROR(__xludf.DUMMYFUNCTION("GOOGLETRANSLATE(B728,""en"",""fr"")"),"directeur")</f>
        <v>directeur</v>
      </c>
      <c r="F728" s="2" t="str">
        <f ca="1">IFERROR(__xludf.DUMMYFUNCTION("GOOGLETRANSLATE(B728,""en"",""it"")"),"direttore")</f>
        <v>direttore</v>
      </c>
      <c r="G728" s="2" t="str">
        <f ca="1">IFERROR(__xludf.DUMMYFUNCTION("GOOGLETRANSLATE(B728,""en"",""de"")"),"Direktor")</f>
        <v>Direktor</v>
      </c>
      <c r="H728" s="2" t="str">
        <f ca="1">IFERROR(__xludf.DUMMYFUNCTION("GOOGLETRANSLATE(B728,""en"",""zh"")"),"导演")</f>
        <v>导演</v>
      </c>
      <c r="I728" s="2" t="str">
        <f ca="1">IFERROR(__xludf.DUMMYFUNCTION("GOOGLETRANSLATE(B728,""en"",""gd"")"),"Stiùiriche")</f>
        <v>Stiùiriche</v>
      </c>
    </row>
    <row r="729" spans="1:9" ht="14.25" customHeight="1" x14ac:dyDescent="0.3">
      <c r="A729" s="2">
        <v>728</v>
      </c>
      <c r="B729" s="3" t="s">
        <v>736</v>
      </c>
      <c r="C729" s="2" t="str">
        <f ca="1">IFERROR(__xludf.DUMMYFUNCTION("GOOGLETRANSLATE(B729, ""en"",""es"")"),"claramente")</f>
        <v>claramente</v>
      </c>
      <c r="D729" s="2" t="str">
        <f ca="1">IFERROR(__xludf.DUMMYFUNCTION("GOOGLETRANSLATE(B729,""en"",""ig"")"),"n'ụzọ doro anya")</f>
        <v>n'ụzọ doro anya</v>
      </c>
      <c r="E729" s="2" t="str">
        <f ca="1">IFERROR(__xludf.DUMMYFUNCTION("GOOGLETRANSLATE(B729,""en"",""fr"")"),"clairement")</f>
        <v>clairement</v>
      </c>
      <c r="F729" s="2" t="str">
        <f ca="1">IFERROR(__xludf.DUMMYFUNCTION("GOOGLETRANSLATE(B729,""en"",""it"")"),"chiaramente")</f>
        <v>chiaramente</v>
      </c>
      <c r="G729" s="2" t="str">
        <f ca="1">IFERROR(__xludf.DUMMYFUNCTION("GOOGLETRANSLATE(B729,""en"",""de"")"),"deutlich")</f>
        <v>deutlich</v>
      </c>
      <c r="H729" s="2" t="str">
        <f ca="1">IFERROR(__xludf.DUMMYFUNCTION("GOOGLETRANSLATE(B729,""en"",""zh"")"),"清楚地")</f>
        <v>清楚地</v>
      </c>
      <c r="I729" s="2" t="str">
        <f ca="1">IFERROR(__xludf.DUMMYFUNCTION("GOOGLETRANSLATE(B729,""en"",""gd"")"),"gu soilleir")</f>
        <v>gu soilleir</v>
      </c>
    </row>
    <row r="730" spans="1:9" ht="14.25" customHeight="1" x14ac:dyDescent="0.3">
      <c r="A730" s="2">
        <v>729</v>
      </c>
      <c r="B730" s="3" t="s">
        <v>737</v>
      </c>
      <c r="C730" s="2" t="str">
        <f ca="1">IFERROR(__xludf.DUMMYFUNCTION("GOOGLETRANSLATE(B730, ""en"",""es"")"),"falta")</f>
        <v>falta</v>
      </c>
      <c r="D730" s="2" t="str">
        <f ca="1">IFERROR(__xludf.DUMMYFUNCTION("GOOGLETRANSLATE(B730,""en"",""ig"")"),"enweghi")</f>
        <v>enweghi</v>
      </c>
      <c r="E730" s="2" t="str">
        <f ca="1">IFERROR(__xludf.DUMMYFUNCTION("GOOGLETRANSLATE(B730,""en"",""fr"")"),"manque")</f>
        <v>manque</v>
      </c>
      <c r="F730" s="2" t="str">
        <f ca="1">IFERROR(__xludf.DUMMYFUNCTION("GOOGLETRANSLATE(B730,""en"",""it"")"),"mancanza")</f>
        <v>mancanza</v>
      </c>
      <c r="G730" s="2" t="str">
        <f ca="1">IFERROR(__xludf.DUMMYFUNCTION("GOOGLETRANSLATE(B730,""en"",""de"")"),"Mangel")</f>
        <v>Mangel</v>
      </c>
      <c r="H730" s="2" t="str">
        <f ca="1">IFERROR(__xludf.DUMMYFUNCTION("GOOGLETRANSLATE(B730,""en"",""zh"")"),"缺少")</f>
        <v>缺少</v>
      </c>
      <c r="I730" s="2" t="str">
        <f ca="1">IFERROR(__xludf.DUMMYFUNCTION("GOOGLETRANSLATE(B730,""en"",""gd"")"),"dìth")</f>
        <v>dìth</v>
      </c>
    </row>
    <row r="731" spans="1:9" ht="14.25" customHeight="1" x14ac:dyDescent="0.3">
      <c r="A731" s="2">
        <v>730</v>
      </c>
      <c r="B731" s="3" t="s">
        <v>738</v>
      </c>
      <c r="C731" s="2" t="str">
        <f ca="1">IFERROR(__xludf.DUMMYFUNCTION("GOOGLETRANSLATE(B731, ""en"",""es"")"),"revisar")</f>
        <v>revisar</v>
      </c>
      <c r="D731" s="2" t="str">
        <f ca="1">IFERROR(__xludf.DUMMYFUNCTION("GOOGLETRANSLATE(B731,""en"",""ig"")"),"ntuleghari")</f>
        <v>ntuleghari</v>
      </c>
      <c r="E731" s="2" t="str">
        <f ca="1">IFERROR(__xludf.DUMMYFUNCTION("GOOGLETRANSLATE(B731,""en"",""fr"")"),"revoir")</f>
        <v>revoir</v>
      </c>
      <c r="F731" s="2" t="str">
        <f ca="1">IFERROR(__xludf.DUMMYFUNCTION("GOOGLETRANSLATE(B731,""en"",""it"")"),"revisione")</f>
        <v>revisione</v>
      </c>
      <c r="G731" s="2" t="str">
        <f ca="1">IFERROR(__xludf.DUMMYFUNCTION("GOOGLETRANSLATE(B731,""en"",""de"")"),"Rezension")</f>
        <v>Rezension</v>
      </c>
      <c r="H731" s="2" t="str">
        <f ca="1">IFERROR(__xludf.DUMMYFUNCTION("GOOGLETRANSLATE(B731,""en"",""zh"")"),"审查")</f>
        <v>审查</v>
      </c>
      <c r="I731" s="2" t="str">
        <f ca="1">IFERROR(__xludf.DUMMYFUNCTION("GOOGLETRANSLATE(B731,""en"",""gd"")"),"Lèirmheas")</f>
        <v>Lèirmheas</v>
      </c>
    </row>
    <row r="732" spans="1:9" ht="14.25" customHeight="1" x14ac:dyDescent="0.3">
      <c r="A732" s="2">
        <v>731</v>
      </c>
      <c r="B732" s="3" t="s">
        <v>739</v>
      </c>
      <c r="C732" s="2" t="str">
        <f ca="1">IFERROR(__xludf.DUMMYFUNCTION("GOOGLETRANSLATE(B732, ""en"",""es"")"),"depender")</f>
        <v>depender</v>
      </c>
      <c r="D732" s="2" t="str">
        <f ca="1">IFERROR(__xludf.DUMMYFUNCTION("GOOGLETRANSLATE(B732,""en"",""ig"")"),"idabe")</f>
        <v>idabe</v>
      </c>
      <c r="E732" s="2" t="str">
        <f ca="1">IFERROR(__xludf.DUMMYFUNCTION("GOOGLETRANSLATE(B732,""en"",""fr"")"),"dépendre")</f>
        <v>dépendre</v>
      </c>
      <c r="F732" s="2" t="str">
        <f ca="1">IFERROR(__xludf.DUMMYFUNCTION("GOOGLETRANSLATE(B732,""en"",""it"")"),"dipendere")</f>
        <v>dipendere</v>
      </c>
      <c r="G732" s="2" t="str">
        <f ca="1">IFERROR(__xludf.DUMMYFUNCTION("GOOGLETRANSLATE(B732,""en"",""de"")"),"abhängen")</f>
        <v>abhängen</v>
      </c>
      <c r="H732" s="2" t="str">
        <f ca="1">IFERROR(__xludf.DUMMYFUNCTION("GOOGLETRANSLATE(B732,""en"",""zh"")"),"依靠")</f>
        <v>依靠</v>
      </c>
      <c r="I732" s="2" t="str">
        <f ca="1">IFERROR(__xludf.DUMMYFUNCTION("GOOGLETRANSLATE(B732,""en"",""gd"")"),"an urra")</f>
        <v>an urra</v>
      </c>
    </row>
    <row r="733" spans="1:9" ht="14.25" customHeight="1" x14ac:dyDescent="0.3">
      <c r="A733" s="2">
        <v>732</v>
      </c>
      <c r="B733" s="3" t="s">
        <v>740</v>
      </c>
      <c r="C733" s="2" t="str">
        <f ca="1">IFERROR(__xludf.DUMMYFUNCTION("GOOGLETRANSLATE(B733, ""en"",""es"")"),"carrera")</f>
        <v>carrera</v>
      </c>
      <c r="D733" s="2" t="str">
        <f ca="1">IFERROR(__xludf.DUMMYFUNCTION("GOOGLETRANSLATE(B733,""en"",""ig"")"),"oso")</f>
        <v>oso</v>
      </c>
      <c r="E733" s="2" t="str">
        <f ca="1">IFERROR(__xludf.DUMMYFUNCTION("GOOGLETRANSLATE(B733,""en"",""fr"")"),"course")</f>
        <v>course</v>
      </c>
      <c r="F733" s="2" t="str">
        <f ca="1">IFERROR(__xludf.DUMMYFUNCTION("GOOGLETRANSLATE(B733,""en"",""it"")"),"gara")</f>
        <v>gara</v>
      </c>
      <c r="G733" s="2" t="str">
        <f ca="1">IFERROR(__xludf.DUMMYFUNCTION("GOOGLETRANSLATE(B733,""en"",""de"")"),"Wettrennen")</f>
        <v>Wettrennen</v>
      </c>
      <c r="H733" s="2" t="str">
        <f ca="1">IFERROR(__xludf.DUMMYFUNCTION("GOOGLETRANSLATE(B733,""en"",""zh"")"),"种族")</f>
        <v>种族</v>
      </c>
      <c r="I733" s="2" t="str">
        <f ca="1">IFERROR(__xludf.DUMMYFUNCTION("GOOGLETRANSLATE(B733,""en"",""gd"")"),"Rèis")</f>
        <v>Rèis</v>
      </c>
    </row>
    <row r="734" spans="1:9" ht="14.25" customHeight="1" x14ac:dyDescent="0.3">
      <c r="A734" s="2">
        <v>733</v>
      </c>
      <c r="B734" s="3" t="s">
        <v>741</v>
      </c>
      <c r="C734" s="2" t="str">
        <f ca="1">IFERROR(__xludf.DUMMYFUNCTION("GOOGLETRANSLATE(B734, ""en"",""es"")"),"reconocer")</f>
        <v>reconocer</v>
      </c>
      <c r="D734" s="2" t="str">
        <f ca="1">IFERROR(__xludf.DUMMYFUNCTION("GOOGLETRANSLATE(B734,""en"",""ig"")"),"mara")</f>
        <v>mara</v>
      </c>
      <c r="E734" s="2" t="str">
        <f ca="1">IFERROR(__xludf.DUMMYFUNCTION("GOOGLETRANSLATE(B734,""en"",""fr"")"),"reconnaître")</f>
        <v>reconnaître</v>
      </c>
      <c r="F734" s="2" t="str">
        <f ca="1">IFERROR(__xludf.DUMMYFUNCTION("GOOGLETRANSLATE(B734,""en"",""it"")"),"riconoscere")</f>
        <v>riconoscere</v>
      </c>
      <c r="G734" s="2" t="str">
        <f ca="1">IFERROR(__xludf.DUMMYFUNCTION("GOOGLETRANSLATE(B734,""en"",""de"")"),"erkenne")</f>
        <v>erkenne</v>
      </c>
      <c r="H734" s="2" t="str">
        <f ca="1">IFERROR(__xludf.DUMMYFUNCTION("GOOGLETRANSLATE(B734,""en"",""zh"")"),"认出")</f>
        <v>认出</v>
      </c>
      <c r="I734" s="2" t="str">
        <f ca="1">IFERROR(__xludf.DUMMYFUNCTION("GOOGLETRANSLATE(B734,""en"",""gd"")"),"aithneachadh")</f>
        <v>aithneachadh</v>
      </c>
    </row>
    <row r="735" spans="1:9" ht="14.25" customHeight="1" x14ac:dyDescent="0.3">
      <c r="A735" s="2">
        <v>734</v>
      </c>
      <c r="B735" s="3" t="s">
        <v>742</v>
      </c>
      <c r="C735" s="2" t="str">
        <f ca="1">IFERROR(__xludf.DUMMYFUNCTION("GOOGLETRANSLATE(B735, ""en"",""es"")"),"ventana")</f>
        <v>ventana</v>
      </c>
      <c r="D735" s="2" t="str">
        <f ca="1">IFERROR(__xludf.DUMMYFUNCTION("GOOGLETRANSLATE(B735,""en"",""ig"")"),"windo")</f>
        <v>windo</v>
      </c>
      <c r="E735" s="2" t="str">
        <f ca="1">IFERROR(__xludf.DUMMYFUNCTION("GOOGLETRANSLATE(B735,""en"",""fr"")"),"fenêtre")</f>
        <v>fenêtre</v>
      </c>
      <c r="F735" s="2" t="str">
        <f ca="1">IFERROR(__xludf.DUMMYFUNCTION("GOOGLETRANSLATE(B735,""en"",""it"")"),"finestra")</f>
        <v>finestra</v>
      </c>
      <c r="G735" s="2" t="str">
        <f ca="1">IFERROR(__xludf.DUMMYFUNCTION("GOOGLETRANSLATE(B735,""en"",""de"")"),"Fenster")</f>
        <v>Fenster</v>
      </c>
      <c r="H735" s="2" t="str">
        <f ca="1">IFERROR(__xludf.DUMMYFUNCTION("GOOGLETRANSLATE(B735,""en"",""zh"")"),"窗户")</f>
        <v>窗户</v>
      </c>
      <c r="I735" s="2" t="str">
        <f ca="1">IFERROR(__xludf.DUMMYFUNCTION("GOOGLETRANSLATE(B735,""en"",""gd"")"),"Uinneag")</f>
        <v>Uinneag</v>
      </c>
    </row>
    <row r="736" spans="1:9" ht="14.25" customHeight="1" x14ac:dyDescent="0.3">
      <c r="A736" s="2">
        <v>735</v>
      </c>
      <c r="B736" s="3" t="s">
        <v>743</v>
      </c>
      <c r="C736" s="2" t="str">
        <f ca="1">IFERROR(__xludf.DUMMYFUNCTION("GOOGLETRANSLATE(B736, ""en"",""es"")"),"objetivo")</f>
        <v>objetivo</v>
      </c>
      <c r="D736" s="2" t="str">
        <f ca="1">IFERROR(__xludf.DUMMYFUNCTION("GOOGLETRANSLATE(B736,""en"",""ig"")"),"ihe ebu n'obi mee ihe")</f>
        <v>ihe ebu n'obi mee ihe</v>
      </c>
      <c r="E736" s="2" t="str">
        <f ca="1">IFERROR(__xludf.DUMMYFUNCTION("GOOGLETRANSLATE(B736,""en"",""fr"")"),"but")</f>
        <v>but</v>
      </c>
      <c r="F736" s="2" t="str">
        <f ca="1">IFERROR(__xludf.DUMMYFUNCTION("GOOGLETRANSLATE(B736,""en"",""it"")"),"scopo")</f>
        <v>scopo</v>
      </c>
      <c r="G736" s="2" t="str">
        <f ca="1">IFERROR(__xludf.DUMMYFUNCTION("GOOGLETRANSLATE(B736,""en"",""de"")"),"Zweck")</f>
        <v>Zweck</v>
      </c>
      <c r="H736" s="2" t="str">
        <f ca="1">IFERROR(__xludf.DUMMYFUNCTION("GOOGLETRANSLATE(B736,""en"",""zh"")"),"目的")</f>
        <v>目的</v>
      </c>
      <c r="I736" s="2" t="str">
        <f ca="1">IFERROR(__xludf.DUMMYFUNCTION("GOOGLETRANSLATE(B736,""en"",""gd"")"),"Adhbhar")</f>
        <v>Adhbhar</v>
      </c>
    </row>
    <row r="737" spans="1:9" ht="14.25" customHeight="1" x14ac:dyDescent="0.3">
      <c r="A737" s="2">
        <v>736</v>
      </c>
      <c r="B737" s="3" t="s">
        <v>744</v>
      </c>
      <c r="C737" s="2" t="str">
        <f ca="1">IFERROR(__xludf.DUMMYFUNCTION("GOOGLETRANSLATE(B737, ""en"",""es"")"),"departamento")</f>
        <v>departamento</v>
      </c>
      <c r="D737" s="2" t="str">
        <f ca="1">IFERROR(__xludf.DUMMYFUNCTION("GOOGLETRANSLATE(B737,""en"",""ig"")"),"mpaghara")</f>
        <v>mpaghara</v>
      </c>
      <c r="E737" s="2" t="str">
        <f ca="1">IFERROR(__xludf.DUMMYFUNCTION("GOOGLETRANSLATE(B737,""en"",""fr"")"),"département")</f>
        <v>département</v>
      </c>
      <c r="F737" s="2" t="str">
        <f ca="1">IFERROR(__xludf.DUMMYFUNCTION("GOOGLETRANSLATE(B737,""en"",""it"")"),"Dipartimento")</f>
        <v>Dipartimento</v>
      </c>
      <c r="G737" s="2" t="str">
        <f ca="1">IFERROR(__xludf.DUMMYFUNCTION("GOOGLETRANSLATE(B737,""en"",""de"")"),"Abteilung")</f>
        <v>Abteilung</v>
      </c>
      <c r="H737" s="2" t="str">
        <f ca="1">IFERROR(__xludf.DUMMYFUNCTION("GOOGLETRANSLATE(B737,""en"",""zh"")"),"部门")</f>
        <v>部门</v>
      </c>
      <c r="I737" s="2" t="str">
        <f ca="1">IFERROR(__xludf.DUMMYFUNCTION("GOOGLETRANSLATE(B737,""en"",""gd"")"),"Roinn")</f>
        <v>Roinn</v>
      </c>
    </row>
    <row r="738" spans="1:9" ht="14.25" customHeight="1" x14ac:dyDescent="0.3">
      <c r="A738" s="2">
        <v>737</v>
      </c>
      <c r="B738" s="3" t="s">
        <v>745</v>
      </c>
      <c r="C738" s="2" t="str">
        <f ca="1">IFERROR(__xludf.DUMMYFUNCTION("GOOGLETRANSLATE(B738, ""en"",""es"")"),"ganar")</f>
        <v>ganar</v>
      </c>
      <c r="D738" s="2" t="str">
        <f ca="1">IFERROR(__xludf.DUMMYFUNCTION("GOOGLETRANSLATE(B738,""en"",""ig"")"),"uru")</f>
        <v>uru</v>
      </c>
      <c r="E738" s="2" t="str">
        <f ca="1">IFERROR(__xludf.DUMMYFUNCTION("GOOGLETRANSLATE(B738,""en"",""fr"")"),"gagner")</f>
        <v>gagner</v>
      </c>
      <c r="F738" s="2" t="str">
        <f ca="1">IFERROR(__xludf.DUMMYFUNCTION("GOOGLETRANSLATE(B738,""en"",""it"")"),"guadagno")</f>
        <v>guadagno</v>
      </c>
      <c r="G738" s="2" t="str">
        <f ca="1">IFERROR(__xludf.DUMMYFUNCTION("GOOGLETRANSLATE(B738,""en"",""de"")"),"gewinnen")</f>
        <v>gewinnen</v>
      </c>
      <c r="H738" s="2" t="str">
        <f ca="1">IFERROR(__xludf.DUMMYFUNCTION("GOOGLETRANSLATE(B738,""en"",""zh"")"),"获得")</f>
        <v>获得</v>
      </c>
      <c r="I738" s="2" t="str">
        <f ca="1">IFERROR(__xludf.DUMMYFUNCTION("GOOGLETRANSLATE(B738,""en"",""gd"")"),"buannachd")</f>
        <v>buannachd</v>
      </c>
    </row>
    <row r="739" spans="1:9" ht="14.25" customHeight="1" x14ac:dyDescent="0.3">
      <c r="A739" s="2">
        <v>738</v>
      </c>
      <c r="B739" s="3" t="s">
        <v>746</v>
      </c>
      <c r="C739" s="2" t="str">
        <f ca="1">IFERROR(__xludf.DUMMYFUNCTION("GOOGLETRANSLATE(B739, ""en"",""es"")"),"árbol")</f>
        <v>árbol</v>
      </c>
      <c r="D739" s="2" t="str">
        <f ca="1">IFERROR(__xludf.DUMMYFUNCTION("GOOGLETRANSLATE(B739,""en"",""ig"")"),"osisi")</f>
        <v>osisi</v>
      </c>
      <c r="E739" s="2" t="str">
        <f ca="1">IFERROR(__xludf.DUMMYFUNCTION("GOOGLETRANSLATE(B739,""en"",""fr"")"),"arbre")</f>
        <v>arbre</v>
      </c>
      <c r="F739" s="2" t="str">
        <f ca="1">IFERROR(__xludf.DUMMYFUNCTION("GOOGLETRANSLATE(B739,""en"",""it"")"),"albero")</f>
        <v>albero</v>
      </c>
      <c r="G739" s="2" t="str">
        <f ca="1">IFERROR(__xludf.DUMMYFUNCTION("GOOGLETRANSLATE(B739,""en"",""de"")"),"Baum")</f>
        <v>Baum</v>
      </c>
      <c r="H739" s="2" t="str">
        <f ca="1">IFERROR(__xludf.DUMMYFUNCTION("GOOGLETRANSLATE(B739,""en"",""zh"")"),"树")</f>
        <v>树</v>
      </c>
      <c r="I739" s="2" t="str">
        <f ca="1">IFERROR(__xludf.DUMMYFUNCTION("GOOGLETRANSLATE(B739,""en"",""gd"")"),"craobh")</f>
        <v>craobh</v>
      </c>
    </row>
    <row r="740" spans="1:9" ht="14.25" customHeight="1" x14ac:dyDescent="0.3">
      <c r="A740" s="2">
        <v>739</v>
      </c>
      <c r="B740" s="3" t="s">
        <v>747</v>
      </c>
      <c r="C740" s="2" t="str">
        <f ca="1">IFERROR(__xludf.DUMMYFUNCTION("GOOGLETRANSLATE(B740, ""en"",""es"")"),"colega")</f>
        <v>colega</v>
      </c>
      <c r="D740" s="2" t="str">
        <f ca="1">IFERROR(__xludf.DUMMYFUNCTION("GOOGLETRANSLATE(B740,""en"",""ig"")"),"koleeji")</f>
        <v>koleeji</v>
      </c>
      <c r="E740" s="2" t="str">
        <f ca="1">IFERROR(__xludf.DUMMYFUNCTION("GOOGLETRANSLATE(B740,""en"",""fr"")"),"collège")</f>
        <v>collège</v>
      </c>
      <c r="F740" s="2" t="str">
        <f ca="1">IFERROR(__xludf.DUMMYFUNCTION("GOOGLETRANSLATE(B740,""en"",""it"")"),"Università")</f>
        <v>Università</v>
      </c>
      <c r="G740" s="2" t="str">
        <f ca="1">IFERROR(__xludf.DUMMYFUNCTION("GOOGLETRANSLATE(B740,""en"",""de"")"),"Hochschule")</f>
        <v>Hochschule</v>
      </c>
      <c r="H740" s="2" t="str">
        <f ca="1">IFERROR(__xludf.DUMMYFUNCTION("GOOGLETRANSLATE(B740,""en"",""zh"")"),"大学")</f>
        <v>大学</v>
      </c>
      <c r="I740" s="2" t="str">
        <f ca="1">IFERROR(__xludf.DUMMYFUNCTION("GOOGLETRANSLATE(B740,""en"",""gd"")"),"Colaiste")</f>
        <v>Colaiste</v>
      </c>
    </row>
    <row r="741" spans="1:9" ht="14.25" customHeight="1" x14ac:dyDescent="0.3">
      <c r="A741" s="2">
        <v>740</v>
      </c>
      <c r="B741" s="3" t="s">
        <v>748</v>
      </c>
      <c r="C741" s="2" t="str">
        <f ca="1">IFERROR(__xludf.DUMMYFUNCTION("GOOGLETRANSLATE(B741, ""en"",""es"")"),"argumentar")</f>
        <v>argumentar</v>
      </c>
      <c r="D741" s="2" t="str">
        <f ca="1">IFERROR(__xludf.DUMMYFUNCTION("GOOGLETRANSLATE(B741,""en"",""ig"")"),"iru uko")</f>
        <v>iru uko</v>
      </c>
      <c r="E741" s="2" t="str">
        <f ca="1">IFERROR(__xludf.DUMMYFUNCTION("GOOGLETRANSLATE(B741,""en"",""fr"")"),"argumenter")</f>
        <v>argumenter</v>
      </c>
      <c r="F741" s="2" t="str">
        <f ca="1">IFERROR(__xludf.DUMMYFUNCTION("GOOGLETRANSLATE(B741,""en"",""it"")"),"litigare")</f>
        <v>litigare</v>
      </c>
      <c r="G741" s="2" t="str">
        <f ca="1">IFERROR(__xludf.DUMMYFUNCTION("GOOGLETRANSLATE(B741,""en"",""de"")"),"argumentieren")</f>
        <v>argumentieren</v>
      </c>
      <c r="H741" s="2" t="str">
        <f ca="1">IFERROR(__xludf.DUMMYFUNCTION("GOOGLETRANSLATE(B741,""en"",""zh"")"),"争论")</f>
        <v>争论</v>
      </c>
      <c r="I741" s="2" t="str">
        <f ca="1">IFERROR(__xludf.DUMMYFUNCTION("GOOGLETRANSLATE(B741,""en"",""gd"")"),"argamaid")</f>
        <v>argamaid</v>
      </c>
    </row>
    <row r="742" spans="1:9" ht="14.25" customHeight="1" x14ac:dyDescent="0.3">
      <c r="A742" s="2">
        <v>741</v>
      </c>
      <c r="B742" s="3" t="s">
        <v>749</v>
      </c>
      <c r="C742" s="2" t="str">
        <f ca="1">IFERROR(__xludf.DUMMYFUNCTION("GOOGLETRANSLATE(B742, ""en"",""es"")"),"junta")</f>
        <v>junta</v>
      </c>
      <c r="D742" s="2" t="str">
        <f ca="1">IFERROR(__xludf.DUMMYFUNCTION("GOOGLETRANSLATE(B742,""en"",""ig"")"),"iba")</f>
        <v>iba</v>
      </c>
      <c r="E742" s="2" t="str">
        <f ca="1">IFERROR(__xludf.DUMMYFUNCTION("GOOGLETRANSLATE(B742,""en"",""fr"")"),"conseil")</f>
        <v>conseil</v>
      </c>
      <c r="F742" s="2" t="str">
        <f ca="1">IFERROR(__xludf.DUMMYFUNCTION("GOOGLETRANSLATE(B742,""en"",""it"")"),"asse")</f>
        <v>asse</v>
      </c>
      <c r="G742" s="2" t="str">
        <f ca="1">IFERROR(__xludf.DUMMYFUNCTION("GOOGLETRANSLATE(B742,""en"",""de"")"),"Planke")</f>
        <v>Planke</v>
      </c>
      <c r="H742" s="2" t="str">
        <f ca="1">IFERROR(__xludf.DUMMYFUNCTION("GOOGLETRANSLATE(B742,""en"",""zh"")"),"木板")</f>
        <v>木板</v>
      </c>
      <c r="I742" s="2" t="str">
        <f ca="1">IFERROR(__xludf.DUMMYFUNCTION("GOOGLETRANSLATE(B742,""en"",""gd"")"),"bòrd")</f>
        <v>bòrd</v>
      </c>
    </row>
    <row r="743" spans="1:9" ht="14.25" customHeight="1" x14ac:dyDescent="0.3">
      <c r="A743" s="2">
        <v>742</v>
      </c>
      <c r="B743" s="3" t="s">
        <v>750</v>
      </c>
      <c r="C743" s="2" t="str">
        <f ca="1">IFERROR(__xludf.DUMMYFUNCTION("GOOGLETRANSLATE(B743, ""en"",""es"")"),"día festivo")</f>
        <v>día festivo</v>
      </c>
      <c r="D743" s="2" t="str">
        <f ca="1">IFERROR(__xludf.DUMMYFUNCTION("GOOGLETRANSLATE(B743,""en"",""ig"")"),"ezumiike")</f>
        <v>ezumiike</v>
      </c>
      <c r="E743" s="2" t="str">
        <f ca="1">IFERROR(__xludf.DUMMYFUNCTION("GOOGLETRANSLATE(B743,""en"",""fr"")"),"vacances")</f>
        <v>vacances</v>
      </c>
      <c r="F743" s="2" t="str">
        <f ca="1">IFERROR(__xludf.DUMMYFUNCTION("GOOGLETRANSLATE(B743,""en"",""it"")"),"vacanza")</f>
        <v>vacanza</v>
      </c>
      <c r="G743" s="2" t="str">
        <f ca="1">IFERROR(__xludf.DUMMYFUNCTION("GOOGLETRANSLATE(B743,""en"",""de"")"),"Urlaub")</f>
        <v>Urlaub</v>
      </c>
      <c r="H743" s="2" t="str">
        <f ca="1">IFERROR(__xludf.DUMMYFUNCTION("GOOGLETRANSLATE(B743,""en"",""zh"")"),"假期")</f>
        <v>假期</v>
      </c>
      <c r="I743" s="2" t="str">
        <f ca="1">IFERROR(__xludf.DUMMYFUNCTION("GOOGLETRANSLATE(B743,""en"",""gd"")"),"saor-làithean")</f>
        <v>saor-làithean</v>
      </c>
    </row>
    <row r="744" spans="1:9" ht="14.25" customHeight="1" x14ac:dyDescent="0.3">
      <c r="A744" s="2">
        <v>743</v>
      </c>
      <c r="B744" s="3" t="s">
        <v>751</v>
      </c>
      <c r="C744" s="2" t="str">
        <f ca="1">IFERROR(__xludf.DUMMYFUNCTION("GOOGLETRANSLATE(B744, ""en"",""es"")"),"marca")</f>
        <v>marca</v>
      </c>
      <c r="D744" s="2" t="str">
        <f ca="1">IFERROR(__xludf.DUMMYFUNCTION("GOOGLETRANSLATE(B744,""en"",""ig"")"),"akara")</f>
        <v>akara</v>
      </c>
      <c r="E744" s="2" t="str">
        <f ca="1">IFERROR(__xludf.DUMMYFUNCTION("GOOGLETRANSLATE(B744,""en"",""fr"")"),"marque")</f>
        <v>marque</v>
      </c>
      <c r="F744" s="2" t="str">
        <f ca="1">IFERROR(__xludf.DUMMYFUNCTION("GOOGLETRANSLATE(B744,""en"",""it"")"),"segno")</f>
        <v>segno</v>
      </c>
      <c r="G744" s="2" t="str">
        <f ca="1">IFERROR(__xludf.DUMMYFUNCTION("GOOGLETRANSLATE(B744,""en"",""de"")"),"markieren")</f>
        <v>markieren</v>
      </c>
      <c r="H744" s="2" t="str">
        <f ca="1">IFERROR(__xludf.DUMMYFUNCTION("GOOGLETRANSLATE(B744,""en"",""zh"")"),"标记")</f>
        <v>标记</v>
      </c>
      <c r="I744" s="2" t="str">
        <f ca="1">IFERROR(__xludf.DUMMYFUNCTION("GOOGLETRANSLATE(B744,""en"",""gd"")"),"Marc")</f>
        <v>Marc</v>
      </c>
    </row>
    <row r="745" spans="1:9" ht="14.25" customHeight="1" x14ac:dyDescent="0.3">
      <c r="A745" s="2">
        <v>744</v>
      </c>
      <c r="B745" s="3" t="s">
        <v>752</v>
      </c>
      <c r="C745" s="2" t="str">
        <f ca="1">IFERROR(__xludf.DUMMYFUNCTION("GOOGLETRANSLATE(B745, ""en"",""es"")"),"iglesia")</f>
        <v>iglesia</v>
      </c>
      <c r="D745" s="2" t="str">
        <f ca="1">IFERROR(__xludf.DUMMYFUNCTION("GOOGLETRANSLATE(B745,""en"",""ig"")"),"uka")</f>
        <v>uka</v>
      </c>
      <c r="E745" s="2" t="str">
        <f ca="1">IFERROR(__xludf.DUMMYFUNCTION("GOOGLETRANSLATE(B745,""en"",""fr"")"),"église")</f>
        <v>église</v>
      </c>
      <c r="F745" s="2" t="str">
        <f ca="1">IFERROR(__xludf.DUMMYFUNCTION("GOOGLETRANSLATE(B745,""en"",""it"")"),"Chiesa")</f>
        <v>Chiesa</v>
      </c>
      <c r="G745" s="2" t="str">
        <f ca="1">IFERROR(__xludf.DUMMYFUNCTION("GOOGLETRANSLATE(B745,""en"",""de"")"),"Kirche")</f>
        <v>Kirche</v>
      </c>
      <c r="H745" s="2" t="str">
        <f ca="1">IFERROR(__xludf.DUMMYFUNCTION("GOOGLETRANSLATE(B745,""en"",""zh"")"),"教会")</f>
        <v>教会</v>
      </c>
      <c r="I745" s="2" t="str">
        <f ca="1">IFERROR(__xludf.DUMMYFUNCTION("GOOGLETRANSLATE(B745,""en"",""gd"")"),"Eaglais")</f>
        <v>Eaglais</v>
      </c>
    </row>
    <row r="746" spans="1:9" ht="14.25" customHeight="1" x14ac:dyDescent="0.3">
      <c r="A746" s="2">
        <v>745</v>
      </c>
      <c r="B746" s="3" t="s">
        <v>753</v>
      </c>
      <c r="C746" s="2" t="str">
        <f ca="1">IFERROR(__xludf.DUMMYFUNCTION("GOOGLETRANSLATE(B746, ""en"",""es"")"),"máquina")</f>
        <v>máquina</v>
      </c>
      <c r="D746" s="2" t="str">
        <f ca="1">IFERROR(__xludf.DUMMYFUNCTION("GOOGLETRANSLATE(B746,""en"",""ig"")"),"machiini")</f>
        <v>machiini</v>
      </c>
      <c r="E746" s="2" t="str">
        <f ca="1">IFERROR(__xludf.DUMMYFUNCTION("GOOGLETRANSLATE(B746,""en"",""fr"")"),"machine")</f>
        <v>machine</v>
      </c>
      <c r="F746" s="2" t="str">
        <f ca="1">IFERROR(__xludf.DUMMYFUNCTION("GOOGLETRANSLATE(B746,""en"",""it"")"),"macchina")</f>
        <v>macchina</v>
      </c>
      <c r="G746" s="2" t="str">
        <f ca="1">IFERROR(__xludf.DUMMYFUNCTION("GOOGLETRANSLATE(B746,""en"",""de"")"),"Maschine")</f>
        <v>Maschine</v>
      </c>
      <c r="H746" s="2" t="str">
        <f ca="1">IFERROR(__xludf.DUMMYFUNCTION("GOOGLETRANSLATE(B746,""en"",""zh"")"),"机器")</f>
        <v>机器</v>
      </c>
      <c r="I746" s="2" t="str">
        <f ca="1">IFERROR(__xludf.DUMMYFUNCTION("GOOGLETRANSLATE(B746,""en"",""gd"")"),"inneal")</f>
        <v>inneal</v>
      </c>
    </row>
    <row r="747" spans="1:9" ht="14.25" customHeight="1" x14ac:dyDescent="0.3">
      <c r="A747" s="2">
        <v>746</v>
      </c>
      <c r="B747" s="3" t="s">
        <v>754</v>
      </c>
      <c r="C747" s="2" t="str">
        <f ca="1">IFERROR(__xludf.DUMMYFUNCTION("GOOGLETRANSLATE(B747, ""en"",""es"")"),"lograr")</f>
        <v>lograr</v>
      </c>
      <c r="D747" s="2" t="str">
        <f ca="1">IFERROR(__xludf.DUMMYFUNCTION("GOOGLETRANSLATE(B747,""en"",""ig"")"),"imeta")</f>
        <v>imeta</v>
      </c>
      <c r="E747" s="2" t="str">
        <f ca="1">IFERROR(__xludf.DUMMYFUNCTION("GOOGLETRANSLATE(B747,""en"",""fr"")"),"atteindre")</f>
        <v>atteindre</v>
      </c>
      <c r="F747" s="2" t="str">
        <f ca="1">IFERROR(__xludf.DUMMYFUNCTION("GOOGLETRANSLATE(B747,""en"",""it"")"),"raggiungere")</f>
        <v>raggiungere</v>
      </c>
      <c r="G747" s="2" t="str">
        <f ca="1">IFERROR(__xludf.DUMMYFUNCTION("GOOGLETRANSLATE(B747,""en"",""de"")"),"erreichen")</f>
        <v>erreichen</v>
      </c>
      <c r="H747" s="2" t="str">
        <f ca="1">IFERROR(__xludf.DUMMYFUNCTION("GOOGLETRANSLATE(B747,""en"",""zh"")"),"达到")</f>
        <v>达到</v>
      </c>
      <c r="I747" s="2" t="str">
        <f ca="1">IFERROR(__xludf.DUMMYFUNCTION("GOOGLETRANSLATE(B747,""en"",""gd"")"),"coileanadh")</f>
        <v>coileanadh</v>
      </c>
    </row>
    <row r="748" spans="1:9" ht="14.25" customHeight="1" x14ac:dyDescent="0.3">
      <c r="A748" s="2">
        <v>747</v>
      </c>
      <c r="B748" s="3" t="s">
        <v>755</v>
      </c>
      <c r="C748" s="2" t="str">
        <f ca="1">IFERROR(__xludf.DUMMYFUNCTION("GOOGLETRANSLATE(B748, ""en"",""es"")"),"artículo")</f>
        <v>artículo</v>
      </c>
      <c r="D748" s="2" t="str">
        <f ca="1">IFERROR(__xludf.DUMMYFUNCTION("GOOGLETRANSLATE(B748,""en"",""ig"")"),"ihe")</f>
        <v>ihe</v>
      </c>
      <c r="E748" s="2" t="str">
        <f ca="1">IFERROR(__xludf.DUMMYFUNCTION("GOOGLETRANSLATE(B748,""en"",""fr"")"),"article")</f>
        <v>article</v>
      </c>
      <c r="F748" s="2" t="str">
        <f ca="1">IFERROR(__xludf.DUMMYFUNCTION("GOOGLETRANSLATE(B748,""en"",""it"")"),"articolo")</f>
        <v>articolo</v>
      </c>
      <c r="G748" s="2" t="str">
        <f ca="1">IFERROR(__xludf.DUMMYFUNCTION("GOOGLETRANSLATE(B748,""en"",""de"")"),"Artikel")</f>
        <v>Artikel</v>
      </c>
      <c r="H748" s="2" t="str">
        <f ca="1">IFERROR(__xludf.DUMMYFUNCTION("GOOGLETRANSLATE(B748,""en"",""zh"")"),"物品")</f>
        <v>物品</v>
      </c>
      <c r="I748" s="2" t="str">
        <f ca="1">IFERROR(__xludf.DUMMYFUNCTION("GOOGLETRANSLATE(B748,""en"",""gd"")"),"Nì")</f>
        <v>Nì</v>
      </c>
    </row>
    <row r="749" spans="1:9" ht="14.25" customHeight="1" x14ac:dyDescent="0.3">
      <c r="A749" s="2">
        <v>748</v>
      </c>
      <c r="B749" s="3" t="s">
        <v>756</v>
      </c>
      <c r="C749" s="2" t="str">
        <f ca="1">IFERROR(__xludf.DUMMYFUNCTION("GOOGLETRANSLATE(B749, ""en"",""es"")"),"probar")</f>
        <v>probar</v>
      </c>
      <c r="D749" s="2" t="str">
        <f ca="1">IFERROR(__xludf.DUMMYFUNCTION("GOOGLETRANSLATE(B749,""en"",""ig"")"),"ziputa")</f>
        <v>ziputa</v>
      </c>
      <c r="E749" s="2" t="str">
        <f ca="1">IFERROR(__xludf.DUMMYFUNCTION("GOOGLETRANSLATE(B749,""en"",""fr"")"),"prouver")</f>
        <v>prouver</v>
      </c>
      <c r="F749" s="2" t="str">
        <f ca="1">IFERROR(__xludf.DUMMYFUNCTION("GOOGLETRANSLATE(B749,""en"",""it"")"),"dimostrare")</f>
        <v>dimostrare</v>
      </c>
      <c r="G749" s="2" t="str">
        <f ca="1">IFERROR(__xludf.DUMMYFUNCTION("GOOGLETRANSLATE(B749,""en"",""de"")"),"beweisen")</f>
        <v>beweisen</v>
      </c>
      <c r="H749" s="2" t="str">
        <f ca="1">IFERROR(__xludf.DUMMYFUNCTION("GOOGLETRANSLATE(B749,""en"",""zh"")"),"证明")</f>
        <v>证明</v>
      </c>
      <c r="I749" s="2" t="str">
        <f ca="1">IFERROR(__xludf.DUMMYFUNCTION("GOOGLETRANSLATE(B749,""en"",""gd"")"),"dearbhadh")</f>
        <v>dearbhadh</v>
      </c>
    </row>
    <row r="750" spans="1:9" ht="14.25" customHeight="1" x14ac:dyDescent="0.3">
      <c r="A750" s="2">
        <v>749</v>
      </c>
      <c r="B750" s="3" t="s">
        <v>757</v>
      </c>
      <c r="C750" s="2" t="str">
        <f ca="1">IFERROR(__xludf.DUMMYFUNCTION("GOOGLETRANSLATE(B750, ""en"",""es"")"),"centavo")</f>
        <v>centavo</v>
      </c>
      <c r="D750" s="2" t="str">
        <f ca="1">IFERROR(__xludf.DUMMYFUNCTION("GOOGLETRANSLATE(B750,""en"",""ig"")"),"mkpi")</f>
        <v>mkpi</v>
      </c>
      <c r="E750" s="2" t="str">
        <f ca="1">IFERROR(__xludf.DUMMYFUNCTION("GOOGLETRANSLATE(B750,""en"",""fr"")"),"cent")</f>
        <v>cent</v>
      </c>
      <c r="F750" s="2" t="str">
        <f ca="1">IFERROR(__xludf.DUMMYFUNCTION("GOOGLETRANSLATE(B750,""en"",""it"")"),"cent")</f>
        <v>cent</v>
      </c>
      <c r="G750" s="2" t="str">
        <f ca="1">IFERROR(__xludf.DUMMYFUNCTION("GOOGLETRANSLATE(B750,""en"",""de"")"),"Cent")</f>
        <v>Cent</v>
      </c>
      <c r="H750" s="2" t="str">
        <f ca="1">IFERROR(__xludf.DUMMYFUNCTION("GOOGLETRANSLATE(B750,""en"",""zh"")"),"百分点")</f>
        <v>百分点</v>
      </c>
      <c r="I750" s="2" t="str">
        <f ca="1">IFERROR(__xludf.DUMMYFUNCTION("GOOGLETRANSLATE(B750,""en"",""gd"")"),"ceud")</f>
        <v>ceud</v>
      </c>
    </row>
    <row r="751" spans="1:9" ht="14.25" customHeight="1" x14ac:dyDescent="0.3">
      <c r="A751" s="2">
        <v>750</v>
      </c>
      <c r="B751" s="3" t="s">
        <v>758</v>
      </c>
      <c r="C751" s="2" t="str">
        <f ca="1">IFERROR(__xludf.DUMMYFUNCTION("GOOGLETRANSLATE(B751, ""en"",""es"")"),"estación")</f>
        <v>estación</v>
      </c>
      <c r="D751" s="2" t="str">
        <f ca="1">IFERROR(__xludf.DUMMYFUNCTION("GOOGLETRANSLATE(B751,""en"",""ig"")"),"sizen")</f>
        <v>sizen</v>
      </c>
      <c r="E751" s="2" t="str">
        <f ca="1">IFERROR(__xludf.DUMMYFUNCTION("GOOGLETRANSLATE(B751,""en"",""fr"")"),"saison")</f>
        <v>saison</v>
      </c>
      <c r="F751" s="2" t="str">
        <f ca="1">IFERROR(__xludf.DUMMYFUNCTION("GOOGLETRANSLATE(B751,""en"",""it"")"),"stagione")</f>
        <v>stagione</v>
      </c>
      <c r="G751" s="2" t="str">
        <f ca="1">IFERROR(__xludf.DUMMYFUNCTION("GOOGLETRANSLATE(B751,""en"",""de"")"),"Jahreszeit")</f>
        <v>Jahreszeit</v>
      </c>
      <c r="H751" s="2" t="str">
        <f ca="1">IFERROR(__xludf.DUMMYFUNCTION("GOOGLETRANSLATE(B751,""en"",""zh"")"),"季节")</f>
        <v>季节</v>
      </c>
      <c r="I751" s="2" t="str">
        <f ca="1">IFERROR(__xludf.DUMMYFUNCTION("GOOGLETRANSLATE(B751,""en"",""gd"")"),"ràithe")</f>
        <v>ràithe</v>
      </c>
    </row>
    <row r="752" spans="1:9" ht="14.25" customHeight="1" x14ac:dyDescent="0.3">
      <c r="A752" s="2">
        <v>751</v>
      </c>
      <c r="B752" s="3" t="s">
        <v>759</v>
      </c>
      <c r="C752" s="2" t="str">
        <f ca="1">IFERROR(__xludf.DUMMYFUNCTION("GOOGLETRANSLATE(B752, ""en"",""es"")"),"piso")</f>
        <v>piso</v>
      </c>
      <c r="D752" s="2" t="str">
        <f ca="1">IFERROR(__xludf.DUMMYFUNCTION("GOOGLETRANSLATE(B752,""en"",""ig"")"),"ala ulo")</f>
        <v>ala ulo</v>
      </c>
      <c r="E752" s="2" t="str">
        <f ca="1">IFERROR(__xludf.DUMMYFUNCTION("GOOGLETRANSLATE(B752,""en"",""fr"")"),"sol")</f>
        <v>sol</v>
      </c>
      <c r="F752" s="2" t="str">
        <f ca="1">IFERROR(__xludf.DUMMYFUNCTION("GOOGLETRANSLATE(B752,""en"",""it"")"),"pavimento")</f>
        <v>pavimento</v>
      </c>
      <c r="G752" s="2" t="str">
        <f ca="1">IFERROR(__xludf.DUMMYFUNCTION("GOOGLETRANSLATE(B752,""en"",""de"")"),"Boden")</f>
        <v>Boden</v>
      </c>
      <c r="H752" s="2" t="str">
        <f ca="1">IFERROR(__xludf.DUMMYFUNCTION("GOOGLETRANSLATE(B752,""en"",""zh"")"),"地面")</f>
        <v>地面</v>
      </c>
      <c r="I752" s="2" t="str">
        <f ca="1">IFERROR(__xludf.DUMMYFUNCTION("GOOGLETRANSLATE(B752,""en"",""gd"")"),"làr")</f>
        <v>làr</v>
      </c>
    </row>
    <row r="753" spans="1:9" ht="14.25" customHeight="1" x14ac:dyDescent="0.3">
      <c r="A753" s="2">
        <v>752</v>
      </c>
      <c r="B753" s="3" t="s">
        <v>760</v>
      </c>
      <c r="C753" s="2" t="str">
        <f ca="1">IFERROR(__xludf.DUMMYFUNCTION("GOOGLETRANSLATE(B753, ""en"",""es"")"),"cosa")</f>
        <v>cosa</v>
      </c>
      <c r="D753" s="2" t="str">
        <f ca="1">IFERROR(__xludf.DUMMYFUNCTION("GOOGLETRANSLATE(B753,""en"",""ig"")"),"stof")</f>
        <v>stof</v>
      </c>
      <c r="E753" s="2" t="str">
        <f ca="1">IFERROR(__xludf.DUMMYFUNCTION("GOOGLETRANSLATE(B753,""en"",""fr"")"),"truc")</f>
        <v>truc</v>
      </c>
      <c r="F753" s="2" t="str">
        <f ca="1">IFERROR(__xludf.DUMMYFUNCTION("GOOGLETRANSLATE(B753,""en"",""it"")"),"cose")</f>
        <v>cose</v>
      </c>
      <c r="G753" s="2" t="str">
        <f ca="1">IFERROR(__xludf.DUMMYFUNCTION("GOOGLETRANSLATE(B753,""en"",""de"")"),"Sachen")</f>
        <v>Sachen</v>
      </c>
      <c r="H753" s="2" t="str">
        <f ca="1">IFERROR(__xludf.DUMMYFUNCTION("GOOGLETRANSLATE(B753,""en"",""zh"")"),"东西")</f>
        <v>东西</v>
      </c>
      <c r="I753" s="2" t="str">
        <f ca="1">IFERROR(__xludf.DUMMYFUNCTION("GOOGLETRANSLATE(B753,""en"",""gd"")"),"Stuff")</f>
        <v>Stuff</v>
      </c>
    </row>
    <row r="754" spans="1:9" ht="14.25" customHeight="1" x14ac:dyDescent="0.3">
      <c r="A754" s="2">
        <v>753</v>
      </c>
      <c r="B754" s="3" t="s">
        <v>761</v>
      </c>
      <c r="C754" s="2" t="str">
        <f ca="1">IFERROR(__xludf.DUMMYFUNCTION("GOOGLETRANSLATE(B754, ""en"",""es"")"),"ancho")</f>
        <v>ancho</v>
      </c>
      <c r="D754" s="2" t="str">
        <f ca="1">IFERROR(__xludf.DUMMYFUNCTION("GOOGLETRANSLATE(B754,""en"",""ig"")"),"obodobo")</f>
        <v>obodobo</v>
      </c>
      <c r="E754" s="2" t="str">
        <f ca="1">IFERROR(__xludf.DUMMYFUNCTION("GOOGLETRANSLATE(B754,""en"",""fr"")"),"large")</f>
        <v>large</v>
      </c>
      <c r="F754" s="2" t="str">
        <f ca="1">IFERROR(__xludf.DUMMYFUNCTION("GOOGLETRANSLATE(B754,""en"",""it"")"),"Largo")</f>
        <v>Largo</v>
      </c>
      <c r="G754" s="2" t="str">
        <f ca="1">IFERROR(__xludf.DUMMYFUNCTION("GOOGLETRANSLATE(B754,""en"",""de"")"),"breit")</f>
        <v>breit</v>
      </c>
      <c r="H754" s="2" t="str">
        <f ca="1">IFERROR(__xludf.DUMMYFUNCTION("GOOGLETRANSLATE(B754,""en"",""zh"")"),"宽的")</f>
        <v>宽的</v>
      </c>
      <c r="I754" s="2" t="str">
        <f ca="1">IFERROR(__xludf.DUMMYFUNCTION("GOOGLETRANSLATE(B754,""en"",""gd"")"),"leathann")</f>
        <v>leathann</v>
      </c>
    </row>
    <row r="755" spans="1:9" ht="14.25" customHeight="1" x14ac:dyDescent="0.3">
      <c r="A755" s="2">
        <v>754</v>
      </c>
      <c r="B755" s="3" t="s">
        <v>762</v>
      </c>
      <c r="C755" s="2" t="str">
        <f ca="1">IFERROR(__xludf.DUMMYFUNCTION("GOOGLETRANSLATE(B755, ""en"",""es"")"),"alguien")</f>
        <v>alguien</v>
      </c>
      <c r="D755" s="2" t="str">
        <f ca="1">IFERROR(__xludf.DUMMYFUNCTION("GOOGLETRANSLATE(B755,""en"",""ig"")"),"onye obula")</f>
        <v>onye obula</v>
      </c>
      <c r="E755" s="2" t="str">
        <f ca="1">IFERROR(__xludf.DUMMYFUNCTION("GOOGLETRANSLATE(B755,""en"",""fr"")"),"n'importe qui")</f>
        <v>n'importe qui</v>
      </c>
      <c r="F755" s="2" t="str">
        <f ca="1">IFERROR(__xludf.DUMMYFUNCTION("GOOGLETRANSLATE(B755,""en"",""it"")"),"chiunque")</f>
        <v>chiunque</v>
      </c>
      <c r="G755" s="2" t="str">
        <f ca="1">IFERROR(__xludf.DUMMYFUNCTION("GOOGLETRANSLATE(B755,""en"",""de"")"),"irgendjemand")</f>
        <v>irgendjemand</v>
      </c>
      <c r="H755" s="2" t="str">
        <f ca="1">IFERROR(__xludf.DUMMYFUNCTION("GOOGLETRANSLATE(B755,""en"",""zh"")"),"任何人")</f>
        <v>任何人</v>
      </c>
      <c r="I755" s="2" t="str">
        <f ca="1">IFERROR(__xludf.DUMMYFUNCTION("GOOGLETRANSLATE(B755,""en"",""gd"")"),"neach sam bith")</f>
        <v>neach sam bith</v>
      </c>
    </row>
    <row r="756" spans="1:9" ht="14.25" customHeight="1" x14ac:dyDescent="0.3">
      <c r="A756" s="2">
        <v>755</v>
      </c>
      <c r="B756" s="3" t="s">
        <v>763</v>
      </c>
      <c r="C756" s="2" t="str">
        <f ca="1">IFERROR(__xludf.DUMMYFUNCTION("GOOGLETRANSLATE(B756, ""en"",""es"")"),"método")</f>
        <v>método</v>
      </c>
      <c r="D756" s="2" t="str">
        <f ca="1">IFERROR(__xludf.DUMMYFUNCTION("GOOGLETRANSLATE(B756,""en"",""ig"")"),"nka imeihe")</f>
        <v>nka imeihe</v>
      </c>
      <c r="E756" s="2" t="str">
        <f ca="1">IFERROR(__xludf.DUMMYFUNCTION("GOOGLETRANSLATE(B756,""en"",""fr"")"),"méthode")</f>
        <v>méthode</v>
      </c>
      <c r="F756" s="2" t="str">
        <f ca="1">IFERROR(__xludf.DUMMYFUNCTION("GOOGLETRANSLATE(B756,""en"",""it"")"),"metodo")</f>
        <v>metodo</v>
      </c>
      <c r="G756" s="2" t="str">
        <f ca="1">IFERROR(__xludf.DUMMYFUNCTION("GOOGLETRANSLATE(B756,""en"",""de"")"),"Methode")</f>
        <v>Methode</v>
      </c>
      <c r="H756" s="2" t="str">
        <f ca="1">IFERROR(__xludf.DUMMYFUNCTION("GOOGLETRANSLATE(B756,""en"",""zh"")"),"方法")</f>
        <v>方法</v>
      </c>
      <c r="I756" s="2" t="str">
        <f ca="1">IFERROR(__xludf.DUMMYFUNCTION("GOOGLETRANSLATE(B756,""en"",""gd"")"),"Modh")</f>
        <v>Modh</v>
      </c>
    </row>
    <row r="757" spans="1:9" ht="14.25" customHeight="1" x14ac:dyDescent="0.3">
      <c r="A757" s="2">
        <v>756</v>
      </c>
      <c r="B757" s="3" t="s">
        <v>764</v>
      </c>
      <c r="C757" s="2" t="str">
        <f ca="1">IFERROR(__xludf.DUMMYFUNCTION("GOOGLETRANSLATE(B757, ""en"",""es"")"),"análisis")</f>
        <v>análisis</v>
      </c>
      <c r="D757" s="2" t="str">
        <f ca="1">IFERROR(__xludf.DUMMYFUNCTION("GOOGLETRANSLATE(B757,""en"",""ig"")"),"nseke")</f>
        <v>nseke</v>
      </c>
      <c r="E757" s="2" t="str">
        <f ca="1">IFERROR(__xludf.DUMMYFUNCTION("GOOGLETRANSLATE(B757,""en"",""fr"")"),"analyse")</f>
        <v>analyse</v>
      </c>
      <c r="F757" s="2" t="str">
        <f ca="1">IFERROR(__xludf.DUMMYFUNCTION("GOOGLETRANSLATE(B757,""en"",""it"")"),"analisi")</f>
        <v>analisi</v>
      </c>
      <c r="G757" s="2" t="str">
        <f ca="1">IFERROR(__xludf.DUMMYFUNCTION("GOOGLETRANSLATE(B757,""en"",""de"")"),"Analyse")</f>
        <v>Analyse</v>
      </c>
      <c r="H757" s="2" t="str">
        <f ca="1">IFERROR(__xludf.DUMMYFUNCTION("GOOGLETRANSLATE(B757,""en"",""zh"")"),"分析")</f>
        <v>分析</v>
      </c>
      <c r="I757" s="2" t="str">
        <f ca="1">IFERROR(__xludf.DUMMYFUNCTION("GOOGLETRANSLATE(B757,""en"",""gd"")"),"Mion-sgrùdadh")</f>
        <v>Mion-sgrùdadh</v>
      </c>
    </row>
    <row r="758" spans="1:9" ht="14.25" customHeight="1" x14ac:dyDescent="0.3">
      <c r="A758" s="2">
        <v>757</v>
      </c>
      <c r="B758" s="3" t="s">
        <v>765</v>
      </c>
      <c r="C758" s="2" t="str">
        <f ca="1">IFERROR(__xludf.DUMMYFUNCTION("GOOGLETRANSLATE(B758, ""en"",""es"")"),"elección")</f>
        <v>elección</v>
      </c>
      <c r="D758" s="2" t="str">
        <f ca="1">IFERROR(__xludf.DUMMYFUNCTION("GOOGLETRANSLATE(B758,""en"",""ig"")"),"nhoputa")</f>
        <v>nhoputa</v>
      </c>
      <c r="E758" s="2" t="str">
        <f ca="1">IFERROR(__xludf.DUMMYFUNCTION("GOOGLETRANSLATE(B758,""en"",""fr"")"),"élection")</f>
        <v>élection</v>
      </c>
      <c r="F758" s="2" t="str">
        <f ca="1">IFERROR(__xludf.DUMMYFUNCTION("GOOGLETRANSLATE(B758,""en"",""it"")"),"elezione")</f>
        <v>elezione</v>
      </c>
      <c r="G758" s="2" t="str">
        <f ca="1">IFERROR(__xludf.DUMMYFUNCTION("GOOGLETRANSLATE(B758,""en"",""de"")"),"Wahl")</f>
        <v>Wahl</v>
      </c>
      <c r="H758" s="2" t="str">
        <f ca="1">IFERROR(__xludf.DUMMYFUNCTION("GOOGLETRANSLATE(B758,""en"",""zh"")"),"选举")</f>
        <v>选举</v>
      </c>
      <c r="I758" s="2" t="str">
        <f ca="1">IFERROR(__xludf.DUMMYFUNCTION("GOOGLETRANSLATE(B758,""en"",""gd"")"),"Taghadh")</f>
        <v>Taghadh</v>
      </c>
    </row>
    <row r="759" spans="1:9" ht="14.25" customHeight="1" x14ac:dyDescent="0.3">
      <c r="A759" s="2">
        <v>758</v>
      </c>
      <c r="B759" s="3" t="s">
        <v>766</v>
      </c>
      <c r="C759" s="2" t="str">
        <f ca="1">IFERROR(__xludf.DUMMYFUNCTION("GOOGLETRANSLATE(B759, ""en"",""es"")"),"militar")</f>
        <v>militar</v>
      </c>
      <c r="D759" s="2" t="str">
        <f ca="1">IFERROR(__xludf.DUMMYFUNCTION("GOOGLETRANSLATE(B759,""en"",""ig"")"),"ami")</f>
        <v>ami</v>
      </c>
      <c r="E759" s="2" t="str">
        <f ca="1">IFERROR(__xludf.DUMMYFUNCTION("GOOGLETRANSLATE(B759,""en"",""fr"")"),"militaire")</f>
        <v>militaire</v>
      </c>
      <c r="F759" s="2" t="str">
        <f ca="1">IFERROR(__xludf.DUMMYFUNCTION("GOOGLETRANSLATE(B759,""en"",""it"")"),"militare")</f>
        <v>militare</v>
      </c>
      <c r="G759" s="2" t="str">
        <f ca="1">IFERROR(__xludf.DUMMYFUNCTION("GOOGLETRANSLATE(B759,""en"",""de"")"),"Militär")</f>
        <v>Militär</v>
      </c>
      <c r="H759" s="2" t="str">
        <f ca="1">IFERROR(__xludf.DUMMYFUNCTION("GOOGLETRANSLATE(B759,""en"",""zh"")"),"军队")</f>
        <v>军队</v>
      </c>
      <c r="I759" s="2" t="str">
        <f ca="1">IFERROR(__xludf.DUMMYFUNCTION("GOOGLETRANSLATE(B759,""en"",""gd"")"),"armachd")</f>
        <v>armachd</v>
      </c>
    </row>
    <row r="760" spans="1:9" ht="14.25" customHeight="1" x14ac:dyDescent="0.3">
      <c r="A760" s="2">
        <v>759</v>
      </c>
      <c r="B760" s="3" t="s">
        <v>767</v>
      </c>
      <c r="C760" s="2" t="str">
        <f ca="1">IFERROR(__xludf.DUMMYFUNCTION("GOOGLETRANSLATE(B760, ""en"",""es"")"),"hotel")</f>
        <v>hotel</v>
      </c>
      <c r="D760" s="2" t="str">
        <f ca="1">IFERROR(__xludf.DUMMYFUNCTION("GOOGLETRANSLATE(B760,""en"",""ig"")"),"hoteelu")</f>
        <v>hoteelu</v>
      </c>
      <c r="E760" s="2" t="str">
        <f ca="1">IFERROR(__xludf.DUMMYFUNCTION("GOOGLETRANSLATE(B760,""en"",""fr"")"),"hôtel")</f>
        <v>hôtel</v>
      </c>
      <c r="F760" s="2" t="str">
        <f ca="1">IFERROR(__xludf.DUMMYFUNCTION("GOOGLETRANSLATE(B760,""en"",""it"")"),"Hotel")</f>
        <v>Hotel</v>
      </c>
      <c r="G760" s="2" t="str">
        <f ca="1">IFERROR(__xludf.DUMMYFUNCTION("GOOGLETRANSLATE(B760,""en"",""de"")"),"Hotel")</f>
        <v>Hotel</v>
      </c>
      <c r="H760" s="2" t="str">
        <f ca="1">IFERROR(__xludf.DUMMYFUNCTION("GOOGLETRANSLATE(B760,""en"",""zh"")"),"酒店")</f>
        <v>酒店</v>
      </c>
      <c r="I760" s="2" t="str">
        <f ca="1">IFERROR(__xludf.DUMMYFUNCTION("GOOGLETRANSLATE(B760,""en"",""gd"")"),"Taigh-òsta")</f>
        <v>Taigh-òsta</v>
      </c>
    </row>
    <row r="761" spans="1:9" ht="14.25" customHeight="1" x14ac:dyDescent="0.3">
      <c r="A761" s="2">
        <v>760</v>
      </c>
      <c r="B761" s="3" t="s">
        <v>768</v>
      </c>
      <c r="C761" s="2" t="str">
        <f ca="1">IFERROR(__xludf.DUMMYFUNCTION("GOOGLETRANSLATE(B761, ""en"",""es"")"),"club")</f>
        <v>club</v>
      </c>
      <c r="D761" s="2" t="str">
        <f ca="1">IFERROR(__xludf.DUMMYFUNCTION("GOOGLETRANSLATE(B761,""en"",""ig"")"),"osisi")</f>
        <v>osisi</v>
      </c>
      <c r="E761" s="2" t="str">
        <f ca="1">IFERROR(__xludf.DUMMYFUNCTION("GOOGLETRANSLATE(B761,""en"",""fr"")"),"club")</f>
        <v>club</v>
      </c>
      <c r="F761" s="2" t="str">
        <f ca="1">IFERROR(__xludf.DUMMYFUNCTION("GOOGLETRANSLATE(B761,""en"",""it"")"),"club")</f>
        <v>club</v>
      </c>
      <c r="G761" s="2" t="str">
        <f ca="1">IFERROR(__xludf.DUMMYFUNCTION("GOOGLETRANSLATE(B761,""en"",""de"")"),"Verein")</f>
        <v>Verein</v>
      </c>
      <c r="H761" s="2" t="str">
        <f ca="1">IFERROR(__xludf.DUMMYFUNCTION("GOOGLETRANSLATE(B761,""en"",""zh"")"),"俱乐部")</f>
        <v>俱乐部</v>
      </c>
      <c r="I761" s="2" t="str">
        <f ca="1">IFERROR(__xludf.DUMMYFUNCTION("GOOGLETRANSLATE(B761,""en"",""gd"")"),"Club")</f>
        <v>Club</v>
      </c>
    </row>
    <row r="762" spans="1:9" ht="14.25" customHeight="1" x14ac:dyDescent="0.3">
      <c r="A762" s="2">
        <v>761</v>
      </c>
      <c r="B762" s="3" t="s">
        <v>769</v>
      </c>
      <c r="C762" s="2" t="str">
        <f ca="1">IFERROR(__xludf.DUMMYFUNCTION("GOOGLETRANSLATE(B762, ""en"",""es"")"),"abajo")</f>
        <v>abajo</v>
      </c>
      <c r="D762" s="2" t="str">
        <f ca="1">IFERROR(__xludf.DUMMYFUNCTION("GOOGLETRANSLATE(B762,""en"",""ig"")"),"n'okpuru")</f>
        <v>n'okpuru</v>
      </c>
      <c r="E762" s="2" t="str">
        <f ca="1">IFERROR(__xludf.DUMMYFUNCTION("GOOGLETRANSLATE(B762,""en"",""fr"")"),"ci-dessous")</f>
        <v>ci-dessous</v>
      </c>
      <c r="F762" s="2" t="str">
        <f ca="1">IFERROR(__xludf.DUMMYFUNCTION("GOOGLETRANSLATE(B762,""en"",""it"")"),"sotto")</f>
        <v>sotto</v>
      </c>
      <c r="G762" s="2" t="str">
        <f ca="1">IFERROR(__xludf.DUMMYFUNCTION("GOOGLETRANSLATE(B762,""en"",""de"")"),"unten")</f>
        <v>unten</v>
      </c>
      <c r="H762" s="2" t="str">
        <f ca="1">IFERROR(__xludf.DUMMYFUNCTION("GOOGLETRANSLATE(B762,""en"",""zh"")"),"以下")</f>
        <v>以下</v>
      </c>
      <c r="I762" s="2" t="str">
        <f ca="1">IFERROR(__xludf.DUMMYFUNCTION("GOOGLETRANSLATE(B762,""en"",""gd"")"),"gu h-ìosal")</f>
        <v>gu h-ìosal</v>
      </c>
    </row>
    <row r="763" spans="1:9" ht="14.25" customHeight="1" x14ac:dyDescent="0.3">
      <c r="A763" s="2">
        <v>762</v>
      </c>
      <c r="B763" s="3" t="s">
        <v>770</v>
      </c>
      <c r="C763" s="2" t="str">
        <f ca="1">IFERROR(__xludf.DUMMYFUNCTION("GOOGLETRANSLATE(B763, ""en"",""es"")"),"película")</f>
        <v>película</v>
      </c>
      <c r="D763" s="2" t="str">
        <f ca="1">IFERROR(__xludf.DUMMYFUNCTION("GOOGLETRANSLATE(B763,""en"",""ig"")"),"muvi")</f>
        <v>muvi</v>
      </c>
      <c r="E763" s="2" t="str">
        <f ca="1">IFERROR(__xludf.DUMMYFUNCTION("GOOGLETRANSLATE(B763,""en"",""fr"")"),"film")</f>
        <v>film</v>
      </c>
      <c r="F763" s="2" t="str">
        <f ca="1">IFERROR(__xludf.DUMMYFUNCTION("GOOGLETRANSLATE(B763,""en"",""it"")"),"film")</f>
        <v>film</v>
      </c>
      <c r="G763" s="2" t="str">
        <f ca="1">IFERROR(__xludf.DUMMYFUNCTION("GOOGLETRANSLATE(B763,""en"",""de"")"),"Film")</f>
        <v>Film</v>
      </c>
      <c r="H763" s="2" t="str">
        <f ca="1">IFERROR(__xludf.DUMMYFUNCTION("GOOGLETRANSLATE(B763,""en"",""zh"")"),"电影")</f>
        <v>电影</v>
      </c>
      <c r="I763" s="2" t="str">
        <f ca="1">IFERROR(__xludf.DUMMYFUNCTION("GOOGLETRANSLATE(B763,""en"",""gd"")"),"film")</f>
        <v>film</v>
      </c>
    </row>
    <row r="764" spans="1:9" ht="14.25" customHeight="1" x14ac:dyDescent="0.3">
      <c r="A764" s="2">
        <v>763</v>
      </c>
      <c r="B764" s="3" t="s">
        <v>771</v>
      </c>
      <c r="C764" s="2" t="str">
        <f ca="1">IFERROR(__xludf.DUMMYFUNCTION("GOOGLETRANSLATE(B764, ""en"",""es"")"),"doctor")</f>
        <v>doctor</v>
      </c>
      <c r="D764" s="2" t="str">
        <f ca="1">IFERROR(__xludf.DUMMYFUNCTION("GOOGLETRANSLATE(B764,""en"",""ig"")"),"dibia bekee")</f>
        <v>dibia bekee</v>
      </c>
      <c r="E764" s="2" t="str">
        <f ca="1">IFERROR(__xludf.DUMMYFUNCTION("GOOGLETRANSLATE(B764,""en"",""fr"")"),"médecin")</f>
        <v>médecin</v>
      </c>
      <c r="F764" s="2" t="str">
        <f ca="1">IFERROR(__xludf.DUMMYFUNCTION("GOOGLETRANSLATE(B764,""en"",""it"")"),"medico")</f>
        <v>medico</v>
      </c>
      <c r="G764" s="2" t="str">
        <f ca="1">IFERROR(__xludf.DUMMYFUNCTION("GOOGLETRANSLATE(B764,""en"",""de"")"),"Arzt")</f>
        <v>Arzt</v>
      </c>
      <c r="H764" s="2" t="str">
        <f ca="1">IFERROR(__xludf.DUMMYFUNCTION("GOOGLETRANSLATE(B764,""en"",""zh"")"),"医生")</f>
        <v>医生</v>
      </c>
      <c r="I764" s="2" t="str">
        <f ca="1">IFERROR(__xludf.DUMMYFUNCTION("GOOGLETRANSLATE(B764,""en"",""gd"")"),"Dotair")</f>
        <v>Dotair</v>
      </c>
    </row>
    <row r="765" spans="1:9" ht="14.25" customHeight="1" x14ac:dyDescent="0.3">
      <c r="A765" s="2">
        <v>764</v>
      </c>
      <c r="B765" s="3" t="s">
        <v>772</v>
      </c>
      <c r="C765" s="2" t="str">
        <f ca="1">IFERROR(__xludf.DUMMYFUNCTION("GOOGLETRANSLATE(B765, ""en"",""es"")"),"discusión")</f>
        <v>discusión</v>
      </c>
      <c r="D765" s="2" t="str">
        <f ca="1">IFERROR(__xludf.DUMMYFUNCTION("GOOGLETRANSLATE(B765,""en"",""ig"")"),"mkparita uka")</f>
        <v>mkparita uka</v>
      </c>
      <c r="E765" s="2" t="str">
        <f ca="1">IFERROR(__xludf.DUMMYFUNCTION("GOOGLETRANSLATE(B765,""en"",""fr"")"),"discussion")</f>
        <v>discussion</v>
      </c>
      <c r="F765" s="2" t="str">
        <f ca="1">IFERROR(__xludf.DUMMYFUNCTION("GOOGLETRANSLATE(B765,""en"",""it"")"),"discussione")</f>
        <v>discussione</v>
      </c>
      <c r="G765" s="2" t="str">
        <f ca="1">IFERROR(__xludf.DUMMYFUNCTION("GOOGLETRANSLATE(B765,""en"",""de"")"),"Diskussion")</f>
        <v>Diskussion</v>
      </c>
      <c r="H765" s="2" t="str">
        <f ca="1">IFERROR(__xludf.DUMMYFUNCTION("GOOGLETRANSLATE(B765,""en"",""zh"")"),"讨论")</f>
        <v>讨论</v>
      </c>
      <c r="I765" s="2" t="str">
        <f ca="1">IFERROR(__xludf.DUMMYFUNCTION("GOOGLETRANSLATE(B765,""en"",""gd"")"),"Còmhradh")</f>
        <v>Còmhradh</v>
      </c>
    </row>
    <row r="766" spans="1:9" ht="14.25" customHeight="1" x14ac:dyDescent="0.3">
      <c r="A766" s="2">
        <v>765</v>
      </c>
      <c r="B766" s="3" t="s">
        <v>773</v>
      </c>
      <c r="C766" s="2" t="str">
        <f ca="1">IFERROR(__xludf.DUMMYFUNCTION("GOOGLETRANSLATE(B766, ""en"",""es"")"),"Lo siento")</f>
        <v>Lo siento</v>
      </c>
      <c r="D766" s="2" t="str">
        <f ca="1">IFERROR(__xludf.DUMMYFUNCTION("GOOGLETRANSLATE(B766,""en"",""ig"")"),"ndo")</f>
        <v>ndo</v>
      </c>
      <c r="E766" s="2" t="str">
        <f ca="1">IFERROR(__xludf.DUMMYFUNCTION("GOOGLETRANSLATE(B766,""en"",""fr"")"),"Désolé")</f>
        <v>Désolé</v>
      </c>
      <c r="F766" s="2" t="str">
        <f ca="1">IFERROR(__xludf.DUMMYFUNCTION("GOOGLETRANSLATE(B766,""en"",""it"")"),"Scusa")</f>
        <v>Scusa</v>
      </c>
      <c r="G766" s="2" t="str">
        <f ca="1">IFERROR(__xludf.DUMMYFUNCTION("GOOGLETRANSLATE(B766,""en"",""de"")"),"Entschuldigung")</f>
        <v>Entschuldigung</v>
      </c>
      <c r="H766" s="2" t="str">
        <f ca="1">IFERROR(__xludf.DUMMYFUNCTION("GOOGLETRANSLATE(B766,""en"",""zh"")"),"对不起")</f>
        <v>对不起</v>
      </c>
      <c r="I766" s="2" t="str">
        <f ca="1">IFERROR(__xludf.DUMMYFUNCTION("GOOGLETRANSLATE(B766,""en"",""gd"")"),"Duilich")</f>
        <v>Duilich</v>
      </c>
    </row>
    <row r="767" spans="1:9" ht="14.25" customHeight="1" x14ac:dyDescent="0.3">
      <c r="A767" s="2">
        <v>766</v>
      </c>
      <c r="B767" s="3" t="s">
        <v>774</v>
      </c>
      <c r="C767" s="2" t="str">
        <f ca="1">IFERROR(__xludf.DUMMYFUNCTION("GOOGLETRANSLATE(B767, ""en"",""es"")"),"desafío")</f>
        <v>desafío</v>
      </c>
      <c r="D767" s="2" t="str">
        <f ca="1">IFERROR(__xludf.DUMMYFUNCTION("GOOGLETRANSLATE(B767,""en"",""ig"")"),"nruaka n'anya")</f>
        <v>nruaka n'anya</v>
      </c>
      <c r="E767" s="2" t="str">
        <f ca="1">IFERROR(__xludf.DUMMYFUNCTION("GOOGLETRANSLATE(B767,""en"",""fr"")"),"défi")</f>
        <v>défi</v>
      </c>
      <c r="F767" s="2" t="str">
        <f ca="1">IFERROR(__xludf.DUMMYFUNCTION("GOOGLETRANSLATE(B767,""en"",""it"")"),"sfida")</f>
        <v>sfida</v>
      </c>
      <c r="G767" s="2" t="str">
        <f ca="1">IFERROR(__xludf.DUMMYFUNCTION("GOOGLETRANSLATE(B767,""en"",""de"")"),"Herausforderung")</f>
        <v>Herausforderung</v>
      </c>
      <c r="H767" s="2" t="str">
        <f ca="1">IFERROR(__xludf.DUMMYFUNCTION("GOOGLETRANSLATE(B767,""en"",""zh"")"),"挑战")</f>
        <v>挑战</v>
      </c>
      <c r="I767" s="2" t="str">
        <f ca="1">IFERROR(__xludf.DUMMYFUNCTION("GOOGLETRANSLATE(B767,""en"",""gd"")"),"dùbhlan")</f>
        <v>dùbhlan</v>
      </c>
    </row>
    <row r="768" spans="1:9" ht="14.25" customHeight="1" x14ac:dyDescent="0.3">
      <c r="A768" s="2">
        <v>767</v>
      </c>
      <c r="B768" s="3" t="s">
        <v>775</v>
      </c>
      <c r="C768" s="2" t="str">
        <f ca="1">IFERROR(__xludf.DUMMYFUNCTION("GOOGLETRANSLATE(B768, ""en"",""es"")"),"nación")</f>
        <v>nación</v>
      </c>
      <c r="D768" s="2" t="str">
        <f ca="1">IFERROR(__xludf.DUMMYFUNCTION("GOOGLETRANSLATE(B768,""en"",""ig"")"),"ala")</f>
        <v>ala</v>
      </c>
      <c r="E768" s="2" t="str">
        <f ca="1">IFERROR(__xludf.DUMMYFUNCTION("GOOGLETRANSLATE(B768,""en"",""fr"")"),"nation")</f>
        <v>nation</v>
      </c>
      <c r="F768" s="2" t="str">
        <f ca="1">IFERROR(__xludf.DUMMYFUNCTION("GOOGLETRANSLATE(B768,""en"",""it"")"),"nazione")</f>
        <v>nazione</v>
      </c>
      <c r="G768" s="2" t="str">
        <f ca="1">IFERROR(__xludf.DUMMYFUNCTION("GOOGLETRANSLATE(B768,""en"",""de"")"),"Nation")</f>
        <v>Nation</v>
      </c>
      <c r="H768" s="2" t="str">
        <f ca="1">IFERROR(__xludf.DUMMYFUNCTION("GOOGLETRANSLATE(B768,""en"",""zh"")"),"国家")</f>
        <v>国家</v>
      </c>
      <c r="I768" s="2" t="str">
        <f ca="1">IFERROR(__xludf.DUMMYFUNCTION("GOOGLETRANSLATE(B768,""en"",""gd"")"),"Nàisean")</f>
        <v>Nàisean</v>
      </c>
    </row>
    <row r="769" spans="1:9" ht="14.25" customHeight="1" x14ac:dyDescent="0.3">
      <c r="A769" s="2">
        <v>768</v>
      </c>
      <c r="B769" s="3" t="s">
        <v>776</v>
      </c>
      <c r="C769" s="2" t="str">
        <f ca="1">IFERROR(__xludf.DUMMYFUNCTION("GOOGLETRANSLATE(B769, ""en"",""es"")"),"cerca de")</f>
        <v>cerca de</v>
      </c>
      <c r="D769" s="2" t="str">
        <f ca="1">IFERROR(__xludf.DUMMYFUNCTION("GOOGLETRANSLATE(B769,""en"",""ig"")"),"oforontakiri")</f>
        <v>oforontakiri</v>
      </c>
      <c r="E769" s="2" t="str">
        <f ca="1">IFERROR(__xludf.DUMMYFUNCTION("GOOGLETRANSLATE(B769,""en"",""fr"")"),"presque")</f>
        <v>presque</v>
      </c>
      <c r="F769" s="2" t="str">
        <f ca="1">IFERROR(__xludf.DUMMYFUNCTION("GOOGLETRANSLATE(B769,""en"",""it"")"),"quasi")</f>
        <v>quasi</v>
      </c>
      <c r="G769" s="2" t="str">
        <f ca="1">IFERROR(__xludf.DUMMYFUNCTION("GOOGLETRANSLATE(B769,""en"",""de"")"),"fast")</f>
        <v>fast</v>
      </c>
      <c r="H769" s="2" t="str">
        <f ca="1">IFERROR(__xludf.DUMMYFUNCTION("GOOGLETRANSLATE(B769,""en"",""zh"")"),"几乎")</f>
        <v>几乎</v>
      </c>
      <c r="I769" s="2" t="str">
        <f ca="1">IFERROR(__xludf.DUMMYFUNCTION("GOOGLETRANSLATE(B769,""en"",""gd"")"),"cha mhòr")</f>
        <v>cha mhòr</v>
      </c>
    </row>
    <row r="770" spans="1:9" ht="14.25" customHeight="1" x14ac:dyDescent="0.3">
      <c r="A770" s="2">
        <v>769</v>
      </c>
      <c r="B770" s="3" t="s">
        <v>777</v>
      </c>
      <c r="C770" s="2" t="str">
        <f ca="1">IFERROR(__xludf.DUMMYFUNCTION("GOOGLETRANSLATE(B770, ""en"",""es"")"),"declaración")</f>
        <v>declaración</v>
      </c>
      <c r="D770" s="2" t="str">
        <f ca="1">IFERROR(__xludf.DUMMYFUNCTION("GOOGLETRANSLATE(B770,""en"",""ig"")"),"okwukwu")</f>
        <v>okwukwu</v>
      </c>
      <c r="E770" s="2" t="str">
        <f ca="1">IFERROR(__xludf.DUMMYFUNCTION("GOOGLETRANSLATE(B770,""en"",""fr"")"),"déclaration")</f>
        <v>déclaration</v>
      </c>
      <c r="F770" s="2" t="str">
        <f ca="1">IFERROR(__xludf.DUMMYFUNCTION("GOOGLETRANSLATE(B770,""en"",""it"")"),"dichiarazione")</f>
        <v>dichiarazione</v>
      </c>
      <c r="G770" s="2" t="str">
        <f ca="1">IFERROR(__xludf.DUMMYFUNCTION("GOOGLETRANSLATE(B770,""en"",""de"")"),"Stellungnahme")</f>
        <v>Stellungnahme</v>
      </c>
      <c r="H770" s="2" t="str">
        <f ca="1">IFERROR(__xludf.DUMMYFUNCTION("GOOGLETRANSLATE(B770,""en"",""zh"")"),"陈述")</f>
        <v>陈述</v>
      </c>
      <c r="I770" s="2" t="str">
        <f ca="1">IFERROR(__xludf.DUMMYFUNCTION("GOOGLETRANSLATE(B770,""en"",""gd"")"),"aithris")</f>
        <v>aithris</v>
      </c>
    </row>
    <row r="771" spans="1:9" ht="14.25" customHeight="1" x14ac:dyDescent="0.3">
      <c r="A771" s="2">
        <v>770</v>
      </c>
      <c r="B771" s="3" t="s">
        <v>778</v>
      </c>
      <c r="C771" s="2" t="str">
        <f ca="1">IFERROR(__xludf.DUMMYFUNCTION("GOOGLETRANSLATE(B771, ""en"",""es"")"),"enlace")</f>
        <v>enlace</v>
      </c>
      <c r="D771" s="2" t="str">
        <f ca="1">IFERROR(__xludf.DUMMYFUNCTION("GOOGLETRANSLATE(B771,""en"",""ig"")"),"omuma mmadu")</f>
        <v>omuma mmadu</v>
      </c>
      <c r="E771" s="2" t="str">
        <f ca="1">IFERROR(__xludf.DUMMYFUNCTION("GOOGLETRANSLATE(B771,""en"",""fr"")"),"lien")</f>
        <v>lien</v>
      </c>
      <c r="F771" s="2" t="str">
        <f ca="1">IFERROR(__xludf.DUMMYFUNCTION("GOOGLETRANSLATE(B771,""en"",""it"")"),"collegamento")</f>
        <v>collegamento</v>
      </c>
      <c r="G771" s="2" t="str">
        <f ca="1">IFERROR(__xludf.DUMMYFUNCTION("GOOGLETRANSLATE(B771,""en"",""de"")"),"Verknüpfung")</f>
        <v>Verknüpfung</v>
      </c>
      <c r="H771" s="2" t="str">
        <f ca="1">IFERROR(__xludf.DUMMYFUNCTION("GOOGLETRANSLATE(B771,""en"",""zh"")"),"关联")</f>
        <v>关联</v>
      </c>
      <c r="I771" s="2" t="str">
        <f ca="1">IFERROR(__xludf.DUMMYFUNCTION("GOOGLETRANSLATE(B771,""en"",""gd"")"),"Ceangal")</f>
        <v>Ceangal</v>
      </c>
    </row>
    <row r="772" spans="1:9" ht="14.25" customHeight="1" x14ac:dyDescent="0.3">
      <c r="A772" s="2">
        <v>771</v>
      </c>
      <c r="B772" s="3" t="s">
        <v>779</v>
      </c>
      <c r="C772" s="2" t="str">
        <f ca="1">IFERROR(__xludf.DUMMYFUNCTION("GOOGLETRANSLATE(B772, ""en"",""es"")"),"a pesar de")</f>
        <v>a pesar de</v>
      </c>
      <c r="D772" s="2" t="str">
        <f ca="1">IFERROR(__xludf.DUMMYFUNCTION("GOOGLETRANSLATE(B772,""en"",""ig"")"),"n'agbanyeghi")</f>
        <v>n'agbanyeghi</v>
      </c>
      <c r="E772" s="2" t="str">
        <f ca="1">IFERROR(__xludf.DUMMYFUNCTION("GOOGLETRANSLATE(B772,""en"",""fr"")"),"malgré")</f>
        <v>malgré</v>
      </c>
      <c r="F772" s="2" t="str">
        <f ca="1">IFERROR(__xludf.DUMMYFUNCTION("GOOGLETRANSLATE(B772,""en"",""it"")"),"nonostante")</f>
        <v>nonostante</v>
      </c>
      <c r="G772" s="2" t="str">
        <f ca="1">IFERROR(__xludf.DUMMYFUNCTION("GOOGLETRANSLATE(B772,""en"",""de"")"),"trotz")</f>
        <v>trotz</v>
      </c>
      <c r="H772" s="2" t="str">
        <f ca="1">IFERROR(__xludf.DUMMYFUNCTION("GOOGLETRANSLATE(B772,""en"",""zh"")"),"尽管")</f>
        <v>尽管</v>
      </c>
      <c r="I772" s="2" t="str">
        <f ca="1">IFERROR(__xludf.DUMMYFUNCTION("GOOGLETRANSLATE(B772,""en"",""gd"")"),"A dh 'aindeoin")</f>
        <v>A dh 'aindeoin</v>
      </c>
    </row>
    <row r="773" spans="1:9" ht="14.25" customHeight="1" x14ac:dyDescent="0.3">
      <c r="A773" s="2">
        <v>772</v>
      </c>
      <c r="B773" s="3" t="s">
        <v>780</v>
      </c>
      <c r="C773" s="2" t="str">
        <f ca="1">IFERROR(__xludf.DUMMYFUNCTION("GOOGLETRANSLATE(B773, ""en"",""es"")"),"introducir")</f>
        <v>introducir</v>
      </c>
      <c r="D773" s="2" t="str">
        <f ca="1">IFERROR(__xludf.DUMMYFUNCTION("GOOGLETRANSLATE(B773,""en"",""ig"")"),"idubata")</f>
        <v>idubata</v>
      </c>
      <c r="E773" s="2" t="str">
        <f ca="1">IFERROR(__xludf.DUMMYFUNCTION("GOOGLETRANSLATE(B773,""en"",""fr"")"),"introduire")</f>
        <v>introduire</v>
      </c>
      <c r="F773" s="2" t="str">
        <f ca="1">IFERROR(__xludf.DUMMYFUNCTION("GOOGLETRANSLATE(B773,""en"",""it"")"),"introdurre")</f>
        <v>introdurre</v>
      </c>
      <c r="G773" s="2" t="str">
        <f ca="1">IFERROR(__xludf.DUMMYFUNCTION("GOOGLETRANSLATE(B773,""en"",""de"")"),"einführen")</f>
        <v>einführen</v>
      </c>
      <c r="H773" s="2" t="str">
        <f ca="1">IFERROR(__xludf.DUMMYFUNCTION("GOOGLETRANSLATE(B773,""en"",""zh"")"),"介绍")</f>
        <v>介绍</v>
      </c>
      <c r="I773" s="2" t="str">
        <f ca="1">IFERROR(__xludf.DUMMYFUNCTION("GOOGLETRANSLATE(B773,""en"",""gd"")"),"Thoir a-steach")</f>
        <v>Thoir a-steach</v>
      </c>
    </row>
    <row r="774" spans="1:9" ht="14.25" customHeight="1" x14ac:dyDescent="0.3">
      <c r="A774" s="2">
        <v>773</v>
      </c>
      <c r="B774" s="3" t="s">
        <v>781</v>
      </c>
      <c r="C774" s="2" t="str">
        <f ca="1">IFERROR(__xludf.DUMMYFUNCTION("GOOGLETRANSLATE(B774, ""en"",""es"")"),"ventaja")</f>
        <v>ventaja</v>
      </c>
      <c r="D774" s="2" t="str">
        <f ca="1">IFERROR(__xludf.DUMMYFUNCTION("GOOGLETRANSLATE(B774,""en"",""ig"")"),"uru")</f>
        <v>uru</v>
      </c>
      <c r="E774" s="2" t="str">
        <f ca="1">IFERROR(__xludf.DUMMYFUNCTION("GOOGLETRANSLATE(B774,""en"",""fr"")"),"avantage")</f>
        <v>avantage</v>
      </c>
      <c r="F774" s="2" t="str">
        <f ca="1">IFERROR(__xludf.DUMMYFUNCTION("GOOGLETRANSLATE(B774,""en"",""it"")"),"vantaggio")</f>
        <v>vantaggio</v>
      </c>
      <c r="G774" s="2" t="str">
        <f ca="1">IFERROR(__xludf.DUMMYFUNCTION("GOOGLETRANSLATE(B774,""en"",""de"")"),"Vorteil")</f>
        <v>Vorteil</v>
      </c>
      <c r="H774" s="2" t="str">
        <f ca="1">IFERROR(__xludf.DUMMYFUNCTION("GOOGLETRANSLATE(B774,""en"",""zh"")"),"优势")</f>
        <v>优势</v>
      </c>
      <c r="I774" s="2" t="str">
        <f ca="1">IFERROR(__xludf.DUMMYFUNCTION("GOOGLETRANSLATE(B774,""en"",""gd"")"),"buannachd")</f>
        <v>buannachd</v>
      </c>
    </row>
    <row r="775" spans="1:9" ht="14.25" customHeight="1" x14ac:dyDescent="0.3">
      <c r="A775" s="2">
        <v>774</v>
      </c>
      <c r="B775" s="3" t="s">
        <v>782</v>
      </c>
      <c r="C775" s="2" t="str">
        <f ca="1">IFERROR(__xludf.DUMMYFUNCTION("GOOGLETRANSLATE(B775, ""en"",""es"")"),"listo")</f>
        <v>listo</v>
      </c>
      <c r="D775" s="2" t="str">
        <f ca="1">IFERROR(__xludf.DUMMYFUNCTION("GOOGLETRANSLATE(B775,""en"",""ig"")"),"ke njikere")</f>
        <v>ke njikere</v>
      </c>
      <c r="E775" s="2" t="str">
        <f ca="1">IFERROR(__xludf.DUMMYFUNCTION("GOOGLETRANSLATE(B775,""en"",""fr"")"),"prêt")</f>
        <v>prêt</v>
      </c>
      <c r="F775" s="2" t="str">
        <f ca="1">IFERROR(__xludf.DUMMYFUNCTION("GOOGLETRANSLATE(B775,""en"",""it"")"),"pronto")</f>
        <v>pronto</v>
      </c>
      <c r="G775" s="2" t="str">
        <f ca="1">IFERROR(__xludf.DUMMYFUNCTION("GOOGLETRANSLATE(B775,""en"",""de"")"),"bereit")</f>
        <v>bereit</v>
      </c>
      <c r="H775" s="2" t="str">
        <f ca="1">IFERROR(__xludf.DUMMYFUNCTION("GOOGLETRANSLATE(B775,""en"",""zh"")"),"准备好")</f>
        <v>准备好</v>
      </c>
      <c r="I775" s="2" t="str">
        <f ca="1">IFERROR(__xludf.DUMMYFUNCTION("GOOGLETRANSLATE(B775,""en"",""gd"")"),"Deiseil")</f>
        <v>Deiseil</v>
      </c>
    </row>
    <row r="776" spans="1:9" ht="14.25" customHeight="1" x14ac:dyDescent="0.3">
      <c r="A776" s="2">
        <v>775</v>
      </c>
      <c r="B776" s="3" t="s">
        <v>783</v>
      </c>
      <c r="C776" s="2" t="str">
        <f ca="1">IFERROR(__xludf.DUMMYFUNCTION("GOOGLETRANSLATE(B776, ""en"",""es"")"),"casar")</f>
        <v>casar</v>
      </c>
      <c r="D776" s="2" t="str">
        <f ca="1">IFERROR(__xludf.DUMMYFUNCTION("GOOGLETRANSLATE(B776,""en"",""ig"")"),"ilu di")</f>
        <v>ilu di</v>
      </c>
      <c r="E776" s="2" t="str">
        <f ca="1">IFERROR(__xludf.DUMMYFUNCTION("GOOGLETRANSLATE(B776,""en"",""fr"")"),"marier")</f>
        <v>marier</v>
      </c>
      <c r="F776" s="2" t="str">
        <f ca="1">IFERROR(__xludf.DUMMYFUNCTION("GOOGLETRANSLATE(B776,""en"",""it"")"),"sposare")</f>
        <v>sposare</v>
      </c>
      <c r="G776" s="2" t="str">
        <f ca="1">IFERROR(__xludf.DUMMYFUNCTION("GOOGLETRANSLATE(B776,""en"",""de"")"),"heiraten")</f>
        <v>heiraten</v>
      </c>
      <c r="H776" s="2" t="str">
        <f ca="1">IFERROR(__xludf.DUMMYFUNCTION("GOOGLETRANSLATE(B776,""en"",""zh"")"),"结婚")</f>
        <v>结婚</v>
      </c>
      <c r="I776" s="2" t="str">
        <f ca="1">IFERROR(__xludf.DUMMYFUNCTION("GOOGLETRANSLATE(B776,""en"",""gd"")"),"pòsadh")</f>
        <v>pòsadh</v>
      </c>
    </row>
    <row r="777" spans="1:9" ht="14.25" customHeight="1" x14ac:dyDescent="0.3">
      <c r="A777" s="2">
        <v>776</v>
      </c>
      <c r="B777" s="3" t="s">
        <v>784</v>
      </c>
      <c r="C777" s="2" t="str">
        <f ca="1">IFERROR(__xludf.DUMMYFUNCTION("GOOGLETRANSLATE(B777, ""en"",""es"")"),"huelga")</f>
        <v>huelga</v>
      </c>
      <c r="D777" s="2" t="str">
        <f ca="1">IFERROR(__xludf.DUMMYFUNCTION("GOOGLETRANSLATE(B777,""en"",""ig"")"),"iku")</f>
        <v>iku</v>
      </c>
      <c r="E777" s="2" t="str">
        <f ca="1">IFERROR(__xludf.DUMMYFUNCTION("GOOGLETRANSLATE(B777,""en"",""fr"")"),"grève")</f>
        <v>grève</v>
      </c>
      <c r="F777" s="2" t="str">
        <f ca="1">IFERROR(__xludf.DUMMYFUNCTION("GOOGLETRANSLATE(B777,""en"",""it"")"),"sciopero")</f>
        <v>sciopero</v>
      </c>
      <c r="G777" s="2" t="str">
        <f ca="1">IFERROR(__xludf.DUMMYFUNCTION("GOOGLETRANSLATE(B777,""en"",""de"")"),"schlagen")</f>
        <v>schlagen</v>
      </c>
      <c r="H777" s="2" t="str">
        <f ca="1">IFERROR(__xludf.DUMMYFUNCTION("GOOGLETRANSLATE(B777,""en"",""zh"")"),"罢工")</f>
        <v>罢工</v>
      </c>
      <c r="I777" s="2" t="str">
        <f ca="1">IFERROR(__xludf.DUMMYFUNCTION("GOOGLETRANSLATE(B777,""en"",""gd"")"),"stailc")</f>
        <v>stailc</v>
      </c>
    </row>
    <row r="778" spans="1:9" ht="14.25" customHeight="1" x14ac:dyDescent="0.3">
      <c r="A778" s="2">
        <v>777</v>
      </c>
      <c r="B778" s="3" t="s">
        <v>785</v>
      </c>
      <c r="C778" s="2" t="str">
        <f ca="1">IFERROR(__xludf.DUMMYFUNCTION("GOOGLETRANSLATE(B778, ""en"",""es"")"),"milla")</f>
        <v>milla</v>
      </c>
      <c r="D778" s="2" t="str">
        <f ca="1">IFERROR(__xludf.DUMMYFUNCTION("GOOGLETRANSLATE(B778,""en"",""ig"")"),"maili")</f>
        <v>maili</v>
      </c>
      <c r="E778" s="2" t="str">
        <f ca="1">IFERROR(__xludf.DUMMYFUNCTION("GOOGLETRANSLATE(B778,""en"",""fr"")"),"mile")</f>
        <v>mile</v>
      </c>
      <c r="F778" s="2" t="str">
        <f ca="1">IFERROR(__xludf.DUMMYFUNCTION("GOOGLETRANSLATE(B778,""en"",""it"")"),"miglio")</f>
        <v>miglio</v>
      </c>
      <c r="G778" s="2" t="str">
        <f ca="1">IFERROR(__xludf.DUMMYFUNCTION("GOOGLETRANSLATE(B778,""en"",""de"")"),"Meile")</f>
        <v>Meile</v>
      </c>
      <c r="H778" s="2" t="str">
        <f ca="1">IFERROR(__xludf.DUMMYFUNCTION("GOOGLETRANSLATE(B778,""en"",""zh"")"),"英里")</f>
        <v>英里</v>
      </c>
      <c r="I778" s="2" t="str">
        <f ca="1">IFERROR(__xludf.DUMMYFUNCTION("GOOGLETRANSLATE(B778,""en"",""gd"")"),"mìle")</f>
        <v>mìle</v>
      </c>
    </row>
    <row r="779" spans="1:9" ht="14.25" customHeight="1" x14ac:dyDescent="0.3">
      <c r="A779" s="2">
        <v>778</v>
      </c>
      <c r="B779" s="3" t="s">
        <v>786</v>
      </c>
      <c r="C779" s="2" t="str">
        <f ca="1">IFERROR(__xludf.DUMMYFUNCTION("GOOGLETRANSLATE(B779, ""en"",""es"")"),"buscar")</f>
        <v>buscar</v>
      </c>
      <c r="D779" s="2" t="str">
        <f ca="1">IFERROR(__xludf.DUMMYFUNCTION("GOOGLETRANSLATE(B779,""en"",""ig"")"),"choo")</f>
        <v>choo</v>
      </c>
      <c r="E779" s="2" t="str">
        <f ca="1">IFERROR(__xludf.DUMMYFUNCTION("GOOGLETRANSLATE(B779,""en"",""fr"")"),"chercher")</f>
        <v>chercher</v>
      </c>
      <c r="F779" s="2" t="str">
        <f ca="1">IFERROR(__xludf.DUMMYFUNCTION("GOOGLETRANSLATE(B779,""en"",""it"")"),"cercare")</f>
        <v>cercare</v>
      </c>
      <c r="G779" s="2" t="str">
        <f ca="1">IFERROR(__xludf.DUMMYFUNCTION("GOOGLETRANSLATE(B779,""en"",""de"")"),"suchen")</f>
        <v>suchen</v>
      </c>
      <c r="H779" s="2" t="str">
        <f ca="1">IFERROR(__xludf.DUMMYFUNCTION("GOOGLETRANSLATE(B779,""en"",""zh"")"),"寻找")</f>
        <v>寻找</v>
      </c>
      <c r="I779" s="2" t="str">
        <f ca="1">IFERROR(__xludf.DUMMYFUNCTION("GOOGLETRANSLATE(B779,""en"",""gd"")"),"sireadh")</f>
        <v>sireadh</v>
      </c>
    </row>
    <row r="780" spans="1:9" ht="14.25" customHeight="1" x14ac:dyDescent="0.3">
      <c r="A780" s="2">
        <v>779</v>
      </c>
      <c r="B780" s="3" t="s">
        <v>787</v>
      </c>
      <c r="C780" s="2" t="str">
        <f ca="1">IFERROR(__xludf.DUMMYFUNCTION("GOOGLETRANSLATE(B780, ""en"",""es"")"),"capacidad")</f>
        <v>capacidad</v>
      </c>
      <c r="D780" s="2" t="str">
        <f ca="1">IFERROR(__xludf.DUMMYFUNCTION("GOOGLETRANSLATE(B780,""en"",""ig"")"),"ike")</f>
        <v>ike</v>
      </c>
      <c r="E780" s="2" t="str">
        <f ca="1">IFERROR(__xludf.DUMMYFUNCTION("GOOGLETRANSLATE(B780,""en"",""fr"")"),"capacité")</f>
        <v>capacité</v>
      </c>
      <c r="F780" s="2" t="str">
        <f ca="1">IFERROR(__xludf.DUMMYFUNCTION("GOOGLETRANSLATE(B780,""en"",""it"")"),"capacità")</f>
        <v>capacità</v>
      </c>
      <c r="G780" s="2" t="str">
        <f ca="1">IFERROR(__xludf.DUMMYFUNCTION("GOOGLETRANSLATE(B780,""en"",""de"")"),"Fähigkeit")</f>
        <v>Fähigkeit</v>
      </c>
      <c r="H780" s="2" t="str">
        <f ca="1">IFERROR(__xludf.DUMMYFUNCTION("GOOGLETRANSLATE(B780,""en"",""zh"")"),"能力")</f>
        <v>能力</v>
      </c>
      <c r="I780" s="2" t="str">
        <f ca="1">IFERROR(__xludf.DUMMYFUNCTION("GOOGLETRANSLATE(B780,""en"",""gd"")"),"comas")</f>
        <v>comas</v>
      </c>
    </row>
    <row r="781" spans="1:9" ht="14.25" customHeight="1" x14ac:dyDescent="0.3">
      <c r="A781" s="2">
        <v>780</v>
      </c>
      <c r="B781" s="3" t="s">
        <v>788</v>
      </c>
      <c r="C781" s="2" t="str">
        <f ca="1">IFERROR(__xludf.DUMMYFUNCTION("GOOGLETRANSLATE(B781, ""en"",""es"")"),"unidad")</f>
        <v>unidad</v>
      </c>
      <c r="D781" s="2" t="str">
        <f ca="1">IFERROR(__xludf.DUMMYFUNCTION("GOOGLETRANSLATE(B781,""en"",""ig"")"),"unit")</f>
        <v>unit</v>
      </c>
      <c r="E781" s="2" t="str">
        <f ca="1">IFERROR(__xludf.DUMMYFUNCTION("GOOGLETRANSLATE(B781,""en"",""fr"")"),"unité")</f>
        <v>unité</v>
      </c>
      <c r="F781" s="2" t="str">
        <f ca="1">IFERROR(__xludf.DUMMYFUNCTION("GOOGLETRANSLATE(B781,""en"",""it"")"),"unità")</f>
        <v>unità</v>
      </c>
      <c r="G781" s="2" t="str">
        <f ca="1">IFERROR(__xludf.DUMMYFUNCTION("GOOGLETRANSLATE(B781,""en"",""de"")"),"Einheit")</f>
        <v>Einheit</v>
      </c>
      <c r="H781" s="2" t="str">
        <f ca="1">IFERROR(__xludf.DUMMYFUNCTION("GOOGLETRANSLATE(B781,""en"",""zh"")"),"单元")</f>
        <v>单元</v>
      </c>
      <c r="I781" s="2" t="str">
        <f ca="1">IFERROR(__xludf.DUMMYFUNCTION("GOOGLETRANSLATE(B781,""en"",""gd"")"),"Aonad")</f>
        <v>Aonad</v>
      </c>
    </row>
    <row r="782" spans="1:9" ht="14.25" customHeight="1" x14ac:dyDescent="0.3">
      <c r="A782" s="2">
        <v>781</v>
      </c>
      <c r="B782" s="3" t="s">
        <v>789</v>
      </c>
      <c r="C782" s="2" t="str">
        <f ca="1">IFERROR(__xludf.DUMMYFUNCTION("GOOGLETRANSLATE(B782, ""en"",""es"")"),"tarjeta")</f>
        <v>tarjeta</v>
      </c>
      <c r="D782" s="2" t="str">
        <f ca="1">IFERROR(__xludf.DUMMYFUNCTION("GOOGLETRANSLATE(B782,""en"",""ig"")"),"kaadi")</f>
        <v>kaadi</v>
      </c>
      <c r="E782" s="2" t="str">
        <f ca="1">IFERROR(__xludf.DUMMYFUNCTION("GOOGLETRANSLATE(B782,""en"",""fr"")"),"carte")</f>
        <v>carte</v>
      </c>
      <c r="F782" s="2" t="str">
        <f ca="1">IFERROR(__xludf.DUMMYFUNCTION("GOOGLETRANSLATE(B782,""en"",""it"")"),"carta")</f>
        <v>carta</v>
      </c>
      <c r="G782" s="2" t="str">
        <f ca="1">IFERROR(__xludf.DUMMYFUNCTION("GOOGLETRANSLATE(B782,""en"",""de"")"),"Karte")</f>
        <v>Karte</v>
      </c>
      <c r="H782" s="2" t="str">
        <f ca="1">IFERROR(__xludf.DUMMYFUNCTION("GOOGLETRANSLATE(B782,""en"",""zh"")"),"卡片")</f>
        <v>卡片</v>
      </c>
      <c r="I782" s="2" t="str">
        <f ca="1">IFERROR(__xludf.DUMMYFUNCTION("GOOGLETRANSLATE(B782,""en"",""gd"")"),"cairt")</f>
        <v>cairt</v>
      </c>
    </row>
    <row r="783" spans="1:9" ht="14.25" customHeight="1" x14ac:dyDescent="0.3">
      <c r="A783" s="2">
        <v>782</v>
      </c>
      <c r="B783" s="3" t="s">
        <v>790</v>
      </c>
      <c r="C783" s="2" t="str">
        <f ca="1">IFERROR(__xludf.DUMMYFUNCTION("GOOGLETRANSLATE(B783, ""en"",""es"")"),"hospital")</f>
        <v>hospital</v>
      </c>
      <c r="D783" s="2" t="str">
        <f ca="1">IFERROR(__xludf.DUMMYFUNCTION("GOOGLETRANSLATE(B783,""en"",""ig"")"),"ulo ogwu")</f>
        <v>ulo ogwu</v>
      </c>
      <c r="E783" s="2" t="str">
        <f ca="1">IFERROR(__xludf.DUMMYFUNCTION("GOOGLETRANSLATE(B783,""en"",""fr"")"),"hôpital")</f>
        <v>hôpital</v>
      </c>
      <c r="F783" s="2" t="str">
        <f ca="1">IFERROR(__xludf.DUMMYFUNCTION("GOOGLETRANSLATE(B783,""en"",""it"")"),"Ospedale")</f>
        <v>Ospedale</v>
      </c>
      <c r="G783" s="2" t="str">
        <f ca="1">IFERROR(__xludf.DUMMYFUNCTION("GOOGLETRANSLATE(B783,""en"",""de"")"),"Krankenhaus")</f>
        <v>Krankenhaus</v>
      </c>
      <c r="H783" s="2" t="str">
        <f ca="1">IFERROR(__xludf.DUMMYFUNCTION("GOOGLETRANSLATE(B783,""en"",""zh"")"),"医院")</f>
        <v>医院</v>
      </c>
      <c r="I783" s="2" t="str">
        <f ca="1">IFERROR(__xludf.DUMMYFUNCTION("GOOGLETRANSLATE(B783,""en"",""gd"")"),"Ospadal")</f>
        <v>Ospadal</v>
      </c>
    </row>
    <row r="784" spans="1:9" ht="14.25" customHeight="1" x14ac:dyDescent="0.3">
      <c r="A784" s="2">
        <v>783</v>
      </c>
      <c r="B784" s="3" t="s">
        <v>791</v>
      </c>
      <c r="C784" s="2" t="str">
        <f ca="1">IFERROR(__xludf.DUMMYFUNCTION("GOOGLETRANSLATE(B784, ""en"",""es"")"),"rápidamente")</f>
        <v>rápidamente</v>
      </c>
      <c r="D784" s="2" t="str">
        <f ca="1">IFERROR(__xludf.DUMMYFUNCTION("GOOGLETRANSLATE(B784,""en"",""ig"")"),"ngwangwa")</f>
        <v>ngwangwa</v>
      </c>
      <c r="E784" s="2" t="str">
        <f ca="1">IFERROR(__xludf.DUMMYFUNCTION("GOOGLETRANSLATE(B784,""en"",""fr"")"),"rapidement")</f>
        <v>rapidement</v>
      </c>
      <c r="F784" s="2" t="str">
        <f ca="1">IFERROR(__xludf.DUMMYFUNCTION("GOOGLETRANSLATE(B784,""en"",""it"")"),"velocemente")</f>
        <v>velocemente</v>
      </c>
      <c r="G784" s="2" t="str">
        <f ca="1">IFERROR(__xludf.DUMMYFUNCTION("GOOGLETRANSLATE(B784,""en"",""de"")"),"schnell")</f>
        <v>schnell</v>
      </c>
      <c r="H784" s="2" t="str">
        <f ca="1">IFERROR(__xludf.DUMMYFUNCTION("GOOGLETRANSLATE(B784,""en"",""zh"")"),"迅速地")</f>
        <v>迅速地</v>
      </c>
      <c r="I784" s="2" t="str">
        <f ca="1">IFERROR(__xludf.DUMMYFUNCTION("GOOGLETRANSLATE(B784,""en"",""gd"")"),"gu sgiobalta")</f>
        <v>gu sgiobalta</v>
      </c>
    </row>
    <row r="785" spans="1:9" ht="14.25" customHeight="1" x14ac:dyDescent="0.3">
      <c r="A785" s="2">
        <v>784</v>
      </c>
      <c r="B785" s="3" t="s">
        <v>792</v>
      </c>
      <c r="C785" s="2" t="str">
        <f ca="1">IFERROR(__xludf.DUMMYFUNCTION("GOOGLETRANSLATE(B785, ""en"",""es"")"),"entrevista")</f>
        <v>entrevista</v>
      </c>
      <c r="D785" s="2" t="str">
        <f ca="1">IFERROR(__xludf.DUMMYFUNCTION("GOOGLETRANSLATE(B785,""en"",""ig"")"),"ajuju oru")</f>
        <v>ajuju oru</v>
      </c>
      <c r="E785" s="2" t="str">
        <f ca="1">IFERROR(__xludf.DUMMYFUNCTION("GOOGLETRANSLATE(B785,""en"",""fr"")"),"entretien")</f>
        <v>entretien</v>
      </c>
      <c r="F785" s="2" t="str">
        <f ca="1">IFERROR(__xludf.DUMMYFUNCTION("GOOGLETRANSLATE(B785,""en"",""it"")"),"colloquio")</f>
        <v>colloquio</v>
      </c>
      <c r="G785" s="2" t="str">
        <f ca="1">IFERROR(__xludf.DUMMYFUNCTION("GOOGLETRANSLATE(B785,""en"",""de"")"),"Interview")</f>
        <v>Interview</v>
      </c>
      <c r="H785" s="2" t="str">
        <f ca="1">IFERROR(__xludf.DUMMYFUNCTION("GOOGLETRANSLATE(B785,""en"",""zh"")"),"面试")</f>
        <v>面试</v>
      </c>
      <c r="I785" s="2" t="str">
        <f ca="1">IFERROR(__xludf.DUMMYFUNCTION("GOOGLETRANSLATE(B785,""en"",""gd"")"),"Agallamh")</f>
        <v>Agallamh</v>
      </c>
    </row>
    <row r="786" spans="1:9" ht="14.25" customHeight="1" x14ac:dyDescent="0.3">
      <c r="A786" s="2">
        <v>785</v>
      </c>
      <c r="B786" s="3" t="s">
        <v>793</v>
      </c>
      <c r="C786" s="2" t="str">
        <f ca="1">IFERROR(__xludf.DUMMYFUNCTION("GOOGLETRANSLATE(B786, ""en"",""es"")"),"acuerdo")</f>
        <v>acuerdo</v>
      </c>
      <c r="D786" s="2" t="str">
        <f ca="1">IFERROR(__xludf.DUMMYFUNCTION("GOOGLETRANSLATE(B786,""en"",""ig"")"),"nkwekorita")</f>
        <v>nkwekorita</v>
      </c>
      <c r="E786" s="2" t="str">
        <f ca="1">IFERROR(__xludf.DUMMYFUNCTION("GOOGLETRANSLATE(B786,""en"",""fr"")"),"accord")</f>
        <v>accord</v>
      </c>
      <c r="F786" s="2" t="str">
        <f ca="1">IFERROR(__xludf.DUMMYFUNCTION("GOOGLETRANSLATE(B786,""en"",""it"")"),"accordo")</f>
        <v>accordo</v>
      </c>
      <c r="G786" s="2" t="str">
        <f ca="1">IFERROR(__xludf.DUMMYFUNCTION("GOOGLETRANSLATE(B786,""en"",""de"")"),"Vereinbarung")</f>
        <v>Vereinbarung</v>
      </c>
      <c r="H786" s="2" t="str">
        <f ca="1">IFERROR(__xludf.DUMMYFUNCTION("GOOGLETRANSLATE(B786,""en"",""zh"")"),"协议")</f>
        <v>协议</v>
      </c>
      <c r="I786" s="2" t="str">
        <f ca="1">IFERROR(__xludf.DUMMYFUNCTION("GOOGLETRANSLATE(B786,""en"",""gd"")"),"Aonta")</f>
        <v>Aonta</v>
      </c>
    </row>
    <row r="787" spans="1:9" ht="14.25" customHeight="1" x14ac:dyDescent="0.3">
      <c r="A787" s="2">
        <v>786</v>
      </c>
      <c r="B787" s="3" t="s">
        <v>794</v>
      </c>
      <c r="C787" s="2" t="str">
        <f ca="1">IFERROR(__xludf.DUMMYFUNCTION("GOOGLETRANSLATE(B787, ""en"",""es"")"),"liberar")</f>
        <v>liberar</v>
      </c>
      <c r="D787" s="2" t="str">
        <f ca="1">IFERROR(__xludf.DUMMYFUNCTION("GOOGLETRANSLATE(B787,""en"",""ig"")"),"iheeweputara")</f>
        <v>iheeweputara</v>
      </c>
      <c r="E787" s="2" t="str">
        <f ca="1">IFERROR(__xludf.DUMMYFUNCTION("GOOGLETRANSLATE(B787,""en"",""fr"")"),"libérer")</f>
        <v>libérer</v>
      </c>
      <c r="F787" s="2" t="str">
        <f ca="1">IFERROR(__xludf.DUMMYFUNCTION("GOOGLETRANSLATE(B787,""en"",""it"")"),"pubblicazione")</f>
        <v>pubblicazione</v>
      </c>
      <c r="G787" s="2" t="str">
        <f ca="1">IFERROR(__xludf.DUMMYFUNCTION("GOOGLETRANSLATE(B787,""en"",""de"")"),"freigeben")</f>
        <v>freigeben</v>
      </c>
      <c r="H787" s="2" t="str">
        <f ca="1">IFERROR(__xludf.DUMMYFUNCTION("GOOGLETRANSLATE(B787,""en"",""zh"")"),"发布")</f>
        <v>发布</v>
      </c>
      <c r="I787" s="2" t="str">
        <f ca="1">IFERROR(__xludf.DUMMYFUNCTION("GOOGLETRANSLATE(B787,""en"",""gd"")"),"A 'GABHAIL A-STEACH")</f>
        <v>A 'GABHAIL A-STEACH</v>
      </c>
    </row>
    <row r="788" spans="1:9" ht="14.25" customHeight="1" x14ac:dyDescent="0.3">
      <c r="A788" s="2">
        <v>787</v>
      </c>
      <c r="B788" s="3" t="s">
        <v>795</v>
      </c>
      <c r="C788" s="2" t="str">
        <f ca="1">IFERROR(__xludf.DUMMYFUNCTION("GOOGLETRANSLATE(B788, ""en"",""es"")"),"impuesto")</f>
        <v>impuesto</v>
      </c>
      <c r="D788" s="2" t="str">
        <f ca="1">IFERROR(__xludf.DUMMYFUNCTION("GOOGLETRANSLATE(B788,""en"",""ig"")"),"tax")</f>
        <v>tax</v>
      </c>
      <c r="E788" s="2" t="str">
        <f ca="1">IFERROR(__xludf.DUMMYFUNCTION("GOOGLETRANSLATE(B788,""en"",""fr"")"),"impôt")</f>
        <v>impôt</v>
      </c>
      <c r="F788" s="2" t="str">
        <f ca="1">IFERROR(__xludf.DUMMYFUNCTION("GOOGLETRANSLATE(B788,""en"",""it"")"),"imposta")</f>
        <v>imposta</v>
      </c>
      <c r="G788" s="2" t="str">
        <f ca="1">IFERROR(__xludf.DUMMYFUNCTION("GOOGLETRANSLATE(B788,""en"",""de"")"),"Steuer")</f>
        <v>Steuer</v>
      </c>
      <c r="H788" s="2" t="str">
        <f ca="1">IFERROR(__xludf.DUMMYFUNCTION("GOOGLETRANSLATE(B788,""en"",""zh"")"),"税")</f>
        <v>税</v>
      </c>
      <c r="I788" s="2" t="str">
        <f ca="1">IFERROR(__xludf.DUMMYFUNCTION("GOOGLETRANSLATE(B788,""en"",""gd"")"),"Cìs")</f>
        <v>Cìs</v>
      </c>
    </row>
    <row r="789" spans="1:9" ht="14.25" customHeight="1" x14ac:dyDescent="0.3">
      <c r="A789" s="2">
        <v>788</v>
      </c>
      <c r="B789" s="3" t="s">
        <v>796</v>
      </c>
      <c r="C789" s="2" t="str">
        <f ca="1">IFERROR(__xludf.DUMMYFUNCTION("GOOGLETRANSLATE(B789, ""en"",""es"")"),"solución")</f>
        <v>solución</v>
      </c>
      <c r="D789" s="2" t="str">
        <f ca="1">IFERROR(__xludf.DUMMYFUNCTION("GOOGLETRANSLATE(B789,""en"",""ig"")"),"osisa")</f>
        <v>osisa</v>
      </c>
      <c r="E789" s="2" t="str">
        <f ca="1">IFERROR(__xludf.DUMMYFUNCTION("GOOGLETRANSLATE(B789,""en"",""fr"")"),"solution")</f>
        <v>solution</v>
      </c>
      <c r="F789" s="2" t="str">
        <f ca="1">IFERROR(__xludf.DUMMYFUNCTION("GOOGLETRANSLATE(B789,""en"",""it"")"),"soluzione")</f>
        <v>soluzione</v>
      </c>
      <c r="G789" s="2" t="str">
        <f ca="1">IFERROR(__xludf.DUMMYFUNCTION("GOOGLETRANSLATE(B789,""en"",""de"")"),"Lösung")</f>
        <v>Lösung</v>
      </c>
      <c r="H789" s="2" t="str">
        <f ca="1">IFERROR(__xludf.DUMMYFUNCTION("GOOGLETRANSLATE(B789,""en"",""zh"")"),"解决方案")</f>
        <v>解决方案</v>
      </c>
      <c r="I789" s="2" t="str">
        <f ca="1">IFERROR(__xludf.DUMMYFUNCTION("GOOGLETRANSLATE(B789,""en"",""gd"")"),"fuasgladh")</f>
        <v>fuasgladh</v>
      </c>
    </row>
    <row r="790" spans="1:9" ht="14.25" customHeight="1" x14ac:dyDescent="0.3">
      <c r="A790" s="2">
        <v>789</v>
      </c>
      <c r="B790" s="3" t="s">
        <v>797</v>
      </c>
      <c r="C790" s="2" t="str">
        <f ca="1">IFERROR(__xludf.DUMMYFUNCTION("GOOGLETRANSLATE(B790, ""en"",""es"")"),"capital")</f>
        <v>capital</v>
      </c>
      <c r="D790" s="2" t="str">
        <f ca="1">IFERROR(__xludf.DUMMYFUNCTION("GOOGLETRANSLATE(B790,""en"",""ig"")"),"ego")</f>
        <v>ego</v>
      </c>
      <c r="E790" s="2" t="str">
        <f ca="1">IFERROR(__xludf.DUMMYFUNCTION("GOOGLETRANSLATE(B790,""en"",""fr"")"),"capital")</f>
        <v>capital</v>
      </c>
      <c r="F790" s="2" t="str">
        <f ca="1">IFERROR(__xludf.DUMMYFUNCTION("GOOGLETRANSLATE(B790,""en"",""it"")"),"capitale")</f>
        <v>capitale</v>
      </c>
      <c r="G790" s="2" t="str">
        <f ca="1">IFERROR(__xludf.DUMMYFUNCTION("GOOGLETRANSLATE(B790,""en"",""de"")"),"Hauptstadt")</f>
        <v>Hauptstadt</v>
      </c>
      <c r="H790" s="2" t="str">
        <f ca="1">IFERROR(__xludf.DUMMYFUNCTION("GOOGLETRANSLATE(B790,""en"",""zh"")"),"首都")</f>
        <v>首都</v>
      </c>
      <c r="I790" s="2" t="str">
        <f ca="1">IFERROR(__xludf.DUMMYFUNCTION("GOOGLETRANSLATE(B790,""en"",""gd"")"),"Calpa")</f>
        <v>Calpa</v>
      </c>
    </row>
    <row r="791" spans="1:9" ht="14.25" customHeight="1" x14ac:dyDescent="0.3">
      <c r="A791" s="2">
        <v>790</v>
      </c>
      <c r="B791" s="3" t="s">
        <v>798</v>
      </c>
      <c r="C791" s="2" t="str">
        <f ca="1">IFERROR(__xludf.DUMMYFUNCTION("GOOGLETRANSLATE(B791, ""en"",""es"")"),"popular")</f>
        <v>popular</v>
      </c>
      <c r="D791" s="2" t="str">
        <f ca="1">IFERROR(__xludf.DUMMYFUNCTION("GOOGLETRANSLATE(B791,""en"",""ig"")"),"nke zuruoha")</f>
        <v>nke zuruoha</v>
      </c>
      <c r="E791" s="2" t="str">
        <f ca="1">IFERROR(__xludf.DUMMYFUNCTION("GOOGLETRANSLATE(B791,""en"",""fr"")"),"populaire")</f>
        <v>populaire</v>
      </c>
      <c r="F791" s="2" t="str">
        <f ca="1">IFERROR(__xludf.DUMMYFUNCTION("GOOGLETRANSLATE(B791,""en"",""it"")"),"popolare")</f>
        <v>popolare</v>
      </c>
      <c r="G791" s="2" t="str">
        <f ca="1">IFERROR(__xludf.DUMMYFUNCTION("GOOGLETRANSLATE(B791,""en"",""de"")"),"beliebt")</f>
        <v>beliebt</v>
      </c>
      <c r="H791" s="2" t="str">
        <f ca="1">IFERROR(__xludf.DUMMYFUNCTION("GOOGLETRANSLATE(B791,""en"",""zh"")"),"受欢迎的")</f>
        <v>受欢迎的</v>
      </c>
      <c r="I791" s="2" t="str">
        <f ca="1">IFERROR(__xludf.DUMMYFUNCTION("GOOGLETRANSLATE(B791,""en"",""gd"")"),"mòr-chòrdte")</f>
        <v>mòr-chòrdte</v>
      </c>
    </row>
    <row r="792" spans="1:9" ht="14.25" customHeight="1" x14ac:dyDescent="0.3">
      <c r="A792" s="2">
        <v>791</v>
      </c>
      <c r="B792" s="3" t="s">
        <v>799</v>
      </c>
      <c r="C792" s="2" t="str">
        <f ca="1">IFERROR(__xludf.DUMMYFUNCTION("GOOGLETRANSLATE(B792, ""en"",""es"")"),"específico")</f>
        <v>específico</v>
      </c>
      <c r="D792" s="2" t="str">
        <f ca="1">IFERROR(__xludf.DUMMYFUNCTION("GOOGLETRANSLATE(B792,""en"",""ig"")"),"spesifik")</f>
        <v>spesifik</v>
      </c>
      <c r="E792" s="2" t="str">
        <f ca="1">IFERROR(__xludf.DUMMYFUNCTION("GOOGLETRANSLATE(B792,""en"",""fr"")"),"spécifique")</f>
        <v>spécifique</v>
      </c>
      <c r="F792" s="2" t="str">
        <f ca="1">IFERROR(__xludf.DUMMYFUNCTION("GOOGLETRANSLATE(B792,""en"",""it"")"),"specifica")</f>
        <v>specifica</v>
      </c>
      <c r="G792" s="2" t="str">
        <f ca="1">IFERROR(__xludf.DUMMYFUNCTION("GOOGLETRANSLATE(B792,""en"",""de"")"),"Spezifisch")</f>
        <v>Spezifisch</v>
      </c>
      <c r="H792" s="2" t="str">
        <f ca="1">IFERROR(__xludf.DUMMYFUNCTION("GOOGLETRANSLATE(B792,""en"",""zh"")"),"具体的")</f>
        <v>具体的</v>
      </c>
      <c r="I792" s="2" t="str">
        <f ca="1">IFERROR(__xludf.DUMMYFUNCTION("GOOGLETRANSLATE(B792,""en"",""gd"")"),"sònraichte")</f>
        <v>sònraichte</v>
      </c>
    </row>
    <row r="793" spans="1:9" ht="14.25" customHeight="1" x14ac:dyDescent="0.3">
      <c r="A793" s="2">
        <v>792</v>
      </c>
      <c r="B793" s="3" t="s">
        <v>800</v>
      </c>
      <c r="C793" s="2" t="str">
        <f ca="1">IFERROR(__xludf.DUMMYFUNCTION("GOOGLETRANSLATE(B793, ""en"",""es"")"),"hermoso")</f>
        <v>hermoso</v>
      </c>
      <c r="D793" s="2" t="str">
        <f ca="1">IFERROR(__xludf.DUMMYFUNCTION("GOOGLETRANSLATE(B793,""en"",""ig"")"),"oma")</f>
        <v>oma</v>
      </c>
      <c r="E793" s="2" t="str">
        <f ca="1">IFERROR(__xludf.DUMMYFUNCTION("GOOGLETRANSLATE(B793,""en"",""fr"")"),"beau")</f>
        <v>beau</v>
      </c>
      <c r="F793" s="2" t="str">
        <f ca="1">IFERROR(__xludf.DUMMYFUNCTION("GOOGLETRANSLATE(B793,""en"",""it"")"),"Bellissimo")</f>
        <v>Bellissimo</v>
      </c>
      <c r="G793" s="2" t="str">
        <f ca="1">IFERROR(__xludf.DUMMYFUNCTION("GOOGLETRANSLATE(B793,""en"",""de"")"),"Schön")</f>
        <v>Schön</v>
      </c>
      <c r="H793" s="2" t="str">
        <f ca="1">IFERROR(__xludf.DUMMYFUNCTION("GOOGLETRANSLATE(B793,""en"",""zh"")"),"美丽的")</f>
        <v>美丽的</v>
      </c>
      <c r="I793" s="2" t="str">
        <f ca="1">IFERROR(__xludf.DUMMYFUNCTION("GOOGLETRANSLATE(B793,""en"",""gd"")"),"bòidheach")</f>
        <v>bòidheach</v>
      </c>
    </row>
    <row r="794" spans="1:9" ht="14.25" customHeight="1" x14ac:dyDescent="0.3">
      <c r="A794" s="2">
        <v>793</v>
      </c>
      <c r="B794" s="3" t="s">
        <v>801</v>
      </c>
      <c r="C794" s="2" t="str">
        <f ca="1">IFERROR(__xludf.DUMMYFUNCTION("GOOGLETRANSLATE(B794, ""en"",""es"")"),"miedo")</f>
        <v>miedo</v>
      </c>
      <c r="D794" s="2" t="str">
        <f ca="1">IFERROR(__xludf.DUMMYFUNCTION("GOOGLETRANSLATE(B794,""en"",""ig"")"),"ujo")</f>
        <v>ujo</v>
      </c>
      <c r="E794" s="2" t="str">
        <f ca="1">IFERROR(__xludf.DUMMYFUNCTION("GOOGLETRANSLATE(B794,""en"",""fr"")"),"peur")</f>
        <v>peur</v>
      </c>
      <c r="F794" s="2" t="str">
        <f ca="1">IFERROR(__xludf.DUMMYFUNCTION("GOOGLETRANSLATE(B794,""en"",""it"")"),"Paura")</f>
        <v>Paura</v>
      </c>
      <c r="G794" s="2" t="str">
        <f ca="1">IFERROR(__xludf.DUMMYFUNCTION("GOOGLETRANSLATE(B794,""en"",""de"")"),"Furcht")</f>
        <v>Furcht</v>
      </c>
      <c r="H794" s="2" t="str">
        <f ca="1">IFERROR(__xludf.DUMMYFUNCTION("GOOGLETRANSLATE(B794,""en"",""zh"")"),"害怕")</f>
        <v>害怕</v>
      </c>
      <c r="I794" s="2" t="str">
        <f ca="1">IFERROR(__xludf.DUMMYFUNCTION("GOOGLETRANSLATE(B794,""en"",""gd"")"),"eagal")</f>
        <v>eagal</v>
      </c>
    </row>
    <row r="795" spans="1:9" ht="14.25" customHeight="1" x14ac:dyDescent="0.3">
      <c r="A795" s="2">
        <v>794</v>
      </c>
      <c r="B795" s="3" t="s">
        <v>802</v>
      </c>
      <c r="C795" s="2" t="str">
        <f ca="1">IFERROR(__xludf.DUMMYFUNCTION("GOOGLETRANSLATE(B795, ""en"",""es"")"),"apuntar")</f>
        <v>apuntar</v>
      </c>
      <c r="D795" s="2" t="str">
        <f ca="1">IFERROR(__xludf.DUMMYFUNCTION("GOOGLETRANSLATE(B795,""en"",""ig"")"),"ibu n'obi")</f>
        <v>ibu n'obi</v>
      </c>
      <c r="E795" s="2" t="str">
        <f ca="1">IFERROR(__xludf.DUMMYFUNCTION("GOOGLETRANSLATE(B795,""en"",""fr"")"),"but")</f>
        <v>but</v>
      </c>
      <c r="F795" s="2" t="str">
        <f ca="1">IFERROR(__xludf.DUMMYFUNCTION("GOOGLETRANSLATE(B795,""en"",""it"")"),"scopo")</f>
        <v>scopo</v>
      </c>
      <c r="G795" s="2" t="str">
        <f ca="1">IFERROR(__xludf.DUMMYFUNCTION("GOOGLETRANSLATE(B795,""en"",""de"")"),"Ziel")</f>
        <v>Ziel</v>
      </c>
      <c r="H795" s="2" t="str">
        <f ca="1">IFERROR(__xludf.DUMMYFUNCTION("GOOGLETRANSLATE(B795,""en"",""zh"")"),"目的")</f>
        <v>目的</v>
      </c>
      <c r="I795" s="2" t="str">
        <f ca="1">IFERROR(__xludf.DUMMYFUNCTION("GOOGLETRANSLATE(B795,""en"",""gd"")"),"Amas")</f>
        <v>Amas</v>
      </c>
    </row>
    <row r="796" spans="1:9" ht="14.25" customHeight="1" x14ac:dyDescent="0.3">
      <c r="A796" s="2">
        <v>795</v>
      </c>
      <c r="B796" s="3" t="s">
        <v>803</v>
      </c>
      <c r="C796" s="2" t="str">
        <f ca="1">IFERROR(__xludf.DUMMYFUNCTION("GOOGLETRANSLATE(B796, ""en"",""es"")"),"televisión")</f>
        <v>televisión</v>
      </c>
      <c r="D796" s="2" t="str">
        <f ca="1">IFERROR(__xludf.DUMMYFUNCTION("GOOGLETRANSLATE(B796,""en"",""ig"")"),"televishion")</f>
        <v>televishion</v>
      </c>
      <c r="E796" s="2" t="str">
        <f ca="1">IFERROR(__xludf.DUMMYFUNCTION("GOOGLETRANSLATE(B796,""en"",""fr"")"),"télévision")</f>
        <v>télévision</v>
      </c>
      <c r="F796" s="2" t="str">
        <f ca="1">IFERROR(__xludf.DUMMYFUNCTION("GOOGLETRANSLATE(B796,""en"",""it"")"),"televisione")</f>
        <v>televisione</v>
      </c>
      <c r="G796" s="2" t="str">
        <f ca="1">IFERROR(__xludf.DUMMYFUNCTION("GOOGLETRANSLATE(B796,""en"",""de"")"),"Fernsehen")</f>
        <v>Fernsehen</v>
      </c>
      <c r="H796" s="2" t="str">
        <f ca="1">IFERROR(__xludf.DUMMYFUNCTION("GOOGLETRANSLATE(B796,""en"",""zh"")"),"电视")</f>
        <v>电视</v>
      </c>
      <c r="I796" s="2" t="str">
        <f ca="1">IFERROR(__xludf.DUMMYFUNCTION("GOOGLETRANSLATE(B796,""en"",""gd"")"),"telebhisean")</f>
        <v>telebhisean</v>
      </c>
    </row>
    <row r="797" spans="1:9" ht="14.25" customHeight="1" x14ac:dyDescent="0.3">
      <c r="A797" s="2">
        <v>796</v>
      </c>
      <c r="B797" s="3" t="s">
        <v>804</v>
      </c>
      <c r="C797" s="2" t="str">
        <f ca="1">IFERROR(__xludf.DUMMYFUNCTION("GOOGLETRANSLATE(B797, ""en"",""es"")"),"grave")</f>
        <v>grave</v>
      </c>
      <c r="D797" s="2" t="str">
        <f ca="1">IFERROR(__xludf.DUMMYFUNCTION("GOOGLETRANSLATE(B797,""en"",""ig"")"),"nke isiike")</f>
        <v>nke isiike</v>
      </c>
      <c r="E797" s="2" t="str">
        <f ca="1">IFERROR(__xludf.DUMMYFUNCTION("GOOGLETRANSLATE(B797,""en"",""fr"")"),"sérieux")</f>
        <v>sérieux</v>
      </c>
      <c r="F797" s="2" t="str">
        <f ca="1">IFERROR(__xludf.DUMMYFUNCTION("GOOGLETRANSLATE(B797,""en"",""it"")"),"serio")</f>
        <v>serio</v>
      </c>
      <c r="G797" s="2" t="str">
        <f ca="1">IFERROR(__xludf.DUMMYFUNCTION("GOOGLETRANSLATE(B797,""en"",""de"")"),"ernst")</f>
        <v>ernst</v>
      </c>
      <c r="H797" s="2" t="str">
        <f ca="1">IFERROR(__xludf.DUMMYFUNCTION("GOOGLETRANSLATE(B797,""en"",""zh"")"),"严肃的")</f>
        <v>严肃的</v>
      </c>
      <c r="I797" s="2" t="str">
        <f ca="1">IFERROR(__xludf.DUMMYFUNCTION("GOOGLETRANSLATE(B797,""en"",""gd"")"),"Droch")</f>
        <v>Droch</v>
      </c>
    </row>
    <row r="798" spans="1:9" ht="14.25" customHeight="1" x14ac:dyDescent="0.3">
      <c r="A798" s="2">
        <v>797</v>
      </c>
      <c r="B798" s="3" t="s">
        <v>805</v>
      </c>
      <c r="C798" s="2" t="str">
        <f ca="1">IFERROR(__xludf.DUMMYFUNCTION("GOOGLETRANSLATE(B798, ""en"",""es"")"),"objetivo")</f>
        <v>objetivo</v>
      </c>
      <c r="D798" s="2" t="str">
        <f ca="1">IFERROR(__xludf.DUMMYFUNCTION("GOOGLETRANSLATE(B798,""en"",""ig"")"),"taget")</f>
        <v>taget</v>
      </c>
      <c r="E798" s="2" t="str">
        <f ca="1">IFERROR(__xludf.DUMMYFUNCTION("GOOGLETRANSLATE(B798,""en"",""fr"")"),"cible")</f>
        <v>cible</v>
      </c>
      <c r="F798" s="2" t="str">
        <f ca="1">IFERROR(__xludf.DUMMYFUNCTION("GOOGLETRANSLATE(B798,""en"",""it"")"),"bersaglio")</f>
        <v>bersaglio</v>
      </c>
      <c r="G798" s="2" t="str">
        <f ca="1">IFERROR(__xludf.DUMMYFUNCTION("GOOGLETRANSLATE(B798,""en"",""de"")"),"Ziel")</f>
        <v>Ziel</v>
      </c>
      <c r="H798" s="2" t="str">
        <f ca="1">IFERROR(__xludf.DUMMYFUNCTION("GOOGLETRANSLATE(B798,""en"",""zh"")"),"目标")</f>
        <v>目标</v>
      </c>
      <c r="I798" s="2" t="str">
        <f ca="1">IFERROR(__xludf.DUMMYFUNCTION("GOOGLETRANSLATE(B798,""en"",""gd"")"),"targaid")</f>
        <v>targaid</v>
      </c>
    </row>
    <row r="799" spans="1:9" ht="14.25" customHeight="1" x14ac:dyDescent="0.3">
      <c r="A799" s="2">
        <v>798</v>
      </c>
      <c r="B799" s="3" t="s">
        <v>806</v>
      </c>
      <c r="C799" s="2" t="str">
        <f ca="1">IFERROR(__xludf.DUMMYFUNCTION("GOOGLETRANSLATE(B799, ""en"",""es"")"),"grado")</f>
        <v>grado</v>
      </c>
      <c r="D799" s="2" t="str">
        <f ca="1">IFERROR(__xludf.DUMMYFUNCTION("GOOGLETRANSLATE(B799,""en"",""ig"")"),"digirii")</f>
        <v>digirii</v>
      </c>
      <c r="E799" s="2" t="str">
        <f ca="1">IFERROR(__xludf.DUMMYFUNCTION("GOOGLETRANSLATE(B799,""en"",""fr"")"),"degré")</f>
        <v>degré</v>
      </c>
      <c r="F799" s="2" t="str">
        <f ca="1">IFERROR(__xludf.DUMMYFUNCTION("GOOGLETRANSLATE(B799,""en"",""it"")"),"grado")</f>
        <v>grado</v>
      </c>
      <c r="G799" s="2" t="str">
        <f ca="1">IFERROR(__xludf.DUMMYFUNCTION("GOOGLETRANSLATE(B799,""en"",""de"")"),"Grad")</f>
        <v>Grad</v>
      </c>
      <c r="H799" s="2" t="str">
        <f ca="1">IFERROR(__xludf.DUMMYFUNCTION("GOOGLETRANSLATE(B799,""en"",""zh"")"),"程度")</f>
        <v>程度</v>
      </c>
      <c r="I799" s="2" t="str">
        <f ca="1">IFERROR(__xludf.DUMMYFUNCTION("GOOGLETRANSLATE(B799,""en"",""gd"")"),"Ceum")</f>
        <v>Ceum</v>
      </c>
    </row>
    <row r="800" spans="1:9" ht="14.25" customHeight="1" x14ac:dyDescent="0.3">
      <c r="A800" s="2">
        <v>799</v>
      </c>
      <c r="B800" s="3" t="s">
        <v>807</v>
      </c>
      <c r="C800" s="2" t="str">
        <f ca="1">IFERROR(__xludf.DUMMYFUNCTION("GOOGLETRANSLATE(B800, ""en"",""es"")"),"jalar")</f>
        <v>jalar</v>
      </c>
      <c r="D800" s="2" t="str">
        <f ca="1">IFERROR(__xludf.DUMMYFUNCTION("GOOGLETRANSLATE(B800,""en"",""ig"")"),"Dọọ")</f>
        <v>Dọọ</v>
      </c>
      <c r="E800" s="2" t="str">
        <f ca="1">IFERROR(__xludf.DUMMYFUNCTION("GOOGLETRANSLATE(B800,""en"",""fr"")"),"tirer")</f>
        <v>tirer</v>
      </c>
      <c r="F800" s="2" t="str">
        <f ca="1">IFERROR(__xludf.DUMMYFUNCTION("GOOGLETRANSLATE(B800,""en"",""it"")"),"tiro")</f>
        <v>tiro</v>
      </c>
      <c r="G800" s="2" t="str">
        <f ca="1">IFERROR(__xludf.DUMMYFUNCTION("GOOGLETRANSLATE(B800,""en"",""de"")"),"ziehen")</f>
        <v>ziehen</v>
      </c>
      <c r="H800" s="2" t="str">
        <f ca="1">IFERROR(__xludf.DUMMYFUNCTION("GOOGLETRANSLATE(B800,""en"",""zh"")"),"拉")</f>
        <v>拉</v>
      </c>
      <c r="I800" s="2" t="str">
        <f ca="1">IFERROR(__xludf.DUMMYFUNCTION("GOOGLETRANSLATE(B800,""en"",""gd"")"),"tarraing")</f>
        <v>tarraing</v>
      </c>
    </row>
    <row r="801" spans="1:9" ht="14.25" customHeight="1" x14ac:dyDescent="0.3">
      <c r="A801" s="2">
        <v>800</v>
      </c>
      <c r="B801" s="3" t="s">
        <v>808</v>
      </c>
      <c r="C801" s="2" t="str">
        <f ca="1">IFERROR(__xludf.DUMMYFUNCTION("GOOGLETRANSLATE(B801, ""en"",""es"")"),"rojo")</f>
        <v>rojo</v>
      </c>
      <c r="D801" s="2" t="str">
        <f ca="1">IFERROR(__xludf.DUMMYFUNCTION("GOOGLETRANSLATE(B801,""en"",""ig"")"),"uhie")</f>
        <v>uhie</v>
      </c>
      <c r="E801" s="2" t="str">
        <f ca="1">IFERROR(__xludf.DUMMYFUNCTION("GOOGLETRANSLATE(B801,""en"",""fr"")"),"rouge")</f>
        <v>rouge</v>
      </c>
      <c r="F801" s="2" t="str">
        <f ca="1">IFERROR(__xludf.DUMMYFUNCTION("GOOGLETRANSLATE(B801,""en"",""it"")"),"rosso")</f>
        <v>rosso</v>
      </c>
      <c r="G801" s="2" t="str">
        <f ca="1">IFERROR(__xludf.DUMMYFUNCTION("GOOGLETRANSLATE(B801,""en"",""de"")"),"Rot")</f>
        <v>Rot</v>
      </c>
      <c r="H801" s="2" t="str">
        <f ca="1">IFERROR(__xludf.DUMMYFUNCTION("GOOGLETRANSLATE(B801,""en"",""zh"")"),"红色的")</f>
        <v>红色的</v>
      </c>
      <c r="I801" s="2" t="str">
        <f ca="1">IFERROR(__xludf.DUMMYFUNCTION("GOOGLETRANSLATE(B801,""en"",""gd"")"),"dearg")</f>
        <v>dearg</v>
      </c>
    </row>
    <row r="802" spans="1:9" ht="14.25" customHeight="1" x14ac:dyDescent="0.3">
      <c r="A802" s="2">
        <v>801</v>
      </c>
      <c r="B802" s="3" t="s">
        <v>809</v>
      </c>
      <c r="C802" s="2" t="str">
        <f ca="1">IFERROR(__xludf.DUMMYFUNCTION("GOOGLETRANSLATE(B802, ""en"",""es"")"),"marido")</f>
        <v>marido</v>
      </c>
      <c r="D802" s="2" t="str">
        <f ca="1">IFERROR(__xludf.DUMMYFUNCTION("GOOGLETRANSLATE(B802,""en"",""ig"")"),"di")</f>
        <v>di</v>
      </c>
      <c r="E802" s="2" t="str">
        <f ca="1">IFERROR(__xludf.DUMMYFUNCTION("GOOGLETRANSLATE(B802,""en"",""fr"")"),"mari")</f>
        <v>mari</v>
      </c>
      <c r="F802" s="2" t="str">
        <f ca="1">IFERROR(__xludf.DUMMYFUNCTION("GOOGLETRANSLATE(B802,""en"",""it"")"),"marito")</f>
        <v>marito</v>
      </c>
      <c r="G802" s="2" t="str">
        <f ca="1">IFERROR(__xludf.DUMMYFUNCTION("GOOGLETRANSLATE(B802,""en"",""de"")"),"Ehemann")</f>
        <v>Ehemann</v>
      </c>
      <c r="H802" s="2" t="str">
        <f ca="1">IFERROR(__xludf.DUMMYFUNCTION("GOOGLETRANSLATE(B802,""en"",""zh"")"),"丈夫")</f>
        <v>丈夫</v>
      </c>
      <c r="I802" s="2" t="str">
        <f ca="1">IFERROR(__xludf.DUMMYFUNCTION("GOOGLETRANSLATE(B802,""en"",""gd"")"),"cèile")</f>
        <v>cèile</v>
      </c>
    </row>
    <row r="803" spans="1:9" ht="14.25" customHeight="1" x14ac:dyDescent="0.3">
      <c r="A803" s="2">
        <v>802</v>
      </c>
      <c r="B803" s="3" t="s">
        <v>810</v>
      </c>
      <c r="C803" s="2" t="str">
        <f ca="1">IFERROR(__xludf.DUMMYFUNCTION("GOOGLETRANSLATE(B803, ""en"",""es"")"),"acceso")</f>
        <v>acceso</v>
      </c>
      <c r="D803" s="2" t="str">
        <f ca="1">IFERROR(__xludf.DUMMYFUNCTION("GOOGLETRANSLATE(B803,""en"",""ig"")"),"uzo")</f>
        <v>uzo</v>
      </c>
      <c r="E803" s="2" t="str">
        <f ca="1">IFERROR(__xludf.DUMMYFUNCTION("GOOGLETRANSLATE(B803,""en"",""fr"")"),"accéder")</f>
        <v>accéder</v>
      </c>
      <c r="F803" s="2" t="str">
        <f ca="1">IFERROR(__xludf.DUMMYFUNCTION("GOOGLETRANSLATE(B803,""en"",""it"")"),"accesso")</f>
        <v>accesso</v>
      </c>
      <c r="G803" s="2" t="str">
        <f ca="1">IFERROR(__xludf.DUMMYFUNCTION("GOOGLETRANSLATE(B803,""en"",""de"")"),"Zugang")</f>
        <v>Zugang</v>
      </c>
      <c r="H803" s="2" t="str">
        <f ca="1">IFERROR(__xludf.DUMMYFUNCTION("GOOGLETRANSLATE(B803,""en"",""zh"")"),"使用权")</f>
        <v>使用权</v>
      </c>
      <c r="I803" s="2" t="str">
        <f ca="1">IFERROR(__xludf.DUMMYFUNCTION("GOOGLETRANSLATE(B803,""en"",""gd"")"),"Ruigsinneachd")</f>
        <v>Ruigsinneachd</v>
      </c>
    </row>
    <row r="804" spans="1:9" ht="14.25" customHeight="1" x14ac:dyDescent="0.3">
      <c r="A804" s="2">
        <v>803</v>
      </c>
      <c r="B804" s="3" t="s">
        <v>811</v>
      </c>
      <c r="C804" s="2" t="str">
        <f ca="1">IFERROR(__xludf.DUMMYFUNCTION("GOOGLETRANSLATE(B804, ""en"",""es"")"),"movimiento")</f>
        <v>movimiento</v>
      </c>
      <c r="D804" s="2" t="str">
        <f ca="1">IFERROR(__xludf.DUMMYFUNCTION("GOOGLETRANSLATE(B804,""en"",""ig"")"),"ije")</f>
        <v>ije</v>
      </c>
      <c r="E804" s="2" t="str">
        <f ca="1">IFERROR(__xludf.DUMMYFUNCTION("GOOGLETRANSLATE(B804,""en"",""fr"")"),"mouvement")</f>
        <v>mouvement</v>
      </c>
      <c r="F804" s="2" t="str">
        <f ca="1">IFERROR(__xludf.DUMMYFUNCTION("GOOGLETRANSLATE(B804,""en"",""it"")"),"movimento")</f>
        <v>movimento</v>
      </c>
      <c r="G804" s="2" t="str">
        <f ca="1">IFERROR(__xludf.DUMMYFUNCTION("GOOGLETRANSLATE(B804,""en"",""de"")"),"Bewegung")</f>
        <v>Bewegung</v>
      </c>
      <c r="H804" s="2" t="str">
        <f ca="1">IFERROR(__xludf.DUMMYFUNCTION("GOOGLETRANSLATE(B804,""en"",""zh"")"),"移动")</f>
        <v>移动</v>
      </c>
      <c r="I804" s="2" t="str">
        <f ca="1">IFERROR(__xludf.DUMMYFUNCTION("GOOGLETRANSLATE(B804,""en"",""gd"")"),"Gluasad")</f>
        <v>Gluasad</v>
      </c>
    </row>
    <row r="805" spans="1:9" ht="14.25" customHeight="1" x14ac:dyDescent="0.3">
      <c r="A805" s="2">
        <v>804</v>
      </c>
      <c r="B805" s="3" t="s">
        <v>812</v>
      </c>
      <c r="C805" s="2" t="str">
        <f ca="1">IFERROR(__xludf.DUMMYFUNCTION("GOOGLETRANSLATE(B805, ""en"",""es"")"),"tratar")</f>
        <v>tratar</v>
      </c>
      <c r="D805" s="2" t="str">
        <f ca="1">IFERROR(__xludf.DUMMYFUNCTION("GOOGLETRANSLATE(B805,""en"",""ig"")"),"treet")</f>
        <v>treet</v>
      </c>
      <c r="E805" s="2" t="str">
        <f ca="1">IFERROR(__xludf.DUMMYFUNCTION("GOOGLETRANSLATE(B805,""en"",""fr"")"),"traiter")</f>
        <v>traiter</v>
      </c>
      <c r="F805" s="2" t="str">
        <f ca="1">IFERROR(__xludf.DUMMYFUNCTION("GOOGLETRANSLATE(B805,""en"",""it"")"),"trattare")</f>
        <v>trattare</v>
      </c>
      <c r="G805" s="2" t="str">
        <f ca="1">IFERROR(__xludf.DUMMYFUNCTION("GOOGLETRANSLATE(B805,""en"",""de"")"),"behandeln")</f>
        <v>behandeln</v>
      </c>
      <c r="H805" s="2" t="str">
        <f ca="1">IFERROR(__xludf.DUMMYFUNCTION("GOOGLETRANSLATE(B805,""en"",""zh"")"),"对待")</f>
        <v>对待</v>
      </c>
      <c r="I805" s="2" t="str">
        <f ca="1">IFERROR(__xludf.DUMMYFUNCTION("GOOGLETRANSLATE(B805,""en"",""gd"")"),"làimhseachadh")</f>
        <v>làimhseachadh</v>
      </c>
    </row>
    <row r="806" spans="1:9" ht="14.25" customHeight="1" x14ac:dyDescent="0.3">
      <c r="A806" s="2">
        <v>805</v>
      </c>
      <c r="B806" s="3" t="s">
        <v>813</v>
      </c>
      <c r="C806" s="2" t="str">
        <f ca="1">IFERROR(__xludf.DUMMYFUNCTION("GOOGLETRANSLATE(B806, ""en"",""es"")"),"identificar")</f>
        <v>identificar</v>
      </c>
      <c r="D806" s="2" t="str">
        <f ca="1">IFERROR(__xludf.DUMMYFUNCTION("GOOGLETRANSLATE(B806,""en"",""ig"")"),"irugosi")</f>
        <v>irugosi</v>
      </c>
      <c r="E806" s="2" t="str">
        <f ca="1">IFERROR(__xludf.DUMMYFUNCTION("GOOGLETRANSLATE(B806,""en"",""fr"")"),"identifier")</f>
        <v>identifier</v>
      </c>
      <c r="F806" s="2" t="str">
        <f ca="1">IFERROR(__xludf.DUMMYFUNCTION("GOOGLETRANSLATE(B806,""en"",""it"")"),"identificare")</f>
        <v>identificare</v>
      </c>
      <c r="G806" s="2" t="str">
        <f ca="1">IFERROR(__xludf.DUMMYFUNCTION("GOOGLETRANSLATE(B806,""en"",""de"")"),"identifizieren")</f>
        <v>identifizieren</v>
      </c>
      <c r="H806" s="2" t="str">
        <f ca="1">IFERROR(__xludf.DUMMYFUNCTION("GOOGLETRANSLATE(B806,""en"",""zh"")"),"确认")</f>
        <v>确认</v>
      </c>
      <c r="I806" s="2" t="str">
        <f ca="1">IFERROR(__xludf.DUMMYFUNCTION("GOOGLETRANSLATE(B806,""en"",""gd"")"),"aithneachadh")</f>
        <v>aithneachadh</v>
      </c>
    </row>
    <row r="807" spans="1:9" ht="14.25" customHeight="1" x14ac:dyDescent="0.3">
      <c r="A807" s="2">
        <v>806</v>
      </c>
      <c r="B807" s="3" t="s">
        <v>814</v>
      </c>
      <c r="C807" s="2" t="str">
        <f ca="1">IFERROR(__xludf.DUMMYFUNCTION("GOOGLETRANSLATE(B807, ""en"",""es"")"),"pérdida")</f>
        <v>pérdida</v>
      </c>
      <c r="D807" s="2" t="str">
        <f ca="1">IFERROR(__xludf.DUMMYFUNCTION("GOOGLETRANSLATE(B807,""en"",""ig"")"),"mfulahu")</f>
        <v>mfulahu</v>
      </c>
      <c r="E807" s="2" t="str">
        <f ca="1">IFERROR(__xludf.DUMMYFUNCTION("GOOGLETRANSLATE(B807,""en"",""fr"")"),"perte")</f>
        <v>perte</v>
      </c>
      <c r="F807" s="2" t="str">
        <f ca="1">IFERROR(__xludf.DUMMYFUNCTION("GOOGLETRANSLATE(B807,""en"",""it"")"),"perdita")</f>
        <v>perdita</v>
      </c>
      <c r="G807" s="2" t="str">
        <f ca="1">IFERROR(__xludf.DUMMYFUNCTION("GOOGLETRANSLATE(B807,""en"",""de"")"),"Verlust")</f>
        <v>Verlust</v>
      </c>
      <c r="H807" s="2" t="str">
        <f ca="1">IFERROR(__xludf.DUMMYFUNCTION("GOOGLETRANSLATE(B807,""en"",""zh"")"),"损失")</f>
        <v>损失</v>
      </c>
      <c r="I807" s="2" t="str">
        <f ca="1">IFERROR(__xludf.DUMMYFUNCTION("GOOGLETRANSLATE(B807,""en"",""gd"")"),"call")</f>
        <v>call</v>
      </c>
    </row>
    <row r="808" spans="1:9" ht="14.25" customHeight="1" x14ac:dyDescent="0.3">
      <c r="A808" s="2">
        <v>807</v>
      </c>
      <c r="B808" s="3" t="s">
        <v>815</v>
      </c>
      <c r="C808" s="2" t="str">
        <f ca="1">IFERROR(__xludf.DUMMYFUNCTION("GOOGLETRANSLATE(B808, ""en"",""es"")"),"deberá")</f>
        <v>deberá</v>
      </c>
      <c r="D808" s="2" t="str">
        <f ca="1">IFERROR(__xludf.DUMMYFUNCTION("GOOGLETRANSLATE(B808,""en"",""ig"")"),"ga")</f>
        <v>ga</v>
      </c>
      <c r="E808" s="2" t="str">
        <f ca="1">IFERROR(__xludf.DUMMYFUNCTION("GOOGLETRANSLATE(B808,""en"",""fr"")"),"devoir")</f>
        <v>devoir</v>
      </c>
      <c r="F808" s="2" t="str">
        <f ca="1">IFERROR(__xludf.DUMMYFUNCTION("GOOGLETRANSLATE(B808,""en"",""it"")"),"deve")</f>
        <v>deve</v>
      </c>
      <c r="G808" s="2" t="str">
        <f ca="1">IFERROR(__xludf.DUMMYFUNCTION("GOOGLETRANSLATE(B808,""en"",""de"")"),"soll")</f>
        <v>soll</v>
      </c>
      <c r="H808" s="2" t="str">
        <f ca="1">IFERROR(__xludf.DUMMYFUNCTION("GOOGLETRANSLATE(B808,""en"",""zh"")"),"将")</f>
        <v>将</v>
      </c>
      <c r="I808" s="2" t="str">
        <f ca="1">IFERROR(__xludf.DUMMYFUNCTION("GOOGLETRANSLATE(B808,""en"",""gd"")"),"bidh")</f>
        <v>bidh</v>
      </c>
    </row>
    <row r="809" spans="1:9" ht="14.25" customHeight="1" x14ac:dyDescent="0.3">
      <c r="A809" s="2">
        <v>808</v>
      </c>
      <c r="B809" s="3" t="s">
        <v>816</v>
      </c>
      <c r="C809" s="2" t="str">
        <f ca="1">IFERROR(__xludf.DUMMYFUNCTION("GOOGLETRANSLATE(B809, ""en"",""es"")"),"moderno")</f>
        <v>moderno</v>
      </c>
      <c r="D809" s="2" t="str">
        <f ca="1">IFERROR(__xludf.DUMMYFUNCTION("GOOGLETRANSLATE(B809,""en"",""ig"")"),"nke ugbua")</f>
        <v>nke ugbua</v>
      </c>
      <c r="E809" s="2" t="str">
        <f ca="1">IFERROR(__xludf.DUMMYFUNCTION("GOOGLETRANSLATE(B809,""en"",""fr"")"),"moderne")</f>
        <v>moderne</v>
      </c>
      <c r="F809" s="2" t="str">
        <f ca="1">IFERROR(__xludf.DUMMYFUNCTION("GOOGLETRANSLATE(B809,""en"",""it"")"),"moderno")</f>
        <v>moderno</v>
      </c>
      <c r="G809" s="2" t="str">
        <f ca="1">IFERROR(__xludf.DUMMYFUNCTION("GOOGLETRANSLATE(B809,""en"",""de"")"),"modern")</f>
        <v>modern</v>
      </c>
      <c r="H809" s="2" t="str">
        <f ca="1">IFERROR(__xludf.DUMMYFUNCTION("GOOGLETRANSLATE(B809,""en"",""zh"")"),"现代的")</f>
        <v>现代的</v>
      </c>
      <c r="I809" s="2" t="str">
        <f ca="1">IFERROR(__xludf.DUMMYFUNCTION("GOOGLETRANSLATE(B809,""en"",""gd"")"),"ùr-nodha")</f>
        <v>ùr-nodha</v>
      </c>
    </row>
    <row r="810" spans="1:9" ht="14.25" customHeight="1" x14ac:dyDescent="0.3">
      <c r="A810" s="2">
        <v>809</v>
      </c>
      <c r="B810" s="3" t="s">
        <v>817</v>
      </c>
      <c r="C810" s="2" t="str">
        <f ca="1">IFERROR(__xludf.DUMMYFUNCTION("GOOGLETRANSLATE(B810, ""en"",""es"")"),"presión")</f>
        <v>presión</v>
      </c>
      <c r="D810" s="2" t="str">
        <f ca="1">IFERROR(__xludf.DUMMYFUNCTION("GOOGLETRANSLATE(B810,""en"",""ig"")"),"okwukwa")</f>
        <v>okwukwa</v>
      </c>
      <c r="E810" s="2" t="str">
        <f ca="1">IFERROR(__xludf.DUMMYFUNCTION("GOOGLETRANSLATE(B810,""en"",""fr"")"),"pression")</f>
        <v>pression</v>
      </c>
      <c r="F810" s="2" t="str">
        <f ca="1">IFERROR(__xludf.DUMMYFUNCTION("GOOGLETRANSLATE(B810,""en"",""it"")"),"pressione")</f>
        <v>pressione</v>
      </c>
      <c r="G810" s="2" t="str">
        <f ca="1">IFERROR(__xludf.DUMMYFUNCTION("GOOGLETRANSLATE(B810,""en"",""de"")"),"Druck")</f>
        <v>Druck</v>
      </c>
      <c r="H810" s="2" t="str">
        <f ca="1">IFERROR(__xludf.DUMMYFUNCTION("GOOGLETRANSLATE(B810,""en"",""zh"")"),"压力")</f>
        <v>压力</v>
      </c>
      <c r="I810" s="2" t="str">
        <f ca="1">IFERROR(__xludf.DUMMYFUNCTION("GOOGLETRANSLATE(B810,""en"",""gd"")"),"cuideam")</f>
        <v>cuideam</v>
      </c>
    </row>
    <row r="811" spans="1:9" ht="14.25" customHeight="1" x14ac:dyDescent="0.3">
      <c r="A811" s="2">
        <v>810</v>
      </c>
      <c r="B811" s="3" t="s">
        <v>818</v>
      </c>
      <c r="C811" s="2" t="str">
        <f ca="1">IFERROR(__xludf.DUMMYFUNCTION("GOOGLETRANSLATE(B811, ""en"",""es"")"),"autobús")</f>
        <v>autobús</v>
      </c>
      <c r="D811" s="2" t="str">
        <f ca="1">IFERROR(__xludf.DUMMYFUNCTION("GOOGLETRANSLATE(B811,""en"",""ig"")"),"moto")</f>
        <v>moto</v>
      </c>
      <c r="E811" s="2" t="str">
        <f ca="1">IFERROR(__xludf.DUMMYFUNCTION("GOOGLETRANSLATE(B811,""en"",""fr"")"),"bus")</f>
        <v>bus</v>
      </c>
      <c r="F811" s="2" t="str">
        <f ca="1">IFERROR(__xludf.DUMMYFUNCTION("GOOGLETRANSLATE(B811,""en"",""it"")"),"autobus")</f>
        <v>autobus</v>
      </c>
      <c r="G811" s="2" t="str">
        <f ca="1">IFERROR(__xludf.DUMMYFUNCTION("GOOGLETRANSLATE(B811,""en"",""de"")"),"Bus")</f>
        <v>Bus</v>
      </c>
      <c r="H811" s="2" t="str">
        <f ca="1">IFERROR(__xludf.DUMMYFUNCTION("GOOGLETRANSLATE(B811,""en"",""zh"")"),"公共汽车")</f>
        <v>公共汽车</v>
      </c>
      <c r="I811" s="2" t="str">
        <f ca="1">IFERROR(__xludf.DUMMYFUNCTION("GOOGLETRANSLATE(B811,""en"",""gd"")"),"bus")</f>
        <v>bus</v>
      </c>
    </row>
    <row r="812" spans="1:9" ht="14.25" customHeight="1" x14ac:dyDescent="0.3">
      <c r="A812" s="2">
        <v>811</v>
      </c>
      <c r="B812" s="3" t="s">
        <v>819</v>
      </c>
      <c r="C812" s="2" t="str">
        <f ca="1">IFERROR(__xludf.DUMMYFUNCTION("GOOGLETRANSLATE(B812, ""en"",""es"")"),"tratamiento")</f>
        <v>tratamiento</v>
      </c>
      <c r="D812" s="2" t="str">
        <f ca="1">IFERROR(__xludf.DUMMYFUNCTION("GOOGLETRANSLATE(B812,""en"",""ig"")"),"mmesiike")</f>
        <v>mmesiike</v>
      </c>
      <c r="E812" s="2" t="str">
        <f ca="1">IFERROR(__xludf.DUMMYFUNCTION("GOOGLETRANSLATE(B812,""en"",""fr"")"),"traitement")</f>
        <v>traitement</v>
      </c>
      <c r="F812" s="2" t="str">
        <f ca="1">IFERROR(__xludf.DUMMYFUNCTION("GOOGLETRANSLATE(B812,""en"",""it"")"),"trattamento")</f>
        <v>trattamento</v>
      </c>
      <c r="G812" s="2" t="str">
        <f ca="1">IFERROR(__xludf.DUMMYFUNCTION("GOOGLETRANSLATE(B812,""en"",""de"")"),"Behandlung")</f>
        <v>Behandlung</v>
      </c>
      <c r="H812" s="2" t="str">
        <f ca="1">IFERROR(__xludf.DUMMYFUNCTION("GOOGLETRANSLATE(B812,""en"",""zh"")"),"治疗")</f>
        <v>治疗</v>
      </c>
      <c r="I812" s="2" t="str">
        <f ca="1">IFERROR(__xludf.DUMMYFUNCTION("GOOGLETRANSLATE(B812,""en"",""gd"")"),"làimhseachadh")</f>
        <v>làimhseachadh</v>
      </c>
    </row>
    <row r="813" spans="1:9" ht="14.25" customHeight="1" x14ac:dyDescent="0.3">
      <c r="A813" s="2">
        <v>812</v>
      </c>
      <c r="B813" s="3" t="s">
        <v>820</v>
      </c>
      <c r="C813" s="2" t="str">
        <f ca="1">IFERROR(__xludf.DUMMYFUNCTION("GOOGLETRANSLATE(B813, ""en"",""es"")"),"tú mismo")</f>
        <v>tú mismo</v>
      </c>
      <c r="D813" s="2" t="str">
        <f ca="1">IFERROR(__xludf.DUMMYFUNCTION("GOOGLETRANSLATE(B813,""en"",""ig"")"),"gi onwe gi")</f>
        <v>gi onwe gi</v>
      </c>
      <c r="E813" s="2" t="str">
        <f ca="1">IFERROR(__xludf.DUMMYFUNCTION("GOOGLETRANSLATE(B813,""en"",""fr"")"),"toi-même")</f>
        <v>toi-même</v>
      </c>
      <c r="F813" s="2" t="str">
        <f ca="1">IFERROR(__xludf.DUMMYFUNCTION("GOOGLETRANSLATE(B813,""en"",""it"")"),"te stesso")</f>
        <v>te stesso</v>
      </c>
      <c r="G813" s="2" t="str">
        <f ca="1">IFERROR(__xludf.DUMMYFUNCTION("GOOGLETRANSLATE(B813,""en"",""de"")"),"selbst")</f>
        <v>selbst</v>
      </c>
      <c r="H813" s="2" t="str">
        <f ca="1">IFERROR(__xludf.DUMMYFUNCTION("GOOGLETRANSLATE(B813,""en"",""zh"")"),"你自己")</f>
        <v>你自己</v>
      </c>
      <c r="I813" s="2" t="str">
        <f ca="1">IFERROR(__xludf.DUMMYFUNCTION("GOOGLETRANSLATE(B813,""en"",""gd"")"),"thu fhèin")</f>
        <v>thu fhèin</v>
      </c>
    </row>
    <row r="814" spans="1:9" ht="14.25" customHeight="1" x14ac:dyDescent="0.3">
      <c r="A814" s="2">
        <v>813</v>
      </c>
      <c r="B814" s="3" t="s">
        <v>821</v>
      </c>
      <c r="C814" s="2" t="str">
        <f ca="1">IFERROR(__xludf.DUMMYFUNCTION("GOOGLETRANSLATE(B814, ""en"",""es"")"),"suministrar")</f>
        <v>suministrar</v>
      </c>
      <c r="D814" s="2" t="str">
        <f ca="1">IFERROR(__xludf.DUMMYFUNCTION("GOOGLETRANSLATE(B814,""en"",""ig"")"),"mbunyeiheahia")</f>
        <v>mbunyeiheahia</v>
      </c>
      <c r="E814" s="2" t="str">
        <f ca="1">IFERROR(__xludf.DUMMYFUNCTION("GOOGLETRANSLATE(B814,""en"",""fr"")"),"fournir")</f>
        <v>fournir</v>
      </c>
      <c r="F814" s="2" t="str">
        <f ca="1">IFERROR(__xludf.DUMMYFUNCTION("GOOGLETRANSLATE(B814,""en"",""it"")"),"fornitura")</f>
        <v>fornitura</v>
      </c>
      <c r="G814" s="2" t="str">
        <f ca="1">IFERROR(__xludf.DUMMYFUNCTION("GOOGLETRANSLATE(B814,""en"",""de"")"),"liefern")</f>
        <v>liefern</v>
      </c>
      <c r="H814" s="2" t="str">
        <f ca="1">IFERROR(__xludf.DUMMYFUNCTION("GOOGLETRANSLATE(B814,""en"",""zh"")"),"供应")</f>
        <v>供应</v>
      </c>
      <c r="I814" s="2" t="str">
        <f ca="1">IFERROR(__xludf.DUMMYFUNCTION("GOOGLETRANSLATE(B814,""en"",""gd"")"),"solar")</f>
        <v>solar</v>
      </c>
    </row>
    <row r="815" spans="1:9" ht="14.25" customHeight="1" x14ac:dyDescent="0.3">
      <c r="A815" s="2">
        <v>814</v>
      </c>
      <c r="B815" s="3" t="s">
        <v>822</v>
      </c>
      <c r="C815" s="2" t="str">
        <f ca="1">IFERROR(__xludf.DUMMYFUNCTION("GOOGLETRANSLATE(B815, ""en"",""es"")"),"aldea")</f>
        <v>aldea</v>
      </c>
      <c r="D815" s="2" t="str">
        <f ca="1">IFERROR(__xludf.DUMMYFUNCTION("GOOGLETRANSLATE(B815,""en"",""ig"")"),"vileji")</f>
        <v>vileji</v>
      </c>
      <c r="E815" s="2" t="str">
        <f ca="1">IFERROR(__xludf.DUMMYFUNCTION("GOOGLETRANSLATE(B815,""en"",""fr"")"),"village")</f>
        <v>village</v>
      </c>
      <c r="F815" s="2" t="str">
        <f ca="1">IFERROR(__xludf.DUMMYFUNCTION("GOOGLETRANSLATE(B815,""en"",""it"")"),"villaggio")</f>
        <v>villaggio</v>
      </c>
      <c r="G815" s="2" t="str">
        <f ca="1">IFERROR(__xludf.DUMMYFUNCTION("GOOGLETRANSLATE(B815,""en"",""de"")"),"Dorf")</f>
        <v>Dorf</v>
      </c>
      <c r="H815" s="2" t="str">
        <f ca="1">IFERROR(__xludf.DUMMYFUNCTION("GOOGLETRANSLATE(B815,""en"",""zh"")"),"村庄")</f>
        <v>村庄</v>
      </c>
      <c r="I815" s="2" t="str">
        <f ca="1">IFERROR(__xludf.DUMMYFUNCTION("GOOGLETRANSLATE(B815,""en"",""gd"")"),"bhaile")</f>
        <v>bhaile</v>
      </c>
    </row>
    <row r="816" spans="1:9" ht="14.25" customHeight="1" x14ac:dyDescent="0.3">
      <c r="A816" s="2">
        <v>815</v>
      </c>
      <c r="B816" s="3" t="s">
        <v>823</v>
      </c>
      <c r="C816" s="2" t="str">
        <f ca="1">IFERROR(__xludf.DUMMYFUNCTION("GOOGLETRANSLATE(B816, ""en"",""es"")"),"valer")</f>
        <v>valer</v>
      </c>
      <c r="D816" s="2" t="str">
        <f ca="1">IFERROR(__xludf.DUMMYFUNCTION("GOOGLETRANSLATE(B816,""en"",""ig"")"),"nkwesi")</f>
        <v>nkwesi</v>
      </c>
      <c r="E816" s="2" t="str">
        <f ca="1">IFERROR(__xludf.DUMMYFUNCTION("GOOGLETRANSLATE(B816,""en"",""fr"")"),"valeur")</f>
        <v>valeur</v>
      </c>
      <c r="F816" s="2" t="str">
        <f ca="1">IFERROR(__xludf.DUMMYFUNCTION("GOOGLETRANSLATE(B816,""en"",""it"")"),"Di valore")</f>
        <v>Di valore</v>
      </c>
      <c r="G816" s="2" t="str">
        <f ca="1">IFERROR(__xludf.DUMMYFUNCTION("GOOGLETRANSLATE(B816,""en"",""de"")"),"Wert")</f>
        <v>Wert</v>
      </c>
      <c r="H816" s="2" t="str">
        <f ca="1">IFERROR(__xludf.DUMMYFUNCTION("GOOGLETRANSLATE(B816,""en"",""zh"")"),"值得")</f>
        <v>值得</v>
      </c>
      <c r="I816" s="2" t="str">
        <f ca="1">IFERROR(__xludf.DUMMYFUNCTION("GOOGLETRANSLATE(B816,""en"",""gd"")"),"luach")</f>
        <v>luach</v>
      </c>
    </row>
    <row r="817" spans="1:9" ht="14.25" customHeight="1" x14ac:dyDescent="0.3">
      <c r="A817" s="2">
        <v>816</v>
      </c>
      <c r="B817" s="3" t="s">
        <v>824</v>
      </c>
      <c r="C817" s="2" t="str">
        <f ca="1">IFERROR(__xludf.DUMMYFUNCTION("GOOGLETRANSLATE(B817, ""en"",""es"")"),"natural")</f>
        <v>natural</v>
      </c>
      <c r="D817" s="2" t="str">
        <f ca="1">IFERROR(__xludf.DUMMYFUNCTION("GOOGLETRANSLATE(B817,""en"",""ig"")"),"eke")</f>
        <v>eke</v>
      </c>
      <c r="E817" s="2" t="str">
        <f ca="1">IFERROR(__xludf.DUMMYFUNCTION("GOOGLETRANSLATE(B817,""en"",""fr"")"),"naturel")</f>
        <v>naturel</v>
      </c>
      <c r="F817" s="2" t="str">
        <f ca="1">IFERROR(__xludf.DUMMYFUNCTION("GOOGLETRANSLATE(B817,""en"",""it"")"),"naturale")</f>
        <v>naturale</v>
      </c>
      <c r="G817" s="2" t="str">
        <f ca="1">IFERROR(__xludf.DUMMYFUNCTION("GOOGLETRANSLATE(B817,""en"",""de"")"),"natürlich")</f>
        <v>natürlich</v>
      </c>
      <c r="H817" s="2" t="str">
        <f ca="1">IFERROR(__xludf.DUMMYFUNCTION("GOOGLETRANSLATE(B817,""en"",""zh"")"),"自然的")</f>
        <v>自然的</v>
      </c>
      <c r="I817" s="2" t="str">
        <f ca="1">IFERROR(__xludf.DUMMYFUNCTION("GOOGLETRANSLATE(B817,""en"",""gd"")"),"nàdarra")</f>
        <v>nàdarra</v>
      </c>
    </row>
    <row r="818" spans="1:9" ht="14.25" customHeight="1" x14ac:dyDescent="0.3">
      <c r="A818" s="2">
        <v>817</v>
      </c>
      <c r="B818" s="3" t="s">
        <v>825</v>
      </c>
      <c r="C818" s="2" t="str">
        <f ca="1">IFERROR(__xludf.DUMMYFUNCTION("GOOGLETRANSLATE(B818, ""en"",""es"")"),"expresar")</f>
        <v>expresar</v>
      </c>
      <c r="D818" s="2" t="str">
        <f ca="1">IFERROR(__xludf.DUMMYFUNCTION("GOOGLETRANSLATE(B818,""en"",""ig"")"),"ikwuputa obi")</f>
        <v>ikwuputa obi</v>
      </c>
      <c r="E818" s="2" t="str">
        <f ca="1">IFERROR(__xludf.DUMMYFUNCTION("GOOGLETRANSLATE(B818,""en"",""fr"")"),"exprimer")</f>
        <v>exprimer</v>
      </c>
      <c r="F818" s="2" t="str">
        <f ca="1">IFERROR(__xludf.DUMMYFUNCTION("GOOGLETRANSLATE(B818,""en"",""it"")"),"esprimere")</f>
        <v>esprimere</v>
      </c>
      <c r="G818" s="2" t="str">
        <f ca="1">IFERROR(__xludf.DUMMYFUNCTION("GOOGLETRANSLATE(B818,""en"",""de"")"),"äußern")</f>
        <v>äußern</v>
      </c>
      <c r="H818" s="2" t="str">
        <f ca="1">IFERROR(__xludf.DUMMYFUNCTION("GOOGLETRANSLATE(B818,""en"",""zh"")"),"表达")</f>
        <v>表达</v>
      </c>
      <c r="I818" s="2" t="str">
        <f ca="1">IFERROR(__xludf.DUMMYFUNCTION("GOOGLETRANSLATE(B818,""en"",""gd"")"),"Express")</f>
        <v>Express</v>
      </c>
    </row>
    <row r="819" spans="1:9" ht="14.25" customHeight="1" x14ac:dyDescent="0.3">
      <c r="A819" s="2">
        <v>818</v>
      </c>
      <c r="B819" s="3" t="s">
        <v>826</v>
      </c>
      <c r="C819" s="2" t="str">
        <f ca="1">IFERROR(__xludf.DUMMYFUNCTION("GOOGLETRANSLATE(B819, ""en"",""es"")"),"indicar")</f>
        <v>indicar</v>
      </c>
      <c r="D819" s="2" t="str">
        <f ca="1">IFERROR(__xludf.DUMMYFUNCTION("GOOGLETRANSLATE(B819,""en"",""ig"")"),"igosi")</f>
        <v>igosi</v>
      </c>
      <c r="E819" s="2" t="str">
        <f ca="1">IFERROR(__xludf.DUMMYFUNCTION("GOOGLETRANSLATE(B819,""en"",""fr"")"),"indiquer")</f>
        <v>indiquer</v>
      </c>
      <c r="F819" s="2" t="str">
        <f ca="1">IFERROR(__xludf.DUMMYFUNCTION("GOOGLETRANSLATE(B819,""en"",""it"")"),"indicare")</f>
        <v>indicare</v>
      </c>
      <c r="G819" s="2" t="str">
        <f ca="1">IFERROR(__xludf.DUMMYFUNCTION("GOOGLETRANSLATE(B819,""en"",""de"")"),"angeben")</f>
        <v>angeben</v>
      </c>
      <c r="H819" s="2" t="str">
        <f ca="1">IFERROR(__xludf.DUMMYFUNCTION("GOOGLETRANSLATE(B819,""en"",""zh"")"),"表明")</f>
        <v>表明</v>
      </c>
      <c r="I819" s="2" t="str">
        <f ca="1">IFERROR(__xludf.DUMMYFUNCTION("GOOGLETRANSLATE(B819,""en"",""gd"")"),"comharraich")</f>
        <v>comharraich</v>
      </c>
    </row>
    <row r="820" spans="1:9" ht="14.25" customHeight="1" x14ac:dyDescent="0.3">
      <c r="A820" s="2">
        <v>819</v>
      </c>
      <c r="B820" s="3" t="s">
        <v>827</v>
      </c>
      <c r="C820" s="2" t="str">
        <f ca="1">IFERROR(__xludf.DUMMYFUNCTION("GOOGLETRANSLATE(B820, ""en"",""es"")"),"asistir")</f>
        <v>asistir</v>
      </c>
      <c r="D820" s="2" t="str">
        <f ca="1">IFERROR(__xludf.DUMMYFUNCTION("GOOGLETRANSLATE(B820,""en"",""ig"")"),"iga")</f>
        <v>iga</v>
      </c>
      <c r="E820" s="2" t="str">
        <f ca="1">IFERROR(__xludf.DUMMYFUNCTION("GOOGLETRANSLATE(B820,""en"",""fr"")"),"assister à")</f>
        <v>assister à</v>
      </c>
      <c r="F820" s="2" t="str">
        <f ca="1">IFERROR(__xludf.DUMMYFUNCTION("GOOGLETRANSLATE(B820,""en"",""it"")"),"assistere")</f>
        <v>assistere</v>
      </c>
      <c r="G820" s="2" t="str">
        <f ca="1">IFERROR(__xludf.DUMMYFUNCTION("GOOGLETRANSLATE(B820,""en"",""de"")"),"teilnehmen")</f>
        <v>teilnehmen</v>
      </c>
      <c r="H820" s="2" t="str">
        <f ca="1">IFERROR(__xludf.DUMMYFUNCTION("GOOGLETRANSLATE(B820,""en"",""zh"")"),"出席")</f>
        <v>出席</v>
      </c>
      <c r="I820" s="2" t="str">
        <f ca="1">IFERROR(__xludf.DUMMYFUNCTION("GOOGLETRANSLATE(B820,""en"",""gd"")"),"frithealadh")</f>
        <v>frithealadh</v>
      </c>
    </row>
    <row r="821" spans="1:9" ht="14.25" customHeight="1" x14ac:dyDescent="0.3">
      <c r="A821" s="2">
        <v>820</v>
      </c>
      <c r="B821" s="3" t="s">
        <v>828</v>
      </c>
      <c r="C821" s="2" t="str">
        <f ca="1">IFERROR(__xludf.DUMMYFUNCTION("GOOGLETRANSLATE(B821, ""en"",""es"")"),"hermano")</f>
        <v>hermano</v>
      </c>
      <c r="D821" s="2" t="str">
        <f ca="1">IFERROR(__xludf.DUMMYFUNCTION("GOOGLETRANSLATE(B821,""en"",""ig"")"),"nwanne nwoke")</f>
        <v>nwanne nwoke</v>
      </c>
      <c r="E821" s="2" t="str">
        <f ca="1">IFERROR(__xludf.DUMMYFUNCTION("GOOGLETRANSLATE(B821,""en"",""fr"")"),"frère")</f>
        <v>frère</v>
      </c>
      <c r="F821" s="2" t="str">
        <f ca="1">IFERROR(__xludf.DUMMYFUNCTION("GOOGLETRANSLATE(B821,""en"",""it"")"),"fratello")</f>
        <v>fratello</v>
      </c>
      <c r="G821" s="2" t="str">
        <f ca="1">IFERROR(__xludf.DUMMYFUNCTION("GOOGLETRANSLATE(B821,""en"",""de"")"),"Bruder")</f>
        <v>Bruder</v>
      </c>
      <c r="H821" s="2" t="str">
        <f ca="1">IFERROR(__xludf.DUMMYFUNCTION("GOOGLETRANSLATE(B821,""en"",""zh"")"),"兄弟")</f>
        <v>兄弟</v>
      </c>
      <c r="I821" s="2" t="str">
        <f ca="1">IFERROR(__xludf.DUMMYFUNCTION("GOOGLETRANSLATE(B821,""en"",""gd"")"),"bràthair")</f>
        <v>bràthair</v>
      </c>
    </row>
    <row r="822" spans="1:9" ht="14.25" customHeight="1" x14ac:dyDescent="0.3">
      <c r="A822" s="2">
        <v>821</v>
      </c>
      <c r="B822" s="3" t="s">
        <v>829</v>
      </c>
      <c r="C822" s="2" t="str">
        <f ca="1">IFERROR(__xludf.DUMMYFUNCTION("GOOGLETRANSLATE(B822, ""en"",""es"")"),"inversión")</f>
        <v>inversión</v>
      </c>
      <c r="D822" s="2" t="str">
        <f ca="1">IFERROR(__xludf.DUMMYFUNCTION("GOOGLETRANSLATE(B822,""en"",""ig"")"),"ntinye ego")</f>
        <v>ntinye ego</v>
      </c>
      <c r="E822" s="2" t="str">
        <f ca="1">IFERROR(__xludf.DUMMYFUNCTION("GOOGLETRANSLATE(B822,""en"",""fr"")"),"investissement")</f>
        <v>investissement</v>
      </c>
      <c r="F822" s="2" t="str">
        <f ca="1">IFERROR(__xludf.DUMMYFUNCTION("GOOGLETRANSLATE(B822,""en"",""it"")"),"investimento")</f>
        <v>investimento</v>
      </c>
      <c r="G822" s="2" t="str">
        <f ca="1">IFERROR(__xludf.DUMMYFUNCTION("GOOGLETRANSLATE(B822,""en"",""de"")"),"Investition")</f>
        <v>Investition</v>
      </c>
      <c r="H822" s="2" t="str">
        <f ca="1">IFERROR(__xludf.DUMMYFUNCTION("GOOGLETRANSLATE(B822,""en"",""zh"")"),"投资")</f>
        <v>投资</v>
      </c>
      <c r="I822" s="2" t="str">
        <f ca="1">IFERROR(__xludf.DUMMYFUNCTION("GOOGLETRANSLATE(B822,""en"",""gd"")"),"tasgadh")</f>
        <v>tasgadh</v>
      </c>
    </row>
    <row r="823" spans="1:9" ht="14.25" customHeight="1" x14ac:dyDescent="0.3">
      <c r="A823" s="2">
        <v>822</v>
      </c>
      <c r="B823" s="3" t="s">
        <v>830</v>
      </c>
      <c r="C823" s="2" t="str">
        <f ca="1">IFERROR(__xludf.DUMMYFUNCTION("GOOGLETRANSLATE(B823, ""en"",""es"")"),"puntaje")</f>
        <v>puntaje</v>
      </c>
      <c r="D823" s="2" t="str">
        <f ca="1">IFERROR(__xludf.DUMMYFUNCTION("GOOGLETRANSLATE(B823,""en"",""ig"")"),"Akara")</f>
        <v>Akara</v>
      </c>
      <c r="E823" s="2" t="str">
        <f ca="1">IFERROR(__xludf.DUMMYFUNCTION("GOOGLETRANSLATE(B823,""en"",""fr"")"),"score")</f>
        <v>score</v>
      </c>
      <c r="F823" s="2" t="str">
        <f ca="1">IFERROR(__xludf.DUMMYFUNCTION("GOOGLETRANSLATE(B823,""en"",""it"")"),"punto")</f>
        <v>punto</v>
      </c>
      <c r="G823" s="2" t="str">
        <f ca="1">IFERROR(__xludf.DUMMYFUNCTION("GOOGLETRANSLATE(B823,""en"",""de"")"),"Punktzahl")</f>
        <v>Punktzahl</v>
      </c>
      <c r="H823" s="2" t="str">
        <f ca="1">IFERROR(__xludf.DUMMYFUNCTION("GOOGLETRANSLATE(B823,""en"",""zh"")"),"分数")</f>
        <v>分数</v>
      </c>
      <c r="I823" s="2" t="str">
        <f ca="1">IFERROR(__xludf.DUMMYFUNCTION("GOOGLETRANSLATE(B823,""en"",""gd"")"),"Sgòr")</f>
        <v>Sgòr</v>
      </c>
    </row>
    <row r="824" spans="1:9" ht="14.25" customHeight="1" x14ac:dyDescent="0.3">
      <c r="A824" s="2">
        <v>823</v>
      </c>
      <c r="B824" s="3" t="s">
        <v>831</v>
      </c>
      <c r="C824" s="2" t="str">
        <f ca="1">IFERROR(__xludf.DUMMYFUNCTION("GOOGLETRANSLATE(B824, ""en"",""es"")"),"organizar")</f>
        <v>organizar</v>
      </c>
      <c r="D824" s="2" t="str">
        <f ca="1">IFERROR(__xludf.DUMMYFUNCTION("GOOGLETRANSLATE(B824,""en"",""ig"")"),"kpokota")</f>
        <v>kpokota</v>
      </c>
      <c r="E824" s="2" t="str">
        <f ca="1">IFERROR(__xludf.DUMMYFUNCTION("GOOGLETRANSLATE(B824,""en"",""fr"")"),"organiser")</f>
        <v>organiser</v>
      </c>
      <c r="F824" s="2" t="str">
        <f ca="1">IFERROR(__xludf.DUMMYFUNCTION("GOOGLETRANSLATE(B824,""en"",""it"")"),"organizzare")</f>
        <v>organizzare</v>
      </c>
      <c r="G824" s="2" t="str">
        <f ca="1">IFERROR(__xludf.DUMMYFUNCTION("GOOGLETRANSLATE(B824,""en"",""de"")"),"organisieren")</f>
        <v>organisieren</v>
      </c>
      <c r="H824" s="2" t="str">
        <f ca="1">IFERROR(__xludf.DUMMYFUNCTION("GOOGLETRANSLATE(B824,""en"",""zh"")"),"组织")</f>
        <v>组织</v>
      </c>
      <c r="I824" s="2" t="str">
        <f ca="1">IFERROR(__xludf.DUMMYFUNCTION("GOOGLETRANSLATE(B824,""en"",""gd"")"),"Cuir air dòigh")</f>
        <v>Cuir air dòigh</v>
      </c>
    </row>
    <row r="825" spans="1:9" ht="14.25" customHeight="1" x14ac:dyDescent="0.3">
      <c r="A825" s="2">
        <v>824</v>
      </c>
      <c r="B825" s="3" t="s">
        <v>832</v>
      </c>
      <c r="C825" s="2" t="str">
        <f ca="1">IFERROR(__xludf.DUMMYFUNCTION("GOOGLETRANSLATE(B825, ""en"",""es"")"),"viaje")</f>
        <v>viaje</v>
      </c>
      <c r="D825" s="2" t="str">
        <f ca="1">IFERROR(__xludf.DUMMYFUNCTION("GOOGLETRANSLATE(B825,""en"",""ig"")"),"njem")</f>
        <v>njem</v>
      </c>
      <c r="E825" s="2" t="str">
        <f ca="1">IFERROR(__xludf.DUMMYFUNCTION("GOOGLETRANSLATE(B825,""en"",""fr"")"),"voyage")</f>
        <v>voyage</v>
      </c>
      <c r="F825" s="2" t="str">
        <f ca="1">IFERROR(__xludf.DUMMYFUNCTION("GOOGLETRANSLATE(B825,""en"",""it"")"),"viaggio")</f>
        <v>viaggio</v>
      </c>
      <c r="G825" s="2" t="str">
        <f ca="1">IFERROR(__xludf.DUMMYFUNCTION("GOOGLETRANSLATE(B825,""en"",""de"")"),"Reise")</f>
        <v>Reise</v>
      </c>
      <c r="H825" s="2" t="str">
        <f ca="1">IFERROR(__xludf.DUMMYFUNCTION("GOOGLETRANSLATE(B825,""en"",""zh"")"),"旅行")</f>
        <v>旅行</v>
      </c>
      <c r="I825" s="2" t="str">
        <f ca="1">IFERROR(__xludf.DUMMYFUNCTION("GOOGLETRANSLATE(B825,""en"",""gd"")"),"Turas")</f>
        <v>Turas</v>
      </c>
    </row>
    <row r="826" spans="1:9" ht="14.25" customHeight="1" x14ac:dyDescent="0.3">
      <c r="A826" s="2">
        <v>825</v>
      </c>
      <c r="B826" s="3" t="s">
        <v>833</v>
      </c>
      <c r="C826" s="2" t="str">
        <f ca="1">IFERROR(__xludf.DUMMYFUNCTION("GOOGLETRANSLATE(B826, ""en"",""es"")"),"más allá de")</f>
        <v>más allá de</v>
      </c>
      <c r="D826" s="2" t="str">
        <f ca="1">IFERROR(__xludf.DUMMYFUNCTION("GOOGLETRANSLATE(B826,""en"",""ig"")"),"ngafe")</f>
        <v>ngafe</v>
      </c>
      <c r="E826" s="2" t="str">
        <f ca="1">IFERROR(__xludf.DUMMYFUNCTION("GOOGLETRANSLATE(B826,""en"",""fr"")"),"au-delà")</f>
        <v>au-delà</v>
      </c>
      <c r="F826" s="2" t="str">
        <f ca="1">IFERROR(__xludf.DUMMYFUNCTION("GOOGLETRANSLATE(B826,""en"",""it"")"),"al di là")</f>
        <v>al di là</v>
      </c>
      <c r="G826" s="2" t="str">
        <f ca="1">IFERROR(__xludf.DUMMYFUNCTION("GOOGLETRANSLATE(B826,""en"",""de"")"),"darüber hinaus")</f>
        <v>darüber hinaus</v>
      </c>
      <c r="H826" s="2" t="str">
        <f ca="1">IFERROR(__xludf.DUMMYFUNCTION("GOOGLETRANSLATE(B826,""en"",""zh"")"),"超过")</f>
        <v>超过</v>
      </c>
      <c r="I826" s="2" t="str">
        <f ca="1">IFERROR(__xludf.DUMMYFUNCTION("GOOGLETRANSLATE(B826,""en"",""gd"")"),"nas fhaide")</f>
        <v>nas fhaide</v>
      </c>
    </row>
    <row r="827" spans="1:9" ht="14.25" customHeight="1" x14ac:dyDescent="0.3">
      <c r="A827" s="2">
        <v>826</v>
      </c>
      <c r="B827" s="3" t="s">
        <v>834</v>
      </c>
      <c r="C827" s="2" t="str">
        <f ca="1">IFERROR(__xludf.DUMMYFUNCTION("GOOGLETRANSLATE(B827, ""en"",""es"")"),"dormir")</f>
        <v>dormir</v>
      </c>
      <c r="D827" s="2" t="str">
        <f ca="1">IFERROR(__xludf.DUMMYFUNCTION("GOOGLETRANSLATE(B827,""en"",""ig"")"),"ura")</f>
        <v>ura</v>
      </c>
      <c r="E827" s="2" t="str">
        <f ca="1">IFERROR(__xludf.DUMMYFUNCTION("GOOGLETRANSLATE(B827,""en"",""fr"")"),"dormir")</f>
        <v>dormir</v>
      </c>
      <c r="F827" s="2" t="str">
        <f ca="1">IFERROR(__xludf.DUMMYFUNCTION("GOOGLETRANSLATE(B827,""en"",""it"")"),"sonno")</f>
        <v>sonno</v>
      </c>
      <c r="G827" s="2" t="str">
        <f ca="1">IFERROR(__xludf.DUMMYFUNCTION("GOOGLETRANSLATE(B827,""en"",""de"")"),"schlafen")</f>
        <v>schlafen</v>
      </c>
      <c r="H827" s="2" t="str">
        <f ca="1">IFERROR(__xludf.DUMMYFUNCTION("GOOGLETRANSLATE(B827,""en"",""zh"")"),"睡觉")</f>
        <v>睡觉</v>
      </c>
      <c r="I827" s="2" t="str">
        <f ca="1">IFERROR(__xludf.DUMMYFUNCTION("GOOGLETRANSLATE(B827,""en"",""gd"")"),"Cadal")</f>
        <v>Cadal</v>
      </c>
    </row>
    <row r="828" spans="1:9" ht="14.25" customHeight="1" x14ac:dyDescent="0.3">
      <c r="A828" s="2">
        <v>827</v>
      </c>
      <c r="B828" s="3" t="s">
        <v>835</v>
      </c>
      <c r="C828" s="2" t="str">
        <f ca="1">IFERROR(__xludf.DUMMYFUNCTION("GOOGLETRANSLATE(B828, ""en"",""es"")"),"pez")</f>
        <v>pez</v>
      </c>
      <c r="D828" s="2" t="str">
        <f ca="1">IFERROR(__xludf.DUMMYFUNCTION("GOOGLETRANSLATE(B828,""en"",""ig"")"),"azu")</f>
        <v>azu</v>
      </c>
      <c r="E828" s="2" t="str">
        <f ca="1">IFERROR(__xludf.DUMMYFUNCTION("GOOGLETRANSLATE(B828,""en"",""fr"")"),"poisson")</f>
        <v>poisson</v>
      </c>
      <c r="F828" s="2" t="str">
        <f ca="1">IFERROR(__xludf.DUMMYFUNCTION("GOOGLETRANSLATE(B828,""en"",""it"")"),"pescare")</f>
        <v>pescare</v>
      </c>
      <c r="G828" s="2" t="str">
        <f ca="1">IFERROR(__xludf.DUMMYFUNCTION("GOOGLETRANSLATE(B828,""en"",""de"")"),"Fisch")</f>
        <v>Fisch</v>
      </c>
      <c r="H828" s="2" t="str">
        <f ca="1">IFERROR(__xludf.DUMMYFUNCTION("GOOGLETRANSLATE(B828,""en"",""zh"")"),"鱼")</f>
        <v>鱼</v>
      </c>
      <c r="I828" s="2" t="str">
        <f ca="1">IFERROR(__xludf.DUMMYFUNCTION("GOOGLETRANSLATE(B828,""en"",""gd"")"),"Iasg")</f>
        <v>Iasg</v>
      </c>
    </row>
    <row r="829" spans="1:9" ht="14.25" customHeight="1" x14ac:dyDescent="0.3">
      <c r="A829" s="2">
        <v>828</v>
      </c>
      <c r="B829" s="3" t="s">
        <v>836</v>
      </c>
      <c r="C829" s="2" t="str">
        <f ca="1">IFERROR(__xludf.DUMMYFUNCTION("GOOGLETRANSLATE(B829, ""en"",""es"")"),"promesa")</f>
        <v>promesa</v>
      </c>
      <c r="D829" s="2" t="str">
        <f ca="1">IFERROR(__xludf.DUMMYFUNCTION("GOOGLETRANSLATE(B829,""en"",""ig"")"),"kwee nkwa")</f>
        <v>kwee nkwa</v>
      </c>
      <c r="E829" s="2" t="str">
        <f ca="1">IFERROR(__xludf.DUMMYFUNCTION("GOOGLETRANSLATE(B829,""en"",""fr"")"),"promesse")</f>
        <v>promesse</v>
      </c>
      <c r="F829" s="2" t="str">
        <f ca="1">IFERROR(__xludf.DUMMYFUNCTION("GOOGLETRANSLATE(B829,""en"",""it"")"),"promettere")</f>
        <v>promettere</v>
      </c>
      <c r="G829" s="2" t="str">
        <f ca="1">IFERROR(__xludf.DUMMYFUNCTION("GOOGLETRANSLATE(B829,""en"",""de"")"),"versprechen")</f>
        <v>versprechen</v>
      </c>
      <c r="H829" s="2" t="str">
        <f ca="1">IFERROR(__xludf.DUMMYFUNCTION("GOOGLETRANSLATE(B829,""en"",""zh"")"),"承诺")</f>
        <v>承诺</v>
      </c>
      <c r="I829" s="2" t="str">
        <f ca="1">IFERROR(__xludf.DUMMYFUNCTION("GOOGLETRANSLATE(B829,""en"",""gd"")"),"gealladh")</f>
        <v>gealladh</v>
      </c>
    </row>
    <row r="830" spans="1:9" ht="14.25" customHeight="1" x14ac:dyDescent="0.3">
      <c r="A830" s="2">
        <v>829</v>
      </c>
      <c r="B830" s="3" t="s">
        <v>837</v>
      </c>
      <c r="C830" s="2" t="str">
        <f ca="1">IFERROR(__xludf.DUMMYFUNCTION("GOOGLETRANSLATE(B830, ""en"",""es"")"),"potencial")</f>
        <v>potencial</v>
      </c>
      <c r="D830" s="2" t="str">
        <f ca="1">IFERROR(__xludf.DUMMYFUNCTION("GOOGLETRANSLATE(B830,""en"",""ig"")"),"ike mmeputa")</f>
        <v>ike mmeputa</v>
      </c>
      <c r="E830" s="2" t="str">
        <f ca="1">IFERROR(__xludf.DUMMYFUNCTION("GOOGLETRANSLATE(B830,""en"",""fr"")"),"potentiel")</f>
        <v>potentiel</v>
      </c>
      <c r="F830" s="2" t="str">
        <f ca="1">IFERROR(__xludf.DUMMYFUNCTION("GOOGLETRANSLATE(B830,""en"",""it"")"),"potenziale")</f>
        <v>potenziale</v>
      </c>
      <c r="G830" s="2" t="str">
        <f ca="1">IFERROR(__xludf.DUMMYFUNCTION("GOOGLETRANSLATE(B830,""en"",""de"")"),"Potenzial")</f>
        <v>Potenzial</v>
      </c>
      <c r="H830" s="2" t="str">
        <f ca="1">IFERROR(__xludf.DUMMYFUNCTION("GOOGLETRANSLATE(B830,""en"",""zh"")"),"潜在的")</f>
        <v>潜在的</v>
      </c>
      <c r="I830" s="2" t="str">
        <f ca="1">IFERROR(__xludf.DUMMYFUNCTION("GOOGLETRANSLATE(B830,""en"",""gd"")"),"comas")</f>
        <v>comas</v>
      </c>
    </row>
    <row r="831" spans="1:9" ht="14.25" customHeight="1" x14ac:dyDescent="0.3">
      <c r="A831" s="2">
        <v>830</v>
      </c>
      <c r="B831" s="3" t="s">
        <v>838</v>
      </c>
      <c r="C831" s="2" t="str">
        <f ca="1">IFERROR(__xludf.DUMMYFUNCTION("GOOGLETRANSLATE(B831, ""en"",""es"")"),"energía")</f>
        <v>energía</v>
      </c>
      <c r="D831" s="2" t="str">
        <f ca="1">IFERROR(__xludf.DUMMYFUNCTION("GOOGLETRANSLATE(B831,""en"",""ig"")"),"ike")</f>
        <v>ike</v>
      </c>
      <c r="E831" s="2" t="str">
        <f ca="1">IFERROR(__xludf.DUMMYFUNCTION("GOOGLETRANSLATE(B831,""en"",""fr"")"),"énergie")</f>
        <v>énergie</v>
      </c>
      <c r="F831" s="2" t="str">
        <f ca="1">IFERROR(__xludf.DUMMYFUNCTION("GOOGLETRANSLATE(B831,""en"",""it"")"),"energia")</f>
        <v>energia</v>
      </c>
      <c r="G831" s="2" t="str">
        <f ca="1">IFERROR(__xludf.DUMMYFUNCTION("GOOGLETRANSLATE(B831,""en"",""de"")"),"Energie")</f>
        <v>Energie</v>
      </c>
      <c r="H831" s="2" t="str">
        <f ca="1">IFERROR(__xludf.DUMMYFUNCTION("GOOGLETRANSLATE(B831,""en"",""zh"")"),"活力")</f>
        <v>活力</v>
      </c>
      <c r="I831" s="2" t="str">
        <f ca="1">IFERROR(__xludf.DUMMYFUNCTION("GOOGLETRANSLATE(B831,""en"",""gd"")"),"lùth")</f>
        <v>lùth</v>
      </c>
    </row>
    <row r="832" spans="1:9" ht="14.25" customHeight="1" x14ac:dyDescent="0.3">
      <c r="A832" s="2">
        <v>831</v>
      </c>
      <c r="B832" s="3" t="s">
        <v>839</v>
      </c>
      <c r="C832" s="2" t="str">
        <f ca="1">IFERROR(__xludf.DUMMYFUNCTION("GOOGLETRANSLATE(B832, ""en"",""es"")"),"problema")</f>
        <v>problema</v>
      </c>
      <c r="D832" s="2" t="str">
        <f ca="1">IFERROR(__xludf.DUMMYFUNCTION("GOOGLETRANSLATE(B832,""en"",""ig"")"),"nsogbu")</f>
        <v>nsogbu</v>
      </c>
      <c r="E832" s="2" t="str">
        <f ca="1">IFERROR(__xludf.DUMMYFUNCTION("GOOGLETRANSLATE(B832,""en"",""fr"")"),"inquiéter")</f>
        <v>inquiéter</v>
      </c>
      <c r="F832" s="2" t="str">
        <f ca="1">IFERROR(__xludf.DUMMYFUNCTION("GOOGLETRANSLATE(B832,""en"",""it"")"),"guaio")</f>
        <v>guaio</v>
      </c>
      <c r="G832" s="2" t="str">
        <f ca="1">IFERROR(__xludf.DUMMYFUNCTION("GOOGLETRANSLATE(B832,""en"",""de"")"),"Problem")</f>
        <v>Problem</v>
      </c>
      <c r="H832" s="2" t="str">
        <f ca="1">IFERROR(__xludf.DUMMYFUNCTION("GOOGLETRANSLATE(B832,""en"",""zh"")"),"麻烦")</f>
        <v>麻烦</v>
      </c>
      <c r="I832" s="2" t="str">
        <f ca="1">IFERROR(__xludf.DUMMYFUNCTION("GOOGLETRANSLATE(B832,""en"",""gd"")"),"trioblaid")</f>
        <v>trioblaid</v>
      </c>
    </row>
    <row r="833" spans="1:9" ht="14.25" customHeight="1" x14ac:dyDescent="0.3">
      <c r="A833" s="2">
        <v>832</v>
      </c>
      <c r="B833" s="3" t="s">
        <v>840</v>
      </c>
      <c r="C833" s="2" t="str">
        <f ca="1">IFERROR(__xludf.DUMMYFUNCTION("GOOGLETRANSLATE(B833, ""en"",""es"")"),"relación")</f>
        <v>relación</v>
      </c>
      <c r="D833" s="2" t="str">
        <f ca="1">IFERROR(__xludf.DUMMYFUNCTION("GOOGLETRANSLATE(B833,""en"",""ig"")"),"ikwu nwaanyi")</f>
        <v>ikwu nwaanyi</v>
      </c>
      <c r="E833" s="2" t="str">
        <f ca="1">IFERROR(__xludf.DUMMYFUNCTION("GOOGLETRANSLATE(B833,""en"",""fr"")"),"relation")</f>
        <v>relation</v>
      </c>
      <c r="F833" s="2" t="str">
        <f ca="1">IFERROR(__xludf.DUMMYFUNCTION("GOOGLETRANSLATE(B833,""en"",""it"")"),"relazione")</f>
        <v>relazione</v>
      </c>
      <c r="G833" s="2" t="str">
        <f ca="1">IFERROR(__xludf.DUMMYFUNCTION("GOOGLETRANSLATE(B833,""en"",""de"")"),"Beziehung")</f>
        <v>Beziehung</v>
      </c>
      <c r="H833" s="2" t="str">
        <f ca="1">IFERROR(__xludf.DUMMYFUNCTION("GOOGLETRANSLATE(B833,""en"",""zh"")"),"关系")</f>
        <v>关系</v>
      </c>
      <c r="I833" s="2" t="str">
        <f ca="1">IFERROR(__xludf.DUMMYFUNCTION("GOOGLETRANSLATE(B833,""en"",""gd"")"),"dàimh")</f>
        <v>dàimh</v>
      </c>
    </row>
    <row r="834" spans="1:9" ht="14.25" customHeight="1" x14ac:dyDescent="0.3">
      <c r="A834" s="2">
        <v>833</v>
      </c>
      <c r="B834" s="3" t="s">
        <v>841</v>
      </c>
      <c r="C834" s="2" t="str">
        <f ca="1">IFERROR(__xludf.DUMMYFUNCTION("GOOGLETRANSLATE(B834, ""en"",""es"")"),"tocar")</f>
        <v>tocar</v>
      </c>
      <c r="D834" s="2" t="str">
        <f ca="1">IFERROR(__xludf.DUMMYFUNCTION("GOOGLETRANSLATE(B834,""en"",""ig"")"),"imetuaka")</f>
        <v>imetuaka</v>
      </c>
      <c r="E834" s="2" t="str">
        <f ca="1">IFERROR(__xludf.DUMMYFUNCTION("GOOGLETRANSLATE(B834,""en"",""fr"")"),"touche")</f>
        <v>touche</v>
      </c>
      <c r="F834" s="2" t="str">
        <f ca="1">IFERROR(__xludf.DUMMYFUNCTION("GOOGLETRANSLATE(B834,""en"",""it"")"),"tocco")</f>
        <v>tocco</v>
      </c>
      <c r="G834" s="2" t="str">
        <f ca="1">IFERROR(__xludf.DUMMYFUNCTION("GOOGLETRANSLATE(B834,""en"",""de"")"),"berühren")</f>
        <v>berühren</v>
      </c>
      <c r="H834" s="2" t="str">
        <f ca="1">IFERROR(__xludf.DUMMYFUNCTION("GOOGLETRANSLATE(B834,""en"",""zh"")"),"触碰")</f>
        <v>触碰</v>
      </c>
      <c r="I834" s="2" t="str">
        <f ca="1">IFERROR(__xludf.DUMMYFUNCTION("GOOGLETRANSLATE(B834,""en"",""gd"")"),"suathadh")</f>
        <v>suathadh</v>
      </c>
    </row>
    <row r="835" spans="1:9" ht="14.25" customHeight="1" x14ac:dyDescent="0.3">
      <c r="A835" s="2">
        <v>834</v>
      </c>
      <c r="B835" s="3" t="s">
        <v>842</v>
      </c>
      <c r="C835" s="2" t="str">
        <f ca="1">IFERROR(__xludf.DUMMYFUNCTION("GOOGLETRANSLATE(B835, ""en"",""es"")"),"archivo")</f>
        <v>archivo</v>
      </c>
      <c r="D835" s="2" t="str">
        <f ca="1">IFERROR(__xludf.DUMMYFUNCTION("GOOGLETRANSLATE(B835,""en"",""ig"")"),"failu")</f>
        <v>failu</v>
      </c>
      <c r="E835" s="2" t="str">
        <f ca="1">IFERROR(__xludf.DUMMYFUNCTION("GOOGLETRANSLATE(B835,""en"",""fr"")"),"déposer")</f>
        <v>déposer</v>
      </c>
      <c r="F835" s="2" t="str">
        <f ca="1">IFERROR(__xludf.DUMMYFUNCTION("GOOGLETRANSLATE(B835,""en"",""it"")"),"file")</f>
        <v>file</v>
      </c>
      <c r="G835" s="2" t="str">
        <f ca="1">IFERROR(__xludf.DUMMYFUNCTION("GOOGLETRANSLATE(B835,""en"",""de"")"),"Datei")</f>
        <v>Datei</v>
      </c>
      <c r="H835" s="2" t="str">
        <f ca="1">IFERROR(__xludf.DUMMYFUNCTION("GOOGLETRANSLATE(B835,""en"",""zh"")"),"文件")</f>
        <v>文件</v>
      </c>
      <c r="I835" s="2" t="str">
        <f ca="1">IFERROR(__xludf.DUMMYFUNCTION("GOOGLETRANSLATE(B835,""en"",""gd"")"),"Faidhle")</f>
        <v>Faidhle</v>
      </c>
    </row>
    <row r="836" spans="1:9" ht="14.25" customHeight="1" x14ac:dyDescent="0.3">
      <c r="A836" s="2">
        <v>835</v>
      </c>
      <c r="B836" s="3" t="s">
        <v>843</v>
      </c>
      <c r="C836" s="2" t="str">
        <f ca="1">IFERROR(__xludf.DUMMYFUNCTION("GOOGLETRANSLATE(B836, ""en"",""es"")"),"medio")</f>
        <v>medio</v>
      </c>
      <c r="D836" s="2" t="str">
        <f ca="1">IFERROR(__xludf.DUMMYFUNCTION("GOOGLETRANSLATE(B836,""en"",""ig"")"),"etiti")</f>
        <v>etiti</v>
      </c>
      <c r="E836" s="2" t="str">
        <f ca="1">IFERROR(__xludf.DUMMYFUNCTION("GOOGLETRANSLATE(B836,""en"",""fr"")"),"milieu")</f>
        <v>milieu</v>
      </c>
      <c r="F836" s="2" t="str">
        <f ca="1">IFERROR(__xludf.DUMMYFUNCTION("GOOGLETRANSLATE(B836,""en"",""it"")"),"mezzo")</f>
        <v>mezzo</v>
      </c>
      <c r="G836" s="2" t="str">
        <f ca="1">IFERROR(__xludf.DUMMYFUNCTION("GOOGLETRANSLATE(B836,""en"",""de"")"),"Mitte")</f>
        <v>Mitte</v>
      </c>
      <c r="H836" s="2" t="str">
        <f ca="1">IFERROR(__xludf.DUMMYFUNCTION("GOOGLETRANSLATE(B836,""en"",""zh"")"),"中间")</f>
        <v>中间</v>
      </c>
      <c r="I836" s="2" t="str">
        <f ca="1">IFERROR(__xludf.DUMMYFUNCTION("GOOGLETRANSLATE(B836,""en"",""gd"")"),"meadhan")</f>
        <v>meadhan</v>
      </c>
    </row>
    <row r="837" spans="1:9" ht="14.25" customHeight="1" x14ac:dyDescent="0.3">
      <c r="A837" s="2">
        <v>836</v>
      </c>
      <c r="B837" s="3" t="s">
        <v>844</v>
      </c>
      <c r="C837" s="2" t="str">
        <f ca="1">IFERROR(__xludf.DUMMYFUNCTION("GOOGLETRANSLATE(B837, ""en"",""es"")"),"bar")</f>
        <v>bar</v>
      </c>
      <c r="D837" s="2" t="str">
        <f ca="1">IFERROR(__xludf.DUMMYFUNCTION("GOOGLETRANSLATE(B837,""en"",""ig"")"),"mgbochi")</f>
        <v>mgbochi</v>
      </c>
      <c r="E837" s="2" t="str">
        <f ca="1">IFERROR(__xludf.DUMMYFUNCTION("GOOGLETRANSLATE(B837,""en"",""fr"")"),"bar")</f>
        <v>bar</v>
      </c>
      <c r="F837" s="2" t="str">
        <f ca="1">IFERROR(__xludf.DUMMYFUNCTION("GOOGLETRANSLATE(B837,""en"",""it"")"),"sbarra")</f>
        <v>sbarra</v>
      </c>
      <c r="G837" s="2" t="str">
        <f ca="1">IFERROR(__xludf.DUMMYFUNCTION("GOOGLETRANSLATE(B837,""en"",""de"")"),"Bar")</f>
        <v>Bar</v>
      </c>
      <c r="H837" s="2" t="str">
        <f ca="1">IFERROR(__xludf.DUMMYFUNCTION("GOOGLETRANSLATE(B837,""en"",""zh"")"),"酒吧")</f>
        <v>酒吧</v>
      </c>
      <c r="I837" s="2" t="str">
        <f ca="1">IFERROR(__xludf.DUMMYFUNCTION("GOOGLETRANSLATE(B837,""en"",""gd"")"),"bàr")</f>
        <v>bàr</v>
      </c>
    </row>
    <row r="838" spans="1:9" ht="14.25" customHeight="1" x14ac:dyDescent="0.3">
      <c r="A838" s="2">
        <v>837</v>
      </c>
      <c r="B838" s="3" t="s">
        <v>845</v>
      </c>
      <c r="C838" s="2" t="str">
        <f ca="1">IFERROR(__xludf.DUMMYFUNCTION("GOOGLETRANSLATE(B838, ""en"",""es"")"),"sufrir")</f>
        <v>sufrir</v>
      </c>
      <c r="D838" s="2" t="str">
        <f ca="1">IFERROR(__xludf.DUMMYFUNCTION("GOOGLETRANSLATE(B838,""en"",""ig"")"),"itaahuhu")</f>
        <v>itaahuhu</v>
      </c>
      <c r="E838" s="2" t="str">
        <f ca="1">IFERROR(__xludf.DUMMYFUNCTION("GOOGLETRANSLATE(B838,""en"",""fr"")"),"souffrir")</f>
        <v>souffrir</v>
      </c>
      <c r="F838" s="2" t="str">
        <f ca="1">IFERROR(__xludf.DUMMYFUNCTION("GOOGLETRANSLATE(B838,""en"",""it"")"),"soffrire")</f>
        <v>soffrire</v>
      </c>
      <c r="G838" s="2" t="str">
        <f ca="1">IFERROR(__xludf.DUMMYFUNCTION("GOOGLETRANSLATE(B838,""en"",""de"")"),"leiden")</f>
        <v>leiden</v>
      </c>
      <c r="H838" s="2" t="str">
        <f ca="1">IFERROR(__xludf.DUMMYFUNCTION("GOOGLETRANSLATE(B838,""en"",""zh"")"),"遭受")</f>
        <v>遭受</v>
      </c>
      <c r="I838" s="2" t="str">
        <f ca="1">IFERROR(__xludf.DUMMYFUNCTION("GOOGLETRANSLATE(B838,""en"",""gd"")"),"fulang")</f>
        <v>fulang</v>
      </c>
    </row>
    <row r="839" spans="1:9" ht="14.25" customHeight="1" x14ac:dyDescent="0.3">
      <c r="A839" s="2">
        <v>838</v>
      </c>
      <c r="B839" s="3" t="s">
        <v>846</v>
      </c>
      <c r="C839" s="2" t="str">
        <f ca="1">IFERROR(__xludf.DUMMYFUNCTION("GOOGLETRANSLATE(B839, ""en"",""es"")"),"estrategia")</f>
        <v>estrategia</v>
      </c>
      <c r="D839" s="2" t="str">
        <f ca="1">IFERROR(__xludf.DUMMYFUNCTION("GOOGLETRANSLATE(B839,""en"",""ig"")"),"strateji")</f>
        <v>strateji</v>
      </c>
      <c r="E839" s="2" t="str">
        <f ca="1">IFERROR(__xludf.DUMMYFUNCTION("GOOGLETRANSLATE(B839,""en"",""fr"")"),"stratégie")</f>
        <v>stratégie</v>
      </c>
      <c r="F839" s="2" t="str">
        <f ca="1">IFERROR(__xludf.DUMMYFUNCTION("GOOGLETRANSLATE(B839,""en"",""it"")"),"strategia")</f>
        <v>strategia</v>
      </c>
      <c r="G839" s="2" t="str">
        <f ca="1">IFERROR(__xludf.DUMMYFUNCTION("GOOGLETRANSLATE(B839,""en"",""de"")"),"Strategie")</f>
        <v>Strategie</v>
      </c>
      <c r="H839" s="2" t="str">
        <f ca="1">IFERROR(__xludf.DUMMYFUNCTION("GOOGLETRANSLATE(B839,""en"",""zh"")"),"战略")</f>
        <v>战略</v>
      </c>
      <c r="I839" s="2" t="str">
        <f ca="1">IFERROR(__xludf.DUMMYFUNCTION("GOOGLETRANSLATE(B839,""en"",""gd"")"),"Ro-innleachd")</f>
        <v>Ro-innleachd</v>
      </c>
    </row>
    <row r="840" spans="1:9" ht="14.25" customHeight="1" x14ac:dyDescent="0.3">
      <c r="A840" s="2">
        <v>839</v>
      </c>
      <c r="B840" s="3" t="s">
        <v>847</v>
      </c>
      <c r="C840" s="2" t="str">
        <f ca="1">IFERROR(__xludf.DUMMYFUNCTION("GOOGLETRANSLATE(B840, ""en"",""es"")"),"profundo")</f>
        <v>profundo</v>
      </c>
      <c r="D840" s="2" t="str">
        <f ca="1">IFERROR(__xludf.DUMMYFUNCTION("GOOGLETRANSLATE(B840,""en"",""ig"")"),"keomimi")</f>
        <v>keomimi</v>
      </c>
      <c r="E840" s="2" t="str">
        <f ca="1">IFERROR(__xludf.DUMMYFUNCTION("GOOGLETRANSLATE(B840,""en"",""fr"")"),"profond")</f>
        <v>profond</v>
      </c>
      <c r="F840" s="2" t="str">
        <f ca="1">IFERROR(__xludf.DUMMYFUNCTION("GOOGLETRANSLATE(B840,""en"",""it"")"),"profondo")</f>
        <v>profondo</v>
      </c>
      <c r="G840" s="2" t="str">
        <f ca="1">IFERROR(__xludf.DUMMYFUNCTION("GOOGLETRANSLATE(B840,""en"",""de"")"),"tief")</f>
        <v>tief</v>
      </c>
      <c r="H840" s="2" t="str">
        <f ca="1">IFERROR(__xludf.DUMMYFUNCTION("GOOGLETRANSLATE(B840,""en"",""zh"")"),"深的")</f>
        <v>深的</v>
      </c>
      <c r="I840" s="2" t="str">
        <f ca="1">IFERROR(__xludf.DUMMYFUNCTION("GOOGLETRANSLATE(B840,""en"",""gd"")"),"Gu domhainn")</f>
        <v>Gu domhainn</v>
      </c>
    </row>
    <row r="841" spans="1:9" ht="14.25" customHeight="1" x14ac:dyDescent="0.3">
      <c r="A841" s="2">
        <v>840</v>
      </c>
      <c r="B841" s="3" t="s">
        <v>848</v>
      </c>
      <c r="C841" s="2" t="str">
        <f ca="1">IFERROR(__xludf.DUMMYFUNCTION("GOOGLETRANSLATE(B841, ""en"",""es"")"),"excepto")</f>
        <v>excepto</v>
      </c>
      <c r="D841" s="2" t="str">
        <f ca="1">IFERROR(__xludf.DUMMYFUNCTION("GOOGLETRANSLATE(B841,""en"",""ig"")"),"na beluso")</f>
        <v>na beluso</v>
      </c>
      <c r="E841" s="2" t="str">
        <f ca="1">IFERROR(__xludf.DUMMYFUNCTION("GOOGLETRANSLATE(B841,""en"",""fr"")"),"sauf")</f>
        <v>sauf</v>
      </c>
      <c r="F841" s="2" t="str">
        <f ca="1">IFERROR(__xludf.DUMMYFUNCTION("GOOGLETRANSLATE(B841,""en"",""it"")"),"tranne")</f>
        <v>tranne</v>
      </c>
      <c r="G841" s="2" t="str">
        <f ca="1">IFERROR(__xludf.DUMMYFUNCTION("GOOGLETRANSLATE(B841,""en"",""de"")"),"außer")</f>
        <v>außer</v>
      </c>
      <c r="H841" s="2" t="str">
        <f ca="1">IFERROR(__xludf.DUMMYFUNCTION("GOOGLETRANSLATE(B841,""en"",""zh"")"),"除了")</f>
        <v>除了</v>
      </c>
      <c r="I841" s="2" t="str">
        <f ca="1">IFERROR(__xludf.DUMMYFUNCTION("GOOGLETRANSLATE(B841,""en"",""gd"")"),"ach a-mhàin")</f>
        <v>ach a-mhàin</v>
      </c>
    </row>
    <row r="842" spans="1:9" ht="14.25" customHeight="1" x14ac:dyDescent="0.3">
      <c r="A842" s="2">
        <v>841</v>
      </c>
      <c r="B842" s="3" t="s">
        <v>849</v>
      </c>
      <c r="C842" s="2" t="str">
        <f ca="1">IFERROR(__xludf.DUMMYFUNCTION("GOOGLETRANSLATE(B842, ""en"",""es"")"),"limpio")</f>
        <v>limpio</v>
      </c>
      <c r="D842" s="2" t="str">
        <f ca="1">IFERROR(__xludf.DUMMYFUNCTION("GOOGLETRANSLATE(B842,""en"",""ig"")"),"nkeocha")</f>
        <v>nkeocha</v>
      </c>
      <c r="E842" s="2" t="str">
        <f ca="1">IFERROR(__xludf.DUMMYFUNCTION("GOOGLETRANSLATE(B842,""en"",""fr"")"),"faire le ménage")</f>
        <v>faire le ménage</v>
      </c>
      <c r="F842" s="2" t="str">
        <f ca="1">IFERROR(__xludf.DUMMYFUNCTION("GOOGLETRANSLATE(B842,""en"",""it"")"),"pulito")</f>
        <v>pulito</v>
      </c>
      <c r="G842" s="2" t="str">
        <f ca="1">IFERROR(__xludf.DUMMYFUNCTION("GOOGLETRANSLATE(B842,""en"",""de"")"),"sauber")</f>
        <v>sauber</v>
      </c>
      <c r="H842" s="2" t="str">
        <f ca="1">IFERROR(__xludf.DUMMYFUNCTION("GOOGLETRANSLATE(B842,""en"",""zh"")"),"干净的")</f>
        <v>干净的</v>
      </c>
      <c r="I842" s="2" t="str">
        <f ca="1">IFERROR(__xludf.DUMMYFUNCTION("GOOGLETRANSLATE(B842,""en"",""gd"")"),"glan")</f>
        <v>glan</v>
      </c>
    </row>
    <row r="843" spans="1:9" ht="14.25" customHeight="1" x14ac:dyDescent="0.3">
      <c r="A843" s="2">
        <v>842</v>
      </c>
      <c r="B843" s="3" t="s">
        <v>850</v>
      </c>
      <c r="C843" s="2" t="str">
        <f ca="1">IFERROR(__xludf.DUMMYFUNCTION("GOOGLETRANSLATE(B843, ""en"",""es"")"),"tender")</f>
        <v>tender</v>
      </c>
      <c r="D843" s="2" t="str">
        <f ca="1">IFERROR(__xludf.DUMMYFUNCTION("GOOGLETRANSLATE(B843,""en"",""ig"")"),"keotughi")</f>
        <v>keotughi</v>
      </c>
      <c r="E843" s="2" t="str">
        <f ca="1">IFERROR(__xludf.DUMMYFUNCTION("GOOGLETRANSLATE(B843,""en"",""fr"")"),"tendre")</f>
        <v>tendre</v>
      </c>
      <c r="F843" s="2" t="str">
        <f ca="1">IFERROR(__xludf.DUMMYFUNCTION("GOOGLETRANSLATE(B843,""en"",""it"")"),"tendente")</f>
        <v>tendente</v>
      </c>
      <c r="G843" s="2" t="str">
        <f ca="1">IFERROR(__xludf.DUMMYFUNCTION("GOOGLETRANSLATE(B843,""en"",""de"")"),"neigen")</f>
        <v>neigen</v>
      </c>
      <c r="H843" s="2" t="str">
        <f ca="1">IFERROR(__xludf.DUMMYFUNCTION("GOOGLETRANSLATE(B843,""en"",""zh"")"),"趋向")</f>
        <v>趋向</v>
      </c>
      <c r="I843" s="2" t="str">
        <f ca="1">IFERROR(__xludf.DUMMYFUNCTION("GOOGLETRANSLATE(B843,""en"",""gd"")"),"buailteach")</f>
        <v>buailteach</v>
      </c>
    </row>
    <row r="844" spans="1:9" ht="14.25" customHeight="1" x14ac:dyDescent="0.3">
      <c r="A844" s="2">
        <v>843</v>
      </c>
      <c r="B844" s="3" t="s">
        <v>851</v>
      </c>
      <c r="C844" s="2" t="str">
        <f ca="1">IFERROR(__xludf.DUMMYFUNCTION("GOOGLETRANSLATE(B844, ""en"",""es"")"),"avance")</f>
        <v>avance</v>
      </c>
      <c r="D844" s="2" t="str">
        <f ca="1">IFERROR(__xludf.DUMMYFUNCTION("GOOGLETRANSLATE(B844,""en"",""ig"")"),"iga niihu")</f>
        <v>iga niihu</v>
      </c>
      <c r="E844" s="2" t="str">
        <f ca="1">IFERROR(__xludf.DUMMYFUNCTION("GOOGLETRANSLATE(B844,""en"",""fr"")"),"avance")</f>
        <v>avance</v>
      </c>
      <c r="F844" s="2" t="str">
        <f ca="1">IFERROR(__xludf.DUMMYFUNCTION("GOOGLETRANSLATE(B844,""en"",""it"")"),"avanzare")</f>
        <v>avanzare</v>
      </c>
      <c r="G844" s="2" t="str">
        <f ca="1">IFERROR(__xludf.DUMMYFUNCTION("GOOGLETRANSLATE(B844,""en"",""de"")"),"Vorauszahlung")</f>
        <v>Vorauszahlung</v>
      </c>
      <c r="H844" s="2" t="str">
        <f ca="1">IFERROR(__xludf.DUMMYFUNCTION("GOOGLETRANSLATE(B844,""en"",""zh"")"),"进步")</f>
        <v>进步</v>
      </c>
      <c r="I844" s="2" t="str">
        <f ca="1">IFERROR(__xludf.DUMMYFUNCTION("GOOGLETRANSLATE(B844,""en"",""gd"")"),"adhartachadh")</f>
        <v>adhartachadh</v>
      </c>
    </row>
    <row r="845" spans="1:9" ht="14.25" customHeight="1" x14ac:dyDescent="0.3">
      <c r="A845" s="2">
        <v>844</v>
      </c>
      <c r="B845" s="3" t="s">
        <v>852</v>
      </c>
      <c r="C845" s="2" t="str">
        <f ca="1">IFERROR(__xludf.DUMMYFUNCTION("GOOGLETRANSLATE(B845, ""en"",""es"")"),"llenar")</f>
        <v>llenar</v>
      </c>
      <c r="D845" s="2" t="str">
        <f ca="1">IFERROR(__xludf.DUMMYFUNCTION("GOOGLETRANSLATE(B845,""en"",""ig"")"),"imeju")</f>
        <v>imeju</v>
      </c>
      <c r="E845" s="2" t="str">
        <f ca="1">IFERROR(__xludf.DUMMYFUNCTION("GOOGLETRANSLATE(B845,""en"",""fr"")"),"remplir")</f>
        <v>remplir</v>
      </c>
      <c r="F845" s="2" t="str">
        <f ca="1">IFERROR(__xludf.DUMMYFUNCTION("GOOGLETRANSLATE(B845,""en"",""it"")"),"riempire")</f>
        <v>riempire</v>
      </c>
      <c r="G845" s="2" t="str">
        <f ca="1">IFERROR(__xludf.DUMMYFUNCTION("GOOGLETRANSLATE(B845,""en"",""de"")"),"füllen")</f>
        <v>füllen</v>
      </c>
      <c r="H845" s="2" t="str">
        <f ca="1">IFERROR(__xludf.DUMMYFUNCTION("GOOGLETRANSLATE(B845,""en"",""zh"")"),"充满")</f>
        <v>充满</v>
      </c>
      <c r="I845" s="2" t="str">
        <f ca="1">IFERROR(__xludf.DUMMYFUNCTION("GOOGLETRANSLATE(B845,""en"",""gd"")"),"Lìon")</f>
        <v>Lìon</v>
      </c>
    </row>
    <row r="846" spans="1:9" ht="14.25" customHeight="1" x14ac:dyDescent="0.3">
      <c r="A846" s="2">
        <v>845</v>
      </c>
      <c r="B846" s="3" t="s">
        <v>853</v>
      </c>
      <c r="C846" s="2" t="str">
        <f ca="1">IFERROR(__xludf.DUMMYFUNCTION("GOOGLETRANSLATE(B846, ""en"",""es"")"),"estrella")</f>
        <v>estrella</v>
      </c>
      <c r="D846" s="2" t="str">
        <f ca="1">IFERROR(__xludf.DUMMYFUNCTION("GOOGLETRANSLATE(B846,""en"",""ig"")"),"kpakpondo")</f>
        <v>kpakpondo</v>
      </c>
      <c r="E846" s="2" t="str">
        <f ca="1">IFERROR(__xludf.DUMMYFUNCTION("GOOGLETRANSLATE(B846,""en"",""fr"")"),"étoile")</f>
        <v>étoile</v>
      </c>
      <c r="F846" s="2" t="str">
        <f ca="1">IFERROR(__xludf.DUMMYFUNCTION("GOOGLETRANSLATE(B846,""en"",""it"")"),"stella")</f>
        <v>stella</v>
      </c>
      <c r="G846" s="2" t="str">
        <f ca="1">IFERROR(__xludf.DUMMYFUNCTION("GOOGLETRANSLATE(B846,""en"",""de"")"),"Stern")</f>
        <v>Stern</v>
      </c>
      <c r="H846" s="2" t="str">
        <f ca="1">IFERROR(__xludf.DUMMYFUNCTION("GOOGLETRANSLATE(B846,""en"",""zh"")"),"星星")</f>
        <v>星星</v>
      </c>
      <c r="I846" s="2" t="str">
        <f ca="1">IFERROR(__xludf.DUMMYFUNCTION("GOOGLETRANSLATE(B846,""en"",""gd"")"),"rionnag")</f>
        <v>rionnag</v>
      </c>
    </row>
    <row r="847" spans="1:9" ht="14.25" customHeight="1" x14ac:dyDescent="0.3">
      <c r="A847" s="2">
        <v>846</v>
      </c>
      <c r="B847" s="3" t="s">
        <v>854</v>
      </c>
      <c r="C847" s="2" t="str">
        <f ca="1">IFERROR(__xludf.DUMMYFUNCTION("GOOGLETRANSLATE(B847, ""en"",""es"")"),"red")</f>
        <v>red</v>
      </c>
      <c r="D847" s="2" t="str">
        <f ca="1">IFERROR(__xludf.DUMMYFUNCTION("GOOGLETRANSLATE(B847,""en"",""ig"")"),"netwok")</f>
        <v>netwok</v>
      </c>
      <c r="E847" s="2" t="str">
        <f ca="1">IFERROR(__xludf.DUMMYFUNCTION("GOOGLETRANSLATE(B847,""en"",""fr"")"),"réseau")</f>
        <v>réseau</v>
      </c>
      <c r="F847" s="2" t="str">
        <f ca="1">IFERROR(__xludf.DUMMYFUNCTION("GOOGLETRANSLATE(B847,""en"",""it"")"),"rete")</f>
        <v>rete</v>
      </c>
      <c r="G847" s="2" t="str">
        <f ca="1">IFERROR(__xludf.DUMMYFUNCTION("GOOGLETRANSLATE(B847,""en"",""de"")"),"Netzwerk")</f>
        <v>Netzwerk</v>
      </c>
      <c r="H847" s="2" t="str">
        <f ca="1">IFERROR(__xludf.DUMMYFUNCTION("GOOGLETRANSLATE(B847,""en"",""zh"")"),"网络")</f>
        <v>网络</v>
      </c>
      <c r="I847" s="2" t="str">
        <f ca="1">IFERROR(__xludf.DUMMYFUNCTION("GOOGLETRANSLATE(B847,""en"",""gd"")"),"Lìonra")</f>
        <v>Lìonra</v>
      </c>
    </row>
    <row r="848" spans="1:9" ht="14.25" customHeight="1" x14ac:dyDescent="0.3">
      <c r="A848" s="2">
        <v>847</v>
      </c>
      <c r="B848" s="3" t="s">
        <v>855</v>
      </c>
      <c r="C848" s="2" t="str">
        <f ca="1">IFERROR(__xludf.DUMMYFUNCTION("GOOGLETRANSLATE(B848, ""en"",""es"")"),"generalmente")</f>
        <v>generalmente</v>
      </c>
      <c r="D848" s="2" t="str">
        <f ca="1">IFERROR(__xludf.DUMMYFUNCTION("GOOGLETRANSLATE(B848,""en"",""ig"")"),"jenaral")</f>
        <v>jenaral</v>
      </c>
      <c r="E848" s="2" t="str">
        <f ca="1">IFERROR(__xludf.DUMMYFUNCTION("GOOGLETRANSLATE(B848,""en"",""fr"")"),"en général")</f>
        <v>en général</v>
      </c>
      <c r="F848" s="2" t="str">
        <f ca="1">IFERROR(__xludf.DUMMYFUNCTION("GOOGLETRANSLATE(B848,""en"",""it"")"),"generalmente")</f>
        <v>generalmente</v>
      </c>
      <c r="G848" s="2" t="str">
        <f ca="1">IFERROR(__xludf.DUMMYFUNCTION("GOOGLETRANSLATE(B848,""en"",""de"")"),"allgemein")</f>
        <v>allgemein</v>
      </c>
      <c r="H848" s="2" t="str">
        <f ca="1">IFERROR(__xludf.DUMMYFUNCTION("GOOGLETRANSLATE(B848,""en"",""zh"")"),"一般来说")</f>
        <v>一般来说</v>
      </c>
      <c r="I848" s="2" t="str">
        <f ca="1">IFERROR(__xludf.DUMMYFUNCTION("GOOGLETRANSLATE(B848,""en"",""gd"")"),"San fharsaingeachd")</f>
        <v>San fharsaingeachd</v>
      </c>
    </row>
    <row r="849" spans="1:9" ht="14.25" customHeight="1" x14ac:dyDescent="0.3">
      <c r="A849" s="2">
        <v>848</v>
      </c>
      <c r="B849" s="3" t="s">
        <v>856</v>
      </c>
      <c r="C849" s="2" t="str">
        <f ca="1">IFERROR(__xludf.DUMMYFUNCTION("GOOGLETRANSLATE(B849, ""en"",""es"")"),"operación")</f>
        <v>operación</v>
      </c>
      <c r="D849" s="2" t="str">
        <f ca="1">IFERROR(__xludf.DUMMYFUNCTION("GOOGLETRANSLATE(B849,""en"",""ig"")"),"iwu ihe")</f>
        <v>iwu ihe</v>
      </c>
      <c r="E849" s="2" t="str">
        <f ca="1">IFERROR(__xludf.DUMMYFUNCTION("GOOGLETRANSLATE(B849,""en"",""fr"")"),"opération")</f>
        <v>opération</v>
      </c>
      <c r="F849" s="2" t="str">
        <f ca="1">IFERROR(__xludf.DUMMYFUNCTION("GOOGLETRANSLATE(B849,""en"",""it"")"),"operazione")</f>
        <v>operazione</v>
      </c>
      <c r="G849" s="2" t="str">
        <f ca="1">IFERROR(__xludf.DUMMYFUNCTION("GOOGLETRANSLATE(B849,""en"",""de"")"),"Betrieb")</f>
        <v>Betrieb</v>
      </c>
      <c r="H849" s="2" t="str">
        <f ca="1">IFERROR(__xludf.DUMMYFUNCTION("GOOGLETRANSLATE(B849,""en"",""zh"")"),"手术")</f>
        <v>手术</v>
      </c>
      <c r="I849" s="2" t="str">
        <f ca="1">IFERROR(__xludf.DUMMYFUNCTION("GOOGLETRANSLATE(B849,""en"",""gd"")"),"obrachadh")</f>
        <v>obrachadh</v>
      </c>
    </row>
    <row r="850" spans="1:9" ht="14.25" customHeight="1" x14ac:dyDescent="0.3">
      <c r="A850" s="2">
        <v>849</v>
      </c>
      <c r="B850" s="3" t="s">
        <v>857</v>
      </c>
      <c r="C850" s="2" t="str">
        <f ca="1">IFERROR(__xludf.DUMMYFUNCTION("GOOGLETRANSLATE(B850, ""en"",""es"")"),"fósforo")</f>
        <v>fósforo</v>
      </c>
      <c r="D850" s="2" t="str">
        <f ca="1">IFERROR(__xludf.DUMMYFUNCTION("GOOGLETRANSLATE(B850,""en"",""ig"")"),"iha aha")</f>
        <v>iha aha</v>
      </c>
      <c r="E850" s="2" t="str">
        <f ca="1">IFERROR(__xludf.DUMMYFUNCTION("GOOGLETRANSLATE(B850,""en"",""fr"")"),"correspondre")</f>
        <v>correspondre</v>
      </c>
      <c r="F850" s="2" t="str">
        <f ca="1">IFERROR(__xludf.DUMMYFUNCTION("GOOGLETRANSLATE(B850,""en"",""it"")"),"incontro")</f>
        <v>incontro</v>
      </c>
      <c r="G850" s="2" t="str">
        <f ca="1">IFERROR(__xludf.DUMMYFUNCTION("GOOGLETRANSLATE(B850,""en"",""de"")"),"übereinstimmen")</f>
        <v>übereinstimmen</v>
      </c>
      <c r="H850" s="2" t="str">
        <f ca="1">IFERROR(__xludf.DUMMYFUNCTION("GOOGLETRANSLATE(B850,""en"",""zh"")"),"匹配")</f>
        <v>匹配</v>
      </c>
      <c r="I850" s="2" t="str">
        <f ca="1">IFERROR(__xludf.DUMMYFUNCTION("GOOGLETRANSLATE(B850,""en"",""gd"")"),"maids")</f>
        <v>maids</v>
      </c>
    </row>
    <row r="851" spans="1:9" ht="14.25" customHeight="1" x14ac:dyDescent="0.3">
      <c r="A851" s="2">
        <v>850</v>
      </c>
      <c r="B851" s="3" t="s">
        <v>858</v>
      </c>
      <c r="C851" s="2" t="str">
        <f ca="1">IFERROR(__xludf.DUMMYFUNCTION("GOOGLETRANSLATE(B851, ""en"",""es"")"),"evitar")</f>
        <v>evitar</v>
      </c>
      <c r="D851" s="2" t="str">
        <f ca="1">IFERROR(__xludf.DUMMYFUNCTION("GOOGLETRANSLATE(B851,""en"",""ig"")"),"igbochi")</f>
        <v>igbochi</v>
      </c>
      <c r="E851" s="2" t="str">
        <f ca="1">IFERROR(__xludf.DUMMYFUNCTION("GOOGLETRANSLATE(B851,""en"",""fr"")"),"éviter")</f>
        <v>éviter</v>
      </c>
      <c r="F851" s="2" t="str">
        <f ca="1">IFERROR(__xludf.DUMMYFUNCTION("GOOGLETRANSLATE(B851,""en"",""it"")"),"Evitare")</f>
        <v>Evitare</v>
      </c>
      <c r="G851" s="2" t="str">
        <f ca="1">IFERROR(__xludf.DUMMYFUNCTION("GOOGLETRANSLATE(B851,""en"",""de"")"),"vermeiden")</f>
        <v>vermeiden</v>
      </c>
      <c r="H851" s="2" t="str">
        <f ca="1">IFERROR(__xludf.DUMMYFUNCTION("GOOGLETRANSLATE(B851,""en"",""zh"")"),"避免")</f>
        <v>避免</v>
      </c>
      <c r="I851" s="2" t="str">
        <f ca="1">IFERROR(__xludf.DUMMYFUNCTION("GOOGLETRANSLATE(B851,""en"",""gd"")"),"Seachain")</f>
        <v>Seachain</v>
      </c>
    </row>
    <row r="852" spans="1:9" ht="14.25" customHeight="1" x14ac:dyDescent="0.3">
      <c r="A852" s="2">
        <v>851</v>
      </c>
      <c r="B852" s="3" t="s">
        <v>859</v>
      </c>
      <c r="C852" s="2" t="str">
        <f ca="1">IFERROR(__xludf.DUMMYFUNCTION("GOOGLETRANSLATE(B852, ""en"",""es"")"),"asiento")</f>
        <v>asiento</v>
      </c>
      <c r="D852" s="2" t="str">
        <f ca="1">IFERROR(__xludf.DUMMYFUNCTION("GOOGLETRANSLATE(B852,""en"",""ig"")"),"okwa")</f>
        <v>okwa</v>
      </c>
      <c r="E852" s="2" t="str">
        <f ca="1">IFERROR(__xludf.DUMMYFUNCTION("GOOGLETRANSLATE(B852,""en"",""fr"")"),"siège")</f>
        <v>siège</v>
      </c>
      <c r="F852" s="2" t="str">
        <f ca="1">IFERROR(__xludf.DUMMYFUNCTION("GOOGLETRANSLATE(B852,""en"",""it"")"),"posto a sedere")</f>
        <v>posto a sedere</v>
      </c>
      <c r="G852" s="2" t="str">
        <f ca="1">IFERROR(__xludf.DUMMYFUNCTION("GOOGLETRANSLATE(B852,""en"",""de"")"),"Sitz")</f>
        <v>Sitz</v>
      </c>
      <c r="H852" s="2" t="str">
        <f ca="1">IFERROR(__xludf.DUMMYFUNCTION("GOOGLETRANSLATE(B852,""en"",""zh"")"),"座位")</f>
        <v>座位</v>
      </c>
      <c r="I852" s="2" t="str">
        <f ca="1">IFERROR(__xludf.DUMMYFUNCTION("GOOGLETRANSLATE(B852,""en"",""gd"")"),"cathair")</f>
        <v>cathair</v>
      </c>
    </row>
    <row r="853" spans="1:9" ht="14.25" customHeight="1" x14ac:dyDescent="0.3">
      <c r="A853" s="2">
        <v>852</v>
      </c>
      <c r="B853" s="3" t="s">
        <v>860</v>
      </c>
      <c r="C853" s="2" t="str">
        <f ca="1">IFERROR(__xludf.DUMMYFUNCTION("GOOGLETRANSLATE(B853, ""en"",""es"")"),"tirar")</f>
        <v>tirar</v>
      </c>
      <c r="D853" s="2" t="str">
        <f ca="1">IFERROR(__xludf.DUMMYFUNCTION("GOOGLETRANSLATE(B853,""en"",""ig"")"),"itu")</f>
        <v>itu</v>
      </c>
      <c r="E853" s="2" t="str">
        <f ca="1">IFERROR(__xludf.DUMMYFUNCTION("GOOGLETRANSLATE(B853,""en"",""fr"")"),"lancer")</f>
        <v>lancer</v>
      </c>
      <c r="F853" s="2" t="str">
        <f ca="1">IFERROR(__xludf.DUMMYFUNCTION("GOOGLETRANSLATE(B853,""en"",""it"")"),"gettare")</f>
        <v>gettare</v>
      </c>
      <c r="G853" s="2" t="str">
        <f ca="1">IFERROR(__xludf.DUMMYFUNCTION("GOOGLETRANSLATE(B853,""en"",""de"")"),"werfen")</f>
        <v>werfen</v>
      </c>
      <c r="H853" s="2" t="str">
        <f ca="1">IFERROR(__xludf.DUMMYFUNCTION("GOOGLETRANSLATE(B853,""en"",""zh"")"),"扔")</f>
        <v>扔</v>
      </c>
      <c r="I853" s="2" t="str">
        <f ca="1">IFERROR(__xludf.DUMMYFUNCTION("GOOGLETRANSLATE(B853,""en"",""gd"")"),"tilgeil")</f>
        <v>tilgeil</v>
      </c>
    </row>
    <row r="854" spans="1:9" ht="14.25" customHeight="1" x14ac:dyDescent="0.3">
      <c r="A854" s="2">
        <v>853</v>
      </c>
      <c r="B854" s="3" t="s">
        <v>861</v>
      </c>
      <c r="C854" s="2" t="str">
        <f ca="1">IFERROR(__xludf.DUMMYFUNCTION("GOOGLETRANSLATE(B854, ""en"",""es"")"),"tarea")</f>
        <v>tarea</v>
      </c>
      <c r="D854" s="2" t="str">
        <f ca="1">IFERROR(__xludf.DUMMYFUNCTION("GOOGLETRANSLATE(B854,""en"",""ig"")"),"ozi")</f>
        <v>ozi</v>
      </c>
      <c r="E854" s="2" t="str">
        <f ca="1">IFERROR(__xludf.DUMMYFUNCTION("GOOGLETRANSLATE(B854,""en"",""fr"")"),"tâche")</f>
        <v>tâche</v>
      </c>
      <c r="F854" s="2" t="str">
        <f ca="1">IFERROR(__xludf.DUMMYFUNCTION("GOOGLETRANSLATE(B854,""en"",""it"")"),"compito")</f>
        <v>compito</v>
      </c>
      <c r="G854" s="2" t="str">
        <f ca="1">IFERROR(__xludf.DUMMYFUNCTION("GOOGLETRANSLATE(B854,""en"",""de"")"),"Aufgabe")</f>
        <v>Aufgabe</v>
      </c>
      <c r="H854" s="2" t="str">
        <f ca="1">IFERROR(__xludf.DUMMYFUNCTION("GOOGLETRANSLATE(B854,""en"",""zh"")"),"任务")</f>
        <v>任务</v>
      </c>
      <c r="I854" s="2" t="str">
        <f ca="1">IFERROR(__xludf.DUMMYFUNCTION("GOOGLETRANSLATE(B854,""en"",""gd"")"),"gnìomh")</f>
        <v>gnìomh</v>
      </c>
    </row>
    <row r="855" spans="1:9" ht="14.25" customHeight="1" x14ac:dyDescent="0.3">
      <c r="A855" s="2">
        <v>854</v>
      </c>
      <c r="B855" s="3" t="s">
        <v>862</v>
      </c>
      <c r="C855" s="2" t="str">
        <f ca="1">IFERROR(__xludf.DUMMYFUNCTION("GOOGLETRANSLATE(B855, ""en"",""es"")"),"normal")</f>
        <v>normal</v>
      </c>
      <c r="D855" s="2" t="str">
        <f ca="1">IFERROR(__xludf.DUMMYFUNCTION("GOOGLETRANSLATE(B855,""en"",""ig"")"),"nke kwesiri")</f>
        <v>nke kwesiri</v>
      </c>
      <c r="E855" s="2" t="str">
        <f ca="1">IFERROR(__xludf.DUMMYFUNCTION("GOOGLETRANSLATE(B855,""en"",""fr"")"),"normale")</f>
        <v>normale</v>
      </c>
      <c r="F855" s="2" t="str">
        <f ca="1">IFERROR(__xludf.DUMMYFUNCTION("GOOGLETRANSLATE(B855,""en"",""it"")"),"normale")</f>
        <v>normale</v>
      </c>
      <c r="G855" s="2" t="str">
        <f ca="1">IFERROR(__xludf.DUMMYFUNCTION("GOOGLETRANSLATE(B855,""en"",""de"")"),"normal")</f>
        <v>normal</v>
      </c>
      <c r="H855" s="2" t="str">
        <f ca="1">IFERROR(__xludf.DUMMYFUNCTION("GOOGLETRANSLATE(B855,""en"",""zh"")"),"普通的")</f>
        <v>普通的</v>
      </c>
      <c r="I855" s="2" t="str">
        <f ca="1">IFERROR(__xludf.DUMMYFUNCTION("GOOGLETRANSLATE(B855,""en"",""gd"")"),"àbhaisteach")</f>
        <v>àbhaisteach</v>
      </c>
    </row>
    <row r="856" spans="1:9" ht="14.25" customHeight="1" x14ac:dyDescent="0.3">
      <c r="A856" s="2">
        <v>855</v>
      </c>
      <c r="B856" s="3" t="s">
        <v>863</v>
      </c>
      <c r="C856" s="2" t="str">
        <f ca="1">IFERROR(__xludf.DUMMYFUNCTION("GOOGLETRANSLATE(B856, ""en"",""es"")"),"meta")</f>
        <v>meta</v>
      </c>
      <c r="D856" s="2" t="str">
        <f ca="1">IFERROR(__xludf.DUMMYFUNCTION("GOOGLETRANSLATE(B856,""en"",""ig"")"),"ebumnobi")</f>
        <v>ebumnobi</v>
      </c>
      <c r="E856" s="2" t="str">
        <f ca="1">IFERROR(__xludf.DUMMYFUNCTION("GOOGLETRANSLATE(B856,""en"",""fr"")"),"but")</f>
        <v>but</v>
      </c>
      <c r="F856" s="2" t="str">
        <f ca="1">IFERROR(__xludf.DUMMYFUNCTION("GOOGLETRANSLATE(B856,""en"",""it"")"),"obiettivo")</f>
        <v>obiettivo</v>
      </c>
      <c r="G856" s="2" t="str">
        <f ca="1">IFERROR(__xludf.DUMMYFUNCTION("GOOGLETRANSLATE(B856,""en"",""de"")"),"Ziel")</f>
        <v>Ziel</v>
      </c>
      <c r="H856" s="2" t="str">
        <f ca="1">IFERROR(__xludf.DUMMYFUNCTION("GOOGLETRANSLATE(B856,""en"",""zh"")"),"目标")</f>
        <v>目标</v>
      </c>
      <c r="I856" s="2" t="str">
        <f ca="1">IFERROR(__xludf.DUMMYFUNCTION("GOOGLETRANSLATE(B856,""en"",""gd"")"),"Amas")</f>
        <v>Amas</v>
      </c>
    </row>
    <row r="857" spans="1:9" ht="14.25" customHeight="1" x14ac:dyDescent="0.3">
      <c r="A857" s="2">
        <v>856</v>
      </c>
      <c r="B857" s="3" t="s">
        <v>864</v>
      </c>
      <c r="C857" s="2" t="str">
        <f ca="1">IFERROR(__xludf.DUMMYFUNCTION("GOOGLETRANSLATE(B857, ""en"",""es"")"),"asociado")</f>
        <v>asociado</v>
      </c>
      <c r="D857" s="2" t="str">
        <f ca="1">IFERROR(__xludf.DUMMYFUNCTION("GOOGLETRANSLATE(B857,""en"",""ig"")"),"onye otu")</f>
        <v>onye otu</v>
      </c>
      <c r="E857" s="2" t="str">
        <f ca="1">IFERROR(__xludf.DUMMYFUNCTION("GOOGLETRANSLATE(B857,""en"",""fr"")"),"associé")</f>
        <v>associé</v>
      </c>
      <c r="F857" s="2" t="str">
        <f ca="1">IFERROR(__xludf.DUMMYFUNCTION("GOOGLETRANSLATE(B857,""en"",""it"")"),"socio")</f>
        <v>socio</v>
      </c>
      <c r="G857" s="2" t="str">
        <f ca="1">IFERROR(__xludf.DUMMYFUNCTION("GOOGLETRANSLATE(B857,""en"",""de"")"),"assoziieren")</f>
        <v>assoziieren</v>
      </c>
      <c r="H857" s="2" t="str">
        <f ca="1">IFERROR(__xludf.DUMMYFUNCTION("GOOGLETRANSLATE(B857,""en"",""zh"")"),"联系")</f>
        <v>联系</v>
      </c>
      <c r="I857" s="2" t="str">
        <f ca="1">IFERROR(__xludf.DUMMYFUNCTION("GOOGLETRANSLATE(B857,""en"",""gd"")"),"a 'ceangal")</f>
        <v>a 'ceangal</v>
      </c>
    </row>
    <row r="858" spans="1:9" ht="14.25" customHeight="1" x14ac:dyDescent="0.3">
      <c r="A858" s="2">
        <v>857</v>
      </c>
      <c r="B858" s="3" t="s">
        <v>865</v>
      </c>
      <c r="C858" s="2" t="str">
        <f ca="1">IFERROR(__xludf.DUMMYFUNCTION("GOOGLETRANSLATE(B858, ""en"",""es"")"),"azul")</f>
        <v>azul</v>
      </c>
      <c r="D858" s="2" t="str">
        <f ca="1">IFERROR(__xludf.DUMMYFUNCTION("GOOGLETRANSLATE(B858,""en"",""ig"")"),"bluu")</f>
        <v>bluu</v>
      </c>
      <c r="E858" s="2" t="str">
        <f ca="1">IFERROR(__xludf.DUMMYFUNCTION("GOOGLETRANSLATE(B858,""en"",""fr"")"),"bleu")</f>
        <v>bleu</v>
      </c>
      <c r="F858" s="2" t="str">
        <f ca="1">IFERROR(__xludf.DUMMYFUNCTION("GOOGLETRANSLATE(B858,""en"",""it"")"),"blu")</f>
        <v>blu</v>
      </c>
      <c r="G858" s="2" t="str">
        <f ca="1">IFERROR(__xludf.DUMMYFUNCTION("GOOGLETRANSLATE(B858,""en"",""de"")"),"Blau")</f>
        <v>Blau</v>
      </c>
      <c r="H858" s="2" t="str">
        <f ca="1">IFERROR(__xludf.DUMMYFUNCTION("GOOGLETRANSLATE(B858,""en"",""zh"")"),"蓝色的")</f>
        <v>蓝色的</v>
      </c>
      <c r="I858" s="2" t="str">
        <f ca="1">IFERROR(__xludf.DUMMYFUNCTION("GOOGLETRANSLATE(B858,""en"",""gd"")"),"gorm")</f>
        <v>gorm</v>
      </c>
    </row>
    <row r="859" spans="1:9" ht="14.25" customHeight="1" x14ac:dyDescent="0.3">
      <c r="A859" s="2">
        <v>858</v>
      </c>
      <c r="B859" s="3" t="s">
        <v>866</v>
      </c>
      <c r="C859" s="2" t="str">
        <f ca="1">IFERROR(__xludf.DUMMYFUNCTION("GOOGLETRANSLATE(B859, ""en"",""es"")"),"positivo")</f>
        <v>positivo</v>
      </c>
      <c r="D859" s="2" t="str">
        <f ca="1">IFERROR(__xludf.DUMMYFUNCTION("GOOGLETRANSLATE(B859,""en"",""ig"")"),"nke oma")</f>
        <v>nke oma</v>
      </c>
      <c r="E859" s="2" t="str">
        <f ca="1">IFERROR(__xludf.DUMMYFUNCTION("GOOGLETRANSLATE(B859,""en"",""fr"")"),"positif")</f>
        <v>positif</v>
      </c>
      <c r="F859" s="2" t="str">
        <f ca="1">IFERROR(__xludf.DUMMYFUNCTION("GOOGLETRANSLATE(B859,""en"",""it"")"),"positivo")</f>
        <v>positivo</v>
      </c>
      <c r="G859" s="2" t="str">
        <f ca="1">IFERROR(__xludf.DUMMYFUNCTION("GOOGLETRANSLATE(B859,""en"",""de"")"),"positiv")</f>
        <v>positiv</v>
      </c>
      <c r="H859" s="2" t="str">
        <f ca="1">IFERROR(__xludf.DUMMYFUNCTION("GOOGLETRANSLATE(B859,""en"",""zh"")"),"积极的")</f>
        <v>积极的</v>
      </c>
      <c r="I859" s="2" t="str">
        <f ca="1">IFERROR(__xludf.DUMMYFUNCTION("GOOGLETRANSLATE(B859,""en"",""gd"")"),"deimhinneach")</f>
        <v>deimhinneach</v>
      </c>
    </row>
    <row r="860" spans="1:9" ht="14.25" customHeight="1" x14ac:dyDescent="0.3">
      <c r="A860" s="2">
        <v>859</v>
      </c>
      <c r="B860" s="3" t="s">
        <v>867</v>
      </c>
      <c r="C860" s="2" t="str">
        <f ca="1">IFERROR(__xludf.DUMMYFUNCTION("GOOGLETRANSLATE(B860, ""en"",""es"")"),"opción")</f>
        <v>opción</v>
      </c>
      <c r="D860" s="2" t="str">
        <f ca="1">IFERROR(__xludf.DUMMYFUNCTION("GOOGLETRANSLATE(B860,""en"",""ig"")"),"mghoro")</f>
        <v>mghoro</v>
      </c>
      <c r="E860" s="2" t="str">
        <f ca="1">IFERROR(__xludf.DUMMYFUNCTION("GOOGLETRANSLATE(B860,""en"",""fr"")"),"option")</f>
        <v>option</v>
      </c>
      <c r="F860" s="2" t="str">
        <f ca="1">IFERROR(__xludf.DUMMYFUNCTION("GOOGLETRANSLATE(B860,""en"",""it"")"),"opzione")</f>
        <v>opzione</v>
      </c>
      <c r="G860" s="2" t="str">
        <f ca="1">IFERROR(__xludf.DUMMYFUNCTION("GOOGLETRANSLATE(B860,""en"",""de"")"),"Möglichkeit")</f>
        <v>Möglichkeit</v>
      </c>
      <c r="H860" s="2" t="str">
        <f ca="1">IFERROR(__xludf.DUMMYFUNCTION("GOOGLETRANSLATE(B860,""en"",""zh"")"),"选项")</f>
        <v>选项</v>
      </c>
      <c r="I860" s="2" t="str">
        <f ca="1">IFERROR(__xludf.DUMMYFUNCTION("GOOGLETRANSLATE(B860,""en"",""gd"")"),"Roghainn")</f>
        <v>Roghainn</v>
      </c>
    </row>
    <row r="861" spans="1:9" ht="14.25" customHeight="1" x14ac:dyDescent="0.3">
      <c r="A861" s="2">
        <v>860</v>
      </c>
      <c r="B861" s="3" t="s">
        <v>868</v>
      </c>
      <c r="C861" s="2" t="str">
        <f ca="1">IFERROR(__xludf.DUMMYFUNCTION("GOOGLETRANSLATE(B861, ""en"",""es"")"),"caja")</f>
        <v>caja</v>
      </c>
      <c r="D861" s="2" t="str">
        <f ca="1">IFERROR(__xludf.DUMMYFUNCTION("GOOGLETRANSLATE(B861,""en"",""ig"")"),"akpati")</f>
        <v>akpati</v>
      </c>
      <c r="E861" s="2" t="str">
        <f ca="1">IFERROR(__xludf.DUMMYFUNCTION("GOOGLETRANSLATE(B861,""en"",""fr"")"),"boîte")</f>
        <v>boîte</v>
      </c>
      <c r="F861" s="2" t="str">
        <f ca="1">IFERROR(__xludf.DUMMYFUNCTION("GOOGLETRANSLATE(B861,""en"",""it"")"),"scatola")</f>
        <v>scatola</v>
      </c>
      <c r="G861" s="2" t="str">
        <f ca="1">IFERROR(__xludf.DUMMYFUNCTION("GOOGLETRANSLATE(B861,""en"",""de"")"),"Kasten")</f>
        <v>Kasten</v>
      </c>
      <c r="H861" s="2" t="str">
        <f ca="1">IFERROR(__xludf.DUMMYFUNCTION("GOOGLETRANSLATE(B861,""en"",""zh"")"),"盒子")</f>
        <v>盒子</v>
      </c>
      <c r="I861" s="2" t="str">
        <f ca="1">IFERROR(__xludf.DUMMYFUNCTION("GOOGLETRANSLATE(B861,""en"",""gd"")"),"bogsa")</f>
        <v>bogsa</v>
      </c>
    </row>
    <row r="862" spans="1:9" ht="14.25" customHeight="1" x14ac:dyDescent="0.3">
      <c r="A862" s="2">
        <v>861</v>
      </c>
      <c r="B862" s="3" t="s">
        <v>869</v>
      </c>
      <c r="C862" s="2" t="str">
        <f ca="1">IFERROR(__xludf.DUMMYFUNCTION("GOOGLETRANSLATE(B862, ""en"",""es"")"),"enorme")</f>
        <v>enorme</v>
      </c>
      <c r="D862" s="2" t="str">
        <f ca="1">IFERROR(__xludf.DUMMYFUNCTION("GOOGLETRANSLATE(B862,""en"",""ig"")"),"ibu")</f>
        <v>ibu</v>
      </c>
      <c r="E862" s="2" t="str">
        <f ca="1">IFERROR(__xludf.DUMMYFUNCTION("GOOGLETRANSLATE(B862,""en"",""fr"")"),"énorme")</f>
        <v>énorme</v>
      </c>
      <c r="F862" s="2" t="str">
        <f ca="1">IFERROR(__xludf.DUMMYFUNCTION("GOOGLETRANSLATE(B862,""en"",""it"")"),"Enorme")</f>
        <v>Enorme</v>
      </c>
      <c r="G862" s="2" t="str">
        <f ca="1">IFERROR(__xludf.DUMMYFUNCTION("GOOGLETRANSLATE(B862,""en"",""de"")"),"riesig")</f>
        <v>riesig</v>
      </c>
      <c r="H862" s="2" t="str">
        <f ca="1">IFERROR(__xludf.DUMMYFUNCTION("GOOGLETRANSLATE(B862,""en"",""zh"")"),"巨大的")</f>
        <v>巨大的</v>
      </c>
      <c r="I862" s="2" t="str">
        <f ca="1">IFERROR(__xludf.DUMMYFUNCTION("GOOGLETRANSLATE(B862,""en"",""gd"")"),"mòr")</f>
        <v>mòr</v>
      </c>
    </row>
    <row r="863" spans="1:9" ht="14.25" customHeight="1" x14ac:dyDescent="0.3">
      <c r="A863" s="2">
        <v>862</v>
      </c>
      <c r="B863" s="3" t="s">
        <v>870</v>
      </c>
      <c r="C863" s="2" t="str">
        <f ca="1">IFERROR(__xludf.DUMMYFUNCTION("GOOGLETRANSLATE(B863, ""en"",""es"")"),"mensaje")</f>
        <v>mensaje</v>
      </c>
      <c r="D863" s="2" t="str">
        <f ca="1">IFERROR(__xludf.DUMMYFUNCTION("GOOGLETRANSLATE(B863,""en"",""ig"")"),"ozi")</f>
        <v>ozi</v>
      </c>
      <c r="E863" s="2" t="str">
        <f ca="1">IFERROR(__xludf.DUMMYFUNCTION("GOOGLETRANSLATE(B863,""en"",""fr"")"),"message")</f>
        <v>message</v>
      </c>
      <c r="F863" s="2" t="str">
        <f ca="1">IFERROR(__xludf.DUMMYFUNCTION("GOOGLETRANSLATE(B863,""en"",""it"")"),"Messaggio")</f>
        <v>Messaggio</v>
      </c>
      <c r="G863" s="2" t="str">
        <f ca="1">IFERROR(__xludf.DUMMYFUNCTION("GOOGLETRANSLATE(B863,""en"",""de"")"),"Nachricht")</f>
        <v>Nachricht</v>
      </c>
      <c r="H863" s="2" t="str">
        <f ca="1">IFERROR(__xludf.DUMMYFUNCTION("GOOGLETRANSLATE(B863,""en"",""zh"")"),"信息")</f>
        <v>信息</v>
      </c>
      <c r="I863" s="2" t="str">
        <f ca="1">IFERROR(__xludf.DUMMYFUNCTION("GOOGLETRANSLATE(B863,""en"",""gd"")"),"Teachdaireachd")</f>
        <v>Teachdaireachd</v>
      </c>
    </row>
    <row r="864" spans="1:9" ht="14.25" customHeight="1" x14ac:dyDescent="0.3">
      <c r="A864" s="2">
        <v>863</v>
      </c>
      <c r="B864" s="3" t="s">
        <v>871</v>
      </c>
      <c r="C864" s="2" t="str">
        <f ca="1">IFERROR(__xludf.DUMMYFUNCTION("GOOGLETRANSLATE(B864, ""en"",""es"")"),"instancia")</f>
        <v>instancia</v>
      </c>
      <c r="D864" s="2" t="str">
        <f ca="1">IFERROR(__xludf.DUMMYFUNCTION("GOOGLETRANSLATE(B864,""en"",""ig"")"),"omuma")</f>
        <v>omuma</v>
      </c>
      <c r="E864" s="2" t="str">
        <f ca="1">IFERROR(__xludf.DUMMYFUNCTION("GOOGLETRANSLATE(B864,""en"",""fr"")"),"exemple")</f>
        <v>exemple</v>
      </c>
      <c r="F864" s="2" t="str">
        <f ca="1">IFERROR(__xludf.DUMMYFUNCTION("GOOGLETRANSLATE(B864,""en"",""it"")"),"esempio")</f>
        <v>esempio</v>
      </c>
      <c r="G864" s="2" t="str">
        <f ca="1">IFERROR(__xludf.DUMMYFUNCTION("GOOGLETRANSLATE(B864,""en"",""de"")"),"Beispiel")</f>
        <v>Beispiel</v>
      </c>
      <c r="H864" s="2" t="str">
        <f ca="1">IFERROR(__xludf.DUMMYFUNCTION("GOOGLETRANSLATE(B864,""en"",""zh"")"),"实例")</f>
        <v>实例</v>
      </c>
      <c r="I864" s="2" t="str">
        <f ca="1">IFERROR(__xludf.DUMMYFUNCTION("GOOGLETRANSLATE(B864,""en"",""gd"")"),"eisimpleir")</f>
        <v>eisimpleir</v>
      </c>
    </row>
    <row r="865" spans="1:9" ht="14.25" customHeight="1" x14ac:dyDescent="0.3">
      <c r="A865" s="2">
        <v>864</v>
      </c>
      <c r="B865" s="3" t="s">
        <v>872</v>
      </c>
      <c r="C865" s="2" t="str">
        <f ca="1">IFERROR(__xludf.DUMMYFUNCTION("GOOGLETRANSLATE(B865, ""en"",""es"")"),"estilo")</f>
        <v>estilo</v>
      </c>
      <c r="D865" s="2" t="str">
        <f ca="1">IFERROR(__xludf.DUMMYFUNCTION("GOOGLETRANSLATE(B865,""en"",""ig"")"),"akanka")</f>
        <v>akanka</v>
      </c>
      <c r="E865" s="2" t="str">
        <f ca="1">IFERROR(__xludf.DUMMYFUNCTION("GOOGLETRANSLATE(B865,""en"",""fr"")"),"style")</f>
        <v>style</v>
      </c>
      <c r="F865" s="2" t="str">
        <f ca="1">IFERROR(__xludf.DUMMYFUNCTION("GOOGLETRANSLATE(B865,""en"",""it"")"),"stile")</f>
        <v>stile</v>
      </c>
      <c r="G865" s="2" t="str">
        <f ca="1">IFERROR(__xludf.DUMMYFUNCTION("GOOGLETRANSLATE(B865,""en"",""de"")"),"Stil")</f>
        <v>Stil</v>
      </c>
      <c r="H865" s="2" t="str">
        <f ca="1">IFERROR(__xludf.DUMMYFUNCTION("GOOGLETRANSLATE(B865,""en"",""zh"")"),"风格")</f>
        <v>风格</v>
      </c>
      <c r="I865" s="2" t="str">
        <f ca="1">IFERROR(__xludf.DUMMYFUNCTION("GOOGLETRANSLATE(B865,""en"",""gd"")"),"stoidhle")</f>
        <v>stoidhle</v>
      </c>
    </row>
    <row r="866" spans="1:9" ht="14.25" customHeight="1" x14ac:dyDescent="0.3">
      <c r="A866" s="2">
        <v>865</v>
      </c>
      <c r="B866" s="3" t="s">
        <v>873</v>
      </c>
      <c r="C866" s="2" t="str">
        <f ca="1">IFERROR(__xludf.DUMMYFUNCTION("GOOGLETRANSLATE(B866, ""en"",""es"")"),"referirse")</f>
        <v>referirse</v>
      </c>
      <c r="D866" s="2" t="str">
        <f ca="1">IFERROR(__xludf.DUMMYFUNCTION("GOOGLETRANSLATE(B866,""en"",""ig"")"),"tuo aka")</f>
        <v>tuo aka</v>
      </c>
      <c r="E866" s="2" t="str">
        <f ca="1">IFERROR(__xludf.DUMMYFUNCTION("GOOGLETRANSLATE(B866,""en"",""fr"")"),"référer")</f>
        <v>référer</v>
      </c>
      <c r="F866" s="2" t="str">
        <f ca="1">IFERROR(__xludf.DUMMYFUNCTION("GOOGLETRANSLATE(B866,""en"",""it"")"),"fare riferimento")</f>
        <v>fare riferimento</v>
      </c>
      <c r="G866" s="2" t="str">
        <f ca="1">IFERROR(__xludf.DUMMYFUNCTION("GOOGLETRANSLATE(B866,""en"",""de"")"),"verweisen")</f>
        <v>verweisen</v>
      </c>
      <c r="H866" s="2" t="str">
        <f ca="1">IFERROR(__xludf.DUMMYFUNCTION("GOOGLETRANSLATE(B866,""en"",""zh"")"),"参考")</f>
        <v>参考</v>
      </c>
      <c r="I866" s="2" t="str">
        <f ca="1">IFERROR(__xludf.DUMMYFUNCTION("GOOGLETRANSLATE(B866,""en"",""gd"")"),"Thoir sùil")</f>
        <v>Thoir sùil</v>
      </c>
    </row>
    <row r="867" spans="1:9" ht="14.25" customHeight="1" x14ac:dyDescent="0.3">
      <c r="A867" s="2">
        <v>866</v>
      </c>
      <c r="B867" s="3" t="s">
        <v>874</v>
      </c>
      <c r="C867" s="2" t="str">
        <f ca="1">IFERROR(__xludf.DUMMYFUNCTION("GOOGLETRANSLATE(B867, ""en"",""es"")"),"frío")</f>
        <v>frío</v>
      </c>
      <c r="D867" s="2" t="str">
        <f ca="1">IFERROR(__xludf.DUMMYFUNCTION("GOOGLETRANSLATE(B867,""en"",""ig"")"),"oyi")</f>
        <v>oyi</v>
      </c>
      <c r="E867" s="2" t="str">
        <f ca="1">IFERROR(__xludf.DUMMYFUNCTION("GOOGLETRANSLATE(B867,""en"",""fr"")"),"froid")</f>
        <v>froid</v>
      </c>
      <c r="F867" s="2" t="str">
        <f ca="1">IFERROR(__xludf.DUMMYFUNCTION("GOOGLETRANSLATE(B867,""en"",""it"")"),"Freddo")</f>
        <v>Freddo</v>
      </c>
      <c r="G867" s="2" t="str">
        <f ca="1">IFERROR(__xludf.DUMMYFUNCTION("GOOGLETRANSLATE(B867,""en"",""de"")"),"kalt")</f>
        <v>kalt</v>
      </c>
      <c r="H867" s="2" t="str">
        <f ca="1">IFERROR(__xludf.DUMMYFUNCTION("GOOGLETRANSLATE(B867,""en"",""zh"")"),"寒冷的")</f>
        <v>寒冷的</v>
      </c>
      <c r="I867" s="2" t="str">
        <f ca="1">IFERROR(__xludf.DUMMYFUNCTION("GOOGLETRANSLATE(B867,""en"",""gd"")"),"fuar")</f>
        <v>fuar</v>
      </c>
    </row>
    <row r="868" spans="1:9" ht="14.25" customHeight="1" x14ac:dyDescent="0.3">
      <c r="A868" s="2">
        <v>867</v>
      </c>
      <c r="B868" s="3" t="s">
        <v>875</v>
      </c>
      <c r="C868" s="2" t="str">
        <f ca="1">IFERROR(__xludf.DUMMYFUNCTION("GOOGLETRANSLATE(B868, ""en"",""es"")"),"empujar")</f>
        <v>empujar</v>
      </c>
      <c r="D868" s="2" t="str">
        <f ca="1">IFERROR(__xludf.DUMMYFUNCTION("GOOGLETRANSLATE(B868,""en"",""ig"")"),"Kwaa")</f>
        <v>Kwaa</v>
      </c>
      <c r="E868" s="2" t="str">
        <f ca="1">IFERROR(__xludf.DUMMYFUNCTION("GOOGLETRANSLATE(B868,""en"",""fr"")"),"pousser")</f>
        <v>pousser</v>
      </c>
      <c r="F868" s="2" t="str">
        <f ca="1">IFERROR(__xludf.DUMMYFUNCTION("GOOGLETRANSLATE(B868,""en"",""it"")"),"spingere")</f>
        <v>spingere</v>
      </c>
      <c r="G868" s="2" t="str">
        <f ca="1">IFERROR(__xludf.DUMMYFUNCTION("GOOGLETRANSLATE(B868,""en"",""de"")"),"drücken")</f>
        <v>drücken</v>
      </c>
      <c r="H868" s="2" t="str">
        <f ca="1">IFERROR(__xludf.DUMMYFUNCTION("GOOGLETRANSLATE(B868,""en"",""zh"")"),"推")</f>
        <v>推</v>
      </c>
      <c r="I868" s="2" t="str">
        <f ca="1">IFERROR(__xludf.DUMMYFUNCTION("GOOGLETRANSLATE(B868,""en"",""gd"")"),"brùth")</f>
        <v>brùth</v>
      </c>
    </row>
    <row r="869" spans="1:9" ht="14.25" customHeight="1" x14ac:dyDescent="0.3">
      <c r="A869" s="2">
        <v>868</v>
      </c>
      <c r="B869" s="3" t="s">
        <v>876</v>
      </c>
      <c r="C869" s="2" t="str">
        <f ca="1">IFERROR(__xludf.DUMMYFUNCTION("GOOGLETRANSLATE(B869, ""en"",""es"")"),"cuarto")</f>
        <v>cuarto</v>
      </c>
      <c r="D869" s="2" t="str">
        <f ca="1">IFERROR(__xludf.DUMMYFUNCTION("GOOGLETRANSLATE(B869,""en"",""ig"")"),"nkeji keano")</f>
        <v>nkeji keano</v>
      </c>
      <c r="E869" s="2" t="str">
        <f ca="1">IFERROR(__xludf.DUMMYFUNCTION("GOOGLETRANSLATE(B869,""en"",""fr"")"),"quart")</f>
        <v>quart</v>
      </c>
      <c r="F869" s="2" t="str">
        <f ca="1">IFERROR(__xludf.DUMMYFUNCTION("GOOGLETRANSLATE(B869,""en"",""it"")"),"trimestre")</f>
        <v>trimestre</v>
      </c>
      <c r="G869" s="2" t="str">
        <f ca="1">IFERROR(__xludf.DUMMYFUNCTION("GOOGLETRANSLATE(B869,""en"",""de"")"),"Quartal")</f>
        <v>Quartal</v>
      </c>
      <c r="H869" s="2" t="str">
        <f ca="1">IFERROR(__xludf.DUMMYFUNCTION("GOOGLETRANSLATE(B869,""en"",""zh"")"),"四分之一")</f>
        <v>四分之一</v>
      </c>
      <c r="I869" s="2" t="str">
        <f ca="1">IFERROR(__xludf.DUMMYFUNCTION("GOOGLETRANSLATE(B869,""en"",""gd"")"),"Ceathramh")</f>
        <v>Ceathramh</v>
      </c>
    </row>
    <row r="870" spans="1:9" ht="14.25" customHeight="1" x14ac:dyDescent="0.3">
      <c r="A870" s="2">
        <v>869</v>
      </c>
      <c r="B870" s="3" t="s">
        <v>877</v>
      </c>
      <c r="C870" s="2" t="str">
        <f ca="1">IFERROR(__xludf.DUMMYFUNCTION("GOOGLETRANSLATE(B870, ""en"",""es"")"),"asumir")</f>
        <v>asumir</v>
      </c>
      <c r="D870" s="2" t="str">
        <f ca="1">IFERROR(__xludf.DUMMYFUNCTION("GOOGLETRANSLATE(B870,""en"",""ig"")"),"iche")</f>
        <v>iche</v>
      </c>
      <c r="E870" s="2" t="str">
        <f ca="1">IFERROR(__xludf.DUMMYFUNCTION("GOOGLETRANSLATE(B870,""en"",""fr"")"),"supposer")</f>
        <v>supposer</v>
      </c>
      <c r="F870" s="2" t="str">
        <f ca="1">IFERROR(__xludf.DUMMYFUNCTION("GOOGLETRANSLATE(B870,""en"",""it"")"),"assumere")</f>
        <v>assumere</v>
      </c>
      <c r="G870" s="2" t="str">
        <f ca="1">IFERROR(__xludf.DUMMYFUNCTION("GOOGLETRANSLATE(B870,""en"",""de"")"),"annehmen")</f>
        <v>annehmen</v>
      </c>
      <c r="H870" s="2" t="str">
        <f ca="1">IFERROR(__xludf.DUMMYFUNCTION("GOOGLETRANSLATE(B870,""en"",""zh"")"),"认为")</f>
        <v>认为</v>
      </c>
      <c r="I870" s="2" t="str">
        <f ca="1">IFERROR(__xludf.DUMMYFUNCTION("GOOGLETRANSLATE(B870,""en"",""gd"")"),"gabhail ris")</f>
        <v>gabhail ris</v>
      </c>
    </row>
    <row r="871" spans="1:9" ht="14.25" customHeight="1" x14ac:dyDescent="0.3">
      <c r="A871" s="2">
        <v>870</v>
      </c>
      <c r="B871" s="3" t="s">
        <v>878</v>
      </c>
      <c r="C871" s="2" t="str">
        <f ca="1">IFERROR(__xludf.DUMMYFUNCTION("GOOGLETRANSLATE(B871, ""en"",""es"")"),"bebé")</f>
        <v>bebé</v>
      </c>
      <c r="D871" s="2" t="str">
        <f ca="1">IFERROR(__xludf.DUMMYFUNCTION("GOOGLETRANSLATE(B871,""en"",""ig"")"),"nwata")</f>
        <v>nwata</v>
      </c>
      <c r="E871" s="2" t="str">
        <f ca="1">IFERROR(__xludf.DUMMYFUNCTION("GOOGLETRANSLATE(B871,""en"",""fr"")"),"bébé")</f>
        <v>bébé</v>
      </c>
      <c r="F871" s="2" t="str">
        <f ca="1">IFERROR(__xludf.DUMMYFUNCTION("GOOGLETRANSLATE(B871,""en"",""it"")"),"Bambino")</f>
        <v>Bambino</v>
      </c>
      <c r="G871" s="2" t="str">
        <f ca="1">IFERROR(__xludf.DUMMYFUNCTION("GOOGLETRANSLATE(B871,""en"",""de"")"),"Baby")</f>
        <v>Baby</v>
      </c>
      <c r="H871" s="2" t="str">
        <f ca="1">IFERROR(__xludf.DUMMYFUNCTION("GOOGLETRANSLATE(B871,""en"",""zh"")"),"婴儿")</f>
        <v>婴儿</v>
      </c>
      <c r="I871" s="2" t="str">
        <f ca="1">IFERROR(__xludf.DUMMYFUNCTION("GOOGLETRANSLATE(B871,""en"",""gd"")"),"Leanabh")</f>
        <v>Leanabh</v>
      </c>
    </row>
    <row r="872" spans="1:9" ht="14.25" customHeight="1" x14ac:dyDescent="0.3">
      <c r="A872" s="2">
        <v>871</v>
      </c>
      <c r="B872" s="3" t="s">
        <v>879</v>
      </c>
      <c r="C872" s="2" t="str">
        <f ca="1">IFERROR(__xludf.DUMMYFUNCTION("GOOGLETRANSLATE(B872, ""en"",""es"")"),"exitoso")</f>
        <v>exitoso</v>
      </c>
      <c r="D872" s="2" t="str">
        <f ca="1">IFERROR(__xludf.DUMMYFUNCTION("GOOGLETRANSLATE(B872,""en"",""ig"")"),"nke iganihu")</f>
        <v>nke iganihu</v>
      </c>
      <c r="E872" s="2" t="str">
        <f ca="1">IFERROR(__xludf.DUMMYFUNCTION("GOOGLETRANSLATE(B872,""en"",""fr"")"),"réussi")</f>
        <v>réussi</v>
      </c>
      <c r="F872" s="2" t="str">
        <f ca="1">IFERROR(__xludf.DUMMYFUNCTION("GOOGLETRANSLATE(B872,""en"",""it"")"),"riuscito")</f>
        <v>riuscito</v>
      </c>
      <c r="G872" s="2" t="str">
        <f ca="1">IFERROR(__xludf.DUMMYFUNCTION("GOOGLETRANSLATE(B872,""en"",""de"")"),"erfolgreich")</f>
        <v>erfolgreich</v>
      </c>
      <c r="H872" s="2" t="str">
        <f ca="1">IFERROR(__xludf.DUMMYFUNCTION("GOOGLETRANSLATE(B872,""en"",""zh"")"),"成功的")</f>
        <v>成功的</v>
      </c>
      <c r="I872" s="2" t="str">
        <f ca="1">IFERROR(__xludf.DUMMYFUNCTION("GOOGLETRANSLATE(B872,""en"",""gd"")"),"soirbheachail")</f>
        <v>soirbheachail</v>
      </c>
    </row>
    <row r="873" spans="1:9" ht="14.25" customHeight="1" x14ac:dyDescent="0.3">
      <c r="A873" s="2">
        <v>872</v>
      </c>
      <c r="B873" s="3" t="s">
        <v>880</v>
      </c>
      <c r="C873" s="2" t="str">
        <f ca="1">IFERROR(__xludf.DUMMYFUNCTION("GOOGLETRANSLATE(B873, ""en"",""es"")"),"cantar")</f>
        <v>cantar</v>
      </c>
      <c r="D873" s="2" t="str">
        <f ca="1">IFERROR(__xludf.DUMMYFUNCTION("GOOGLETRANSLATE(B873,""en"",""ig"")"),"ibu")</f>
        <v>ibu</v>
      </c>
      <c r="E873" s="2" t="str">
        <f ca="1">IFERROR(__xludf.DUMMYFUNCTION("GOOGLETRANSLATE(B873,""en"",""fr"")"),"chanter")</f>
        <v>chanter</v>
      </c>
      <c r="F873" s="2" t="str">
        <f ca="1">IFERROR(__xludf.DUMMYFUNCTION("GOOGLETRANSLATE(B873,""en"",""it"")"),"cantare")</f>
        <v>cantare</v>
      </c>
      <c r="G873" s="2" t="str">
        <f ca="1">IFERROR(__xludf.DUMMYFUNCTION("GOOGLETRANSLATE(B873,""en"",""de"")"),"singen")</f>
        <v>singen</v>
      </c>
      <c r="H873" s="2" t="str">
        <f ca="1">IFERROR(__xludf.DUMMYFUNCTION("GOOGLETRANSLATE(B873,""en"",""zh"")"),"唱歌")</f>
        <v>唱歌</v>
      </c>
      <c r="I873" s="2" t="str">
        <f ca="1">IFERROR(__xludf.DUMMYFUNCTION("GOOGLETRANSLATE(B873,""en"",""gd"")"),"seinn")</f>
        <v>seinn</v>
      </c>
    </row>
    <row r="874" spans="1:9" ht="14.25" customHeight="1" x14ac:dyDescent="0.3">
      <c r="A874" s="2">
        <v>873</v>
      </c>
      <c r="B874" s="3" t="s">
        <v>881</v>
      </c>
      <c r="C874" s="2" t="str">
        <f ca="1">IFERROR(__xludf.DUMMYFUNCTION("GOOGLETRANSLATE(B874, ""en"",""es"")"),"duda")</f>
        <v>duda</v>
      </c>
      <c r="D874" s="2" t="str">
        <f ca="1">IFERROR(__xludf.DUMMYFUNCTION("GOOGLETRANSLATE(B874,""en"",""ig"")"),"idautu")</f>
        <v>idautu</v>
      </c>
      <c r="E874" s="2" t="str">
        <f ca="1">IFERROR(__xludf.DUMMYFUNCTION("GOOGLETRANSLATE(B874,""en"",""fr"")"),"doute")</f>
        <v>doute</v>
      </c>
      <c r="F874" s="2" t="str">
        <f ca="1">IFERROR(__xludf.DUMMYFUNCTION("GOOGLETRANSLATE(B874,""en"",""it"")"),"dubbio")</f>
        <v>dubbio</v>
      </c>
      <c r="G874" s="2" t="str">
        <f ca="1">IFERROR(__xludf.DUMMYFUNCTION("GOOGLETRANSLATE(B874,""en"",""de"")"),"zweifeln")</f>
        <v>zweifeln</v>
      </c>
      <c r="H874" s="2" t="str">
        <f ca="1">IFERROR(__xludf.DUMMYFUNCTION("GOOGLETRANSLATE(B874,""en"",""zh"")"),"怀疑")</f>
        <v>怀疑</v>
      </c>
      <c r="I874" s="2" t="str">
        <f ca="1">IFERROR(__xludf.DUMMYFUNCTION("GOOGLETRANSLATE(B874,""en"",""gd"")"),"teagamh")</f>
        <v>teagamh</v>
      </c>
    </row>
    <row r="875" spans="1:9" ht="14.25" customHeight="1" x14ac:dyDescent="0.3">
      <c r="A875" s="2">
        <v>874</v>
      </c>
      <c r="B875" s="3" t="s">
        <v>882</v>
      </c>
      <c r="C875" s="2" t="str">
        <f ca="1">IFERROR(__xludf.DUMMYFUNCTION("GOOGLETRANSLATE(B875, ""en"",""es"")"),"competencia")</f>
        <v>competencia</v>
      </c>
      <c r="D875" s="2" t="str">
        <f ca="1">IFERROR(__xludf.DUMMYFUNCTION("GOOGLETRANSLATE(B875,""en"",""ig"")"),"isompi")</f>
        <v>isompi</v>
      </c>
      <c r="E875" s="2" t="str">
        <f ca="1">IFERROR(__xludf.DUMMYFUNCTION("GOOGLETRANSLATE(B875,""en"",""fr"")"),"concours")</f>
        <v>concours</v>
      </c>
      <c r="F875" s="2" t="str">
        <f ca="1">IFERROR(__xludf.DUMMYFUNCTION("GOOGLETRANSLATE(B875,""en"",""it"")"),"concorrenza")</f>
        <v>concorrenza</v>
      </c>
      <c r="G875" s="2" t="str">
        <f ca="1">IFERROR(__xludf.DUMMYFUNCTION("GOOGLETRANSLATE(B875,""en"",""de"")"),"Wettbewerb")</f>
        <v>Wettbewerb</v>
      </c>
      <c r="H875" s="2" t="str">
        <f ca="1">IFERROR(__xludf.DUMMYFUNCTION("GOOGLETRANSLATE(B875,""en"",""zh"")"),"竞赛")</f>
        <v>竞赛</v>
      </c>
      <c r="I875" s="2" t="str">
        <f ca="1">IFERROR(__xludf.DUMMYFUNCTION("GOOGLETRANSLATE(B875,""en"",""gd"")"),"Farpais")</f>
        <v>Farpais</v>
      </c>
    </row>
    <row r="876" spans="1:9" ht="14.25" customHeight="1" x14ac:dyDescent="0.3">
      <c r="A876" s="2">
        <v>875</v>
      </c>
      <c r="B876" s="3" t="s">
        <v>883</v>
      </c>
      <c r="C876" s="2" t="str">
        <f ca="1">IFERROR(__xludf.DUMMYFUNCTION("GOOGLETRANSLATE(B876, ""en"",""es"")"),"teoría")</f>
        <v>teoría</v>
      </c>
      <c r="D876" s="2" t="str">
        <f ca="1">IFERROR(__xludf.DUMMYFUNCTION("GOOGLETRANSLATE(B876,""en"",""ig"")"),"tiori")</f>
        <v>tiori</v>
      </c>
      <c r="E876" s="2" t="str">
        <f ca="1">IFERROR(__xludf.DUMMYFUNCTION("GOOGLETRANSLATE(B876,""en"",""fr"")"),"théorie")</f>
        <v>théorie</v>
      </c>
      <c r="F876" s="2" t="str">
        <f ca="1">IFERROR(__xludf.DUMMYFUNCTION("GOOGLETRANSLATE(B876,""en"",""it"")"),"teoria")</f>
        <v>teoria</v>
      </c>
      <c r="G876" s="2" t="str">
        <f ca="1">IFERROR(__xludf.DUMMYFUNCTION("GOOGLETRANSLATE(B876,""en"",""de"")"),"Theorie")</f>
        <v>Theorie</v>
      </c>
      <c r="H876" s="2" t="str">
        <f ca="1">IFERROR(__xludf.DUMMYFUNCTION("GOOGLETRANSLATE(B876,""en"",""zh"")"),"理论")</f>
        <v>理论</v>
      </c>
      <c r="I876" s="2" t="str">
        <f ca="1">IFERROR(__xludf.DUMMYFUNCTION("GOOGLETRANSLATE(B876,""en"",""gd"")"),"teòiridh")</f>
        <v>teòiridh</v>
      </c>
    </row>
    <row r="877" spans="1:9" ht="14.25" customHeight="1" x14ac:dyDescent="0.3">
      <c r="A877" s="2">
        <v>876</v>
      </c>
      <c r="B877" s="3" t="s">
        <v>884</v>
      </c>
      <c r="C877" s="2" t="str">
        <f ca="1">IFERROR(__xludf.DUMMYFUNCTION("GOOGLETRANSLATE(B877, ""en"",""es"")"),"proponer")</f>
        <v>proponer</v>
      </c>
      <c r="D877" s="2" t="str">
        <f ca="1">IFERROR(__xludf.DUMMYFUNCTION("GOOGLETRANSLATE(B877,""en"",""ig"")"),"kwuputa ihe achoro ime")</f>
        <v>kwuputa ihe achoro ime</v>
      </c>
      <c r="E877" s="2" t="str">
        <f ca="1">IFERROR(__xludf.DUMMYFUNCTION("GOOGLETRANSLATE(B877,""en"",""fr"")"),"proposer")</f>
        <v>proposer</v>
      </c>
      <c r="F877" s="2" t="str">
        <f ca="1">IFERROR(__xludf.DUMMYFUNCTION("GOOGLETRANSLATE(B877,""en"",""it"")"),"proporre")</f>
        <v>proporre</v>
      </c>
      <c r="G877" s="2" t="str">
        <f ca="1">IFERROR(__xludf.DUMMYFUNCTION("GOOGLETRANSLATE(B877,""en"",""de"")"),"vorschlagen")</f>
        <v>vorschlagen</v>
      </c>
      <c r="H877" s="2" t="str">
        <f ca="1">IFERROR(__xludf.DUMMYFUNCTION("GOOGLETRANSLATE(B877,""en"",""zh"")"),"提出")</f>
        <v>提出</v>
      </c>
      <c r="I877" s="2" t="str">
        <f ca="1">IFERROR(__xludf.DUMMYFUNCTION("GOOGLETRANSLATE(B877,""en"",""gd"")"),"moladh")</f>
        <v>moladh</v>
      </c>
    </row>
    <row r="878" spans="1:9" ht="14.25" customHeight="1" x14ac:dyDescent="0.3">
      <c r="A878" s="2">
        <v>877</v>
      </c>
      <c r="B878" s="3" t="s">
        <v>885</v>
      </c>
      <c r="C878" s="2" t="str">
        <f ca="1">IFERROR(__xludf.DUMMYFUNCTION("GOOGLETRANSLATE(B878, ""en"",""es"")"),"referencia")</f>
        <v>referencia</v>
      </c>
      <c r="D878" s="2" t="str">
        <f ca="1">IFERROR(__xludf.DUMMYFUNCTION("GOOGLETRANSLATE(B878,""en"",""ig"")"),"nrutuaka")</f>
        <v>nrutuaka</v>
      </c>
      <c r="E878" s="2" t="str">
        <f ca="1">IFERROR(__xludf.DUMMYFUNCTION("GOOGLETRANSLATE(B878,""en"",""fr"")"),"référence")</f>
        <v>référence</v>
      </c>
      <c r="F878" s="2" t="str">
        <f ca="1">IFERROR(__xludf.DUMMYFUNCTION("GOOGLETRANSLATE(B878,""en"",""it"")"),"riferimento")</f>
        <v>riferimento</v>
      </c>
      <c r="G878" s="2" t="str">
        <f ca="1">IFERROR(__xludf.DUMMYFUNCTION("GOOGLETRANSLATE(B878,""en"",""de"")"),"Referenz")</f>
        <v>Referenz</v>
      </c>
      <c r="H878" s="2" t="str">
        <f ca="1">IFERROR(__xludf.DUMMYFUNCTION("GOOGLETRANSLATE(B878,""en"",""zh"")"),"参考")</f>
        <v>参考</v>
      </c>
      <c r="I878" s="2" t="str">
        <f ca="1">IFERROR(__xludf.DUMMYFUNCTION("GOOGLETRANSLATE(B878,""en"",""gd"")"),"Iomradh")</f>
        <v>Iomradh</v>
      </c>
    </row>
    <row r="879" spans="1:9" ht="14.25" customHeight="1" x14ac:dyDescent="0.3">
      <c r="A879" s="2">
        <v>878</v>
      </c>
      <c r="B879" s="3" t="s">
        <v>886</v>
      </c>
      <c r="C879" s="2" t="str">
        <f ca="1">IFERROR(__xludf.DUMMYFUNCTION("GOOGLETRANSLATE(B879, ""en"",""es"")"),"argumento")</f>
        <v>argumento</v>
      </c>
      <c r="D879" s="2" t="str">
        <f ca="1">IFERROR(__xludf.DUMMYFUNCTION("GOOGLETRANSLATE(B879,""en"",""ig"")"),"arumaru")</f>
        <v>arumaru</v>
      </c>
      <c r="E879" s="2" t="str">
        <f ca="1">IFERROR(__xludf.DUMMYFUNCTION("GOOGLETRANSLATE(B879,""en"",""fr"")"),"argument")</f>
        <v>argument</v>
      </c>
      <c r="F879" s="2" t="str">
        <f ca="1">IFERROR(__xludf.DUMMYFUNCTION("GOOGLETRANSLATE(B879,""en"",""it"")"),"discussione")</f>
        <v>discussione</v>
      </c>
      <c r="G879" s="2" t="str">
        <f ca="1">IFERROR(__xludf.DUMMYFUNCTION("GOOGLETRANSLATE(B879,""en"",""de"")"),"Streit")</f>
        <v>Streit</v>
      </c>
      <c r="H879" s="2" t="str">
        <f ca="1">IFERROR(__xludf.DUMMYFUNCTION("GOOGLETRANSLATE(B879,""en"",""zh"")"),"争论")</f>
        <v>争论</v>
      </c>
      <c r="I879" s="2" t="str">
        <f ca="1">IFERROR(__xludf.DUMMYFUNCTION("GOOGLETRANSLATE(B879,""en"",""gd"")"),"argamaid")</f>
        <v>argamaid</v>
      </c>
    </row>
    <row r="880" spans="1:9" ht="14.25" customHeight="1" x14ac:dyDescent="0.3">
      <c r="A880" s="2">
        <v>879</v>
      </c>
      <c r="B880" s="3" t="s">
        <v>887</v>
      </c>
      <c r="C880" s="2" t="str">
        <f ca="1">IFERROR(__xludf.DUMMYFUNCTION("GOOGLETRANSLATE(B880, ""en"",""es"")"),"adulto")</f>
        <v>adulto</v>
      </c>
      <c r="D880" s="2" t="str">
        <f ca="1">IFERROR(__xludf.DUMMYFUNCTION("GOOGLETRANSLATE(B880,""en"",""ig"")"),"keokorobia")</f>
        <v>keokorobia</v>
      </c>
      <c r="E880" s="2" t="str">
        <f ca="1">IFERROR(__xludf.DUMMYFUNCTION("GOOGLETRANSLATE(B880,""en"",""fr"")"),"adulte")</f>
        <v>adulte</v>
      </c>
      <c r="F880" s="2" t="str">
        <f ca="1">IFERROR(__xludf.DUMMYFUNCTION("GOOGLETRANSLATE(B880,""en"",""it"")"),"adulto")</f>
        <v>adulto</v>
      </c>
      <c r="G880" s="2" t="str">
        <f ca="1">IFERROR(__xludf.DUMMYFUNCTION("GOOGLETRANSLATE(B880,""en"",""de"")"),"Erwachsene")</f>
        <v>Erwachsene</v>
      </c>
      <c r="H880" s="2" t="str">
        <f ca="1">IFERROR(__xludf.DUMMYFUNCTION("GOOGLETRANSLATE(B880,""en"",""zh"")"),"成人")</f>
        <v>成人</v>
      </c>
      <c r="I880" s="2" t="str">
        <f ca="1">IFERROR(__xludf.DUMMYFUNCTION("GOOGLETRANSLATE(B880,""en"",""gd"")"),"Inbheach")</f>
        <v>Inbheach</v>
      </c>
    </row>
    <row r="881" spans="1:9" ht="14.25" customHeight="1" x14ac:dyDescent="0.3">
      <c r="A881" s="2">
        <v>880</v>
      </c>
      <c r="B881" s="3" t="s">
        <v>888</v>
      </c>
      <c r="C881" s="2" t="str">
        <f ca="1">IFERROR(__xludf.DUMMYFUNCTION("GOOGLETRANSLATE(B881, ""en"",""es"")"),"volar")</f>
        <v>volar</v>
      </c>
      <c r="D881" s="2" t="str">
        <f ca="1">IFERROR(__xludf.DUMMYFUNCTION("GOOGLETRANSLATE(B881,""en"",""ig"")"),"ife efe")</f>
        <v>ife efe</v>
      </c>
      <c r="E881" s="2" t="str">
        <f ca="1">IFERROR(__xludf.DUMMYFUNCTION("GOOGLETRANSLATE(B881,""en"",""fr"")"),"voler")</f>
        <v>voler</v>
      </c>
      <c r="F881" s="2" t="str">
        <f ca="1">IFERROR(__xludf.DUMMYFUNCTION("GOOGLETRANSLATE(B881,""en"",""it"")"),"volare")</f>
        <v>volare</v>
      </c>
      <c r="G881" s="2" t="str">
        <f ca="1">IFERROR(__xludf.DUMMYFUNCTION("GOOGLETRANSLATE(B881,""en"",""de"")"),"Fliege")</f>
        <v>Fliege</v>
      </c>
      <c r="H881" s="2" t="str">
        <f ca="1">IFERROR(__xludf.DUMMYFUNCTION("GOOGLETRANSLATE(B881,""en"",""zh"")"),"飞")</f>
        <v>飞</v>
      </c>
      <c r="I881" s="2" t="str">
        <f ca="1">IFERROR(__xludf.DUMMYFUNCTION("GOOGLETRANSLATE(B881,""en"",""gd"")"),"itealaich")</f>
        <v>itealaich</v>
      </c>
    </row>
    <row r="882" spans="1:9" ht="14.25" customHeight="1" x14ac:dyDescent="0.3">
      <c r="A882" s="2">
        <v>881</v>
      </c>
      <c r="B882" s="3" t="s">
        <v>889</v>
      </c>
      <c r="C882" s="2" t="str">
        <f ca="1">IFERROR(__xludf.DUMMYFUNCTION("GOOGLETRANSLATE(B882, ""en"",""es"")"),"documento")</f>
        <v>documento</v>
      </c>
      <c r="D882" s="2" t="str">
        <f ca="1">IFERROR(__xludf.DUMMYFUNCTION("GOOGLETRANSLATE(B882,""en"",""ig"")"),"dokumenti")</f>
        <v>dokumenti</v>
      </c>
      <c r="E882" s="2" t="str">
        <f ca="1">IFERROR(__xludf.DUMMYFUNCTION("GOOGLETRANSLATE(B882,""en"",""fr"")"),"document")</f>
        <v>document</v>
      </c>
      <c r="F882" s="2" t="str">
        <f ca="1">IFERROR(__xludf.DUMMYFUNCTION("GOOGLETRANSLATE(B882,""en"",""it"")"),"documento")</f>
        <v>documento</v>
      </c>
      <c r="G882" s="2" t="str">
        <f ca="1">IFERROR(__xludf.DUMMYFUNCTION("GOOGLETRANSLATE(B882,""en"",""de"")"),"dokumentieren")</f>
        <v>dokumentieren</v>
      </c>
      <c r="H882" s="2" t="str">
        <f ca="1">IFERROR(__xludf.DUMMYFUNCTION("GOOGLETRANSLATE(B882,""en"",""zh"")"),"文档")</f>
        <v>文档</v>
      </c>
      <c r="I882" s="2" t="str">
        <f ca="1">IFERROR(__xludf.DUMMYFUNCTION("GOOGLETRANSLATE(B882,""en"",""gd"")"),"Sgrìobhainn")</f>
        <v>Sgrìobhainn</v>
      </c>
    </row>
    <row r="883" spans="1:9" ht="14.25" customHeight="1" x14ac:dyDescent="0.3">
      <c r="A883" s="2">
        <v>882</v>
      </c>
      <c r="B883" s="3" t="s">
        <v>890</v>
      </c>
      <c r="C883" s="2" t="str">
        <f ca="1">IFERROR(__xludf.DUMMYFUNCTION("GOOGLETRANSLATE(B883, ""en"",""es"")"),"patrón")</f>
        <v>patrón</v>
      </c>
      <c r="D883" s="2" t="str">
        <f ca="1">IFERROR(__xludf.DUMMYFUNCTION("GOOGLETRANSLATE(B883,""en"",""ig"")"),"nsoro")</f>
        <v>nsoro</v>
      </c>
      <c r="E883" s="2" t="str">
        <f ca="1">IFERROR(__xludf.DUMMYFUNCTION("GOOGLETRANSLATE(B883,""en"",""fr"")"),"modèle")</f>
        <v>modèle</v>
      </c>
      <c r="F883" s="2" t="str">
        <f ca="1">IFERROR(__xludf.DUMMYFUNCTION("GOOGLETRANSLATE(B883,""en"",""it"")"),"modello")</f>
        <v>modello</v>
      </c>
      <c r="G883" s="2" t="str">
        <f ca="1">IFERROR(__xludf.DUMMYFUNCTION("GOOGLETRANSLATE(B883,""en"",""de"")"),"Muster")</f>
        <v>Muster</v>
      </c>
      <c r="H883" s="2" t="str">
        <f ca="1">IFERROR(__xludf.DUMMYFUNCTION("GOOGLETRANSLATE(B883,""en"",""zh"")"),"图案")</f>
        <v>图案</v>
      </c>
      <c r="I883" s="2" t="str">
        <f ca="1">IFERROR(__xludf.DUMMYFUNCTION("GOOGLETRANSLATE(B883,""en"",""gd"")"),"pàtran")</f>
        <v>pàtran</v>
      </c>
    </row>
    <row r="884" spans="1:9" ht="14.25" customHeight="1" x14ac:dyDescent="0.3">
      <c r="A884" s="2">
        <v>883</v>
      </c>
      <c r="B884" s="3" t="s">
        <v>891</v>
      </c>
      <c r="C884" s="2" t="str">
        <f ca="1">IFERROR(__xludf.DUMMYFUNCTION("GOOGLETRANSLATE(B884, ""en"",""es"")"),"solicitud")</f>
        <v>solicitud</v>
      </c>
      <c r="D884" s="2" t="str">
        <f ca="1">IFERROR(__xludf.DUMMYFUNCTION("GOOGLETRANSLATE(B884,""en"",""ig"")"),"akwukwo icho oru")</f>
        <v>akwukwo icho oru</v>
      </c>
      <c r="E884" s="2" t="str">
        <f ca="1">IFERROR(__xludf.DUMMYFUNCTION("GOOGLETRANSLATE(B884,""en"",""fr"")"),"application")</f>
        <v>application</v>
      </c>
      <c r="F884" s="2" t="str">
        <f ca="1">IFERROR(__xludf.DUMMYFUNCTION("GOOGLETRANSLATE(B884,""en"",""it"")"),"applicazione")</f>
        <v>applicazione</v>
      </c>
      <c r="G884" s="2" t="str">
        <f ca="1">IFERROR(__xludf.DUMMYFUNCTION("GOOGLETRANSLATE(B884,""en"",""de"")"),"Anwendung")</f>
        <v>Anwendung</v>
      </c>
      <c r="H884" s="2" t="str">
        <f ca="1">IFERROR(__xludf.DUMMYFUNCTION("GOOGLETRANSLATE(B884,""en"",""zh"")"),"应用")</f>
        <v>应用</v>
      </c>
      <c r="I884" s="2" t="str">
        <f ca="1">IFERROR(__xludf.DUMMYFUNCTION("GOOGLETRANSLATE(B884,""en"",""gd"")"),"Iarrtas")</f>
        <v>Iarrtas</v>
      </c>
    </row>
    <row r="885" spans="1:9" ht="14.25" customHeight="1" x14ac:dyDescent="0.3">
      <c r="A885" s="2">
        <v>884</v>
      </c>
      <c r="B885" s="3" t="s">
        <v>892</v>
      </c>
      <c r="C885" s="2" t="str">
        <f ca="1">IFERROR(__xludf.DUMMYFUNCTION("GOOGLETRANSLATE(B885, ""en"",""es"")"),"caliente")</f>
        <v>caliente</v>
      </c>
      <c r="D885" s="2" t="str">
        <f ca="1">IFERROR(__xludf.DUMMYFUNCTION("GOOGLETRANSLATE(B885,""en"",""ig"")"),"oku")</f>
        <v>oku</v>
      </c>
      <c r="E885" s="2" t="str">
        <f ca="1">IFERROR(__xludf.DUMMYFUNCTION("GOOGLETRANSLATE(B885,""en"",""fr"")"),"chaud")</f>
        <v>chaud</v>
      </c>
      <c r="F885" s="2" t="str">
        <f ca="1">IFERROR(__xludf.DUMMYFUNCTION("GOOGLETRANSLATE(B885,""en"",""it"")"),"caldo")</f>
        <v>caldo</v>
      </c>
      <c r="G885" s="2" t="str">
        <f ca="1">IFERROR(__xludf.DUMMYFUNCTION("GOOGLETRANSLATE(B885,""en"",""de"")"),"heiß")</f>
        <v>heiß</v>
      </c>
      <c r="H885" s="2" t="str">
        <f ca="1">IFERROR(__xludf.DUMMYFUNCTION("GOOGLETRANSLATE(B885,""en"",""zh"")"),"热的")</f>
        <v>热的</v>
      </c>
      <c r="I885" s="2" t="str">
        <f ca="1">IFERROR(__xludf.DUMMYFUNCTION("GOOGLETRANSLATE(B885,""en"",""gd"")"),"teth")</f>
        <v>teth</v>
      </c>
    </row>
    <row r="886" spans="1:9" ht="14.25" customHeight="1" x14ac:dyDescent="0.3">
      <c r="A886" s="2">
        <v>885</v>
      </c>
      <c r="B886" s="3" t="s">
        <v>893</v>
      </c>
      <c r="C886" s="2" t="str">
        <f ca="1">IFERROR(__xludf.DUMMYFUNCTION("GOOGLETRANSLATE(B886, ""en"",""es"")"),"obviamente")</f>
        <v>obviamente</v>
      </c>
      <c r="D886" s="2" t="str">
        <f ca="1">IFERROR(__xludf.DUMMYFUNCTION("GOOGLETRANSLATE(B886,""en"",""ig"")"),"igbanihe")</f>
        <v>igbanihe</v>
      </c>
      <c r="E886" s="2" t="str">
        <f ca="1">IFERROR(__xludf.DUMMYFUNCTION("GOOGLETRANSLATE(B886,""en"",""fr"")"),"évidemment")</f>
        <v>évidemment</v>
      </c>
      <c r="F886" s="2" t="str">
        <f ca="1">IFERROR(__xludf.DUMMYFUNCTION("GOOGLETRANSLATE(B886,""en"",""it"")"),"ovviamente")</f>
        <v>ovviamente</v>
      </c>
      <c r="G886" s="2" t="str">
        <f ca="1">IFERROR(__xludf.DUMMYFUNCTION("GOOGLETRANSLATE(B886,""en"",""de"")"),"offensichtlich")</f>
        <v>offensichtlich</v>
      </c>
      <c r="H886" s="2" t="str">
        <f ca="1">IFERROR(__xludf.DUMMYFUNCTION("GOOGLETRANSLATE(B886,""en"",""zh"")"),"明显地")</f>
        <v>明显地</v>
      </c>
      <c r="I886" s="2" t="str">
        <f ca="1">IFERROR(__xludf.DUMMYFUNCTION("GOOGLETRANSLATE(B886,""en"",""gd"")"),"Gu follaiseach")</f>
        <v>Gu follaiseach</v>
      </c>
    </row>
    <row r="887" spans="1:9" ht="14.25" customHeight="1" x14ac:dyDescent="0.3">
      <c r="A887" s="2">
        <v>886</v>
      </c>
      <c r="B887" s="3" t="s">
        <v>894</v>
      </c>
      <c r="C887" s="2" t="str">
        <f ca="1">IFERROR(__xludf.DUMMYFUNCTION("GOOGLETRANSLATE(B887, ""en"",""es"")"),"poco claro")</f>
        <v>poco claro</v>
      </c>
      <c r="D887" s="2" t="str">
        <f ca="1">IFERROR(__xludf.DUMMYFUNCTION("GOOGLETRANSLATE(B887,""en"",""ig"")"),"edoghi anya")</f>
        <v>edoghi anya</v>
      </c>
      <c r="E887" s="2" t="str">
        <f ca="1">IFERROR(__xludf.DUMMYFUNCTION("GOOGLETRANSLATE(B887,""en"",""fr"")"),"pas clair")</f>
        <v>pas clair</v>
      </c>
      <c r="F887" s="2" t="str">
        <f ca="1">IFERROR(__xludf.DUMMYFUNCTION("GOOGLETRANSLATE(B887,""en"",""it"")"),"poco chiaro")</f>
        <v>poco chiaro</v>
      </c>
      <c r="G887" s="2" t="str">
        <f ca="1">IFERROR(__xludf.DUMMYFUNCTION("GOOGLETRANSLATE(B887,""en"",""de"")"),"unklar")</f>
        <v>unklar</v>
      </c>
      <c r="H887" s="2" t="str">
        <f ca="1">IFERROR(__xludf.DUMMYFUNCTION("GOOGLETRANSLATE(B887,""en"",""zh"")"),"不清楚")</f>
        <v>不清楚</v>
      </c>
      <c r="I887" s="2" t="str">
        <f ca="1">IFERROR(__xludf.DUMMYFUNCTION("GOOGLETRANSLATE(B887,""en"",""gd"")"),"Neo-shoilleir")</f>
        <v>Neo-shoilleir</v>
      </c>
    </row>
    <row r="888" spans="1:9" ht="14.25" customHeight="1" x14ac:dyDescent="0.3">
      <c r="A888" s="2">
        <v>887</v>
      </c>
      <c r="B888" s="3" t="s">
        <v>895</v>
      </c>
      <c r="C888" s="2" t="str">
        <f ca="1">IFERROR(__xludf.DUMMYFUNCTION("GOOGLETRANSLATE(B888, ""en"",""es"")"),"factura")</f>
        <v>factura</v>
      </c>
      <c r="D888" s="2" t="str">
        <f ca="1">IFERROR(__xludf.DUMMYFUNCTION("GOOGLETRANSLATE(B888,""en"",""ig"")"),"iwu")</f>
        <v>iwu</v>
      </c>
      <c r="E888" s="2" t="str">
        <f ca="1">IFERROR(__xludf.DUMMYFUNCTION("GOOGLETRANSLATE(B888,""en"",""fr"")"),"facture")</f>
        <v>facture</v>
      </c>
      <c r="F888" s="2" t="str">
        <f ca="1">IFERROR(__xludf.DUMMYFUNCTION("GOOGLETRANSLATE(B888,""en"",""it"")"),"conto")</f>
        <v>conto</v>
      </c>
      <c r="G888" s="2" t="str">
        <f ca="1">IFERROR(__xludf.DUMMYFUNCTION("GOOGLETRANSLATE(B888,""en"",""de"")"),"Rechnung")</f>
        <v>Rechnung</v>
      </c>
      <c r="H888" s="2" t="str">
        <f ca="1">IFERROR(__xludf.DUMMYFUNCTION("GOOGLETRANSLATE(B888,""en"",""zh"")"),"账单")</f>
        <v>账单</v>
      </c>
      <c r="I888" s="2" t="str">
        <f ca="1">IFERROR(__xludf.DUMMYFUNCTION("GOOGLETRANSLATE(B888,""en"",""gd"")"),"Bile")</f>
        <v>Bile</v>
      </c>
    </row>
    <row r="889" spans="1:9" ht="14.25" customHeight="1" x14ac:dyDescent="0.3">
      <c r="A889" s="2">
        <v>888</v>
      </c>
      <c r="B889" s="3" t="s">
        <v>896</v>
      </c>
      <c r="C889" s="2" t="str">
        <f ca="1">IFERROR(__xludf.DUMMYFUNCTION("GOOGLETRANSLATE(B889, ""en"",""es"")"),"buscar")</f>
        <v>buscar</v>
      </c>
      <c r="D889" s="2" t="str">
        <f ca="1">IFERROR(__xludf.DUMMYFUNCTION("GOOGLETRANSLATE(B889,""en"",""ig"")"),"ochucho")</f>
        <v>ochucho</v>
      </c>
      <c r="E889" s="2" t="str">
        <f ca="1">IFERROR(__xludf.DUMMYFUNCTION("GOOGLETRANSLATE(B889,""en"",""fr"")"),"recherche")</f>
        <v>recherche</v>
      </c>
      <c r="F889" s="2" t="str">
        <f ca="1">IFERROR(__xludf.DUMMYFUNCTION("GOOGLETRANSLATE(B889,""en"",""it"")"),"ricerca")</f>
        <v>ricerca</v>
      </c>
      <c r="G889" s="2" t="str">
        <f ca="1">IFERROR(__xludf.DUMMYFUNCTION("GOOGLETRANSLATE(B889,""en"",""de"")"),"suchen")</f>
        <v>suchen</v>
      </c>
      <c r="H889" s="2" t="str">
        <f ca="1">IFERROR(__xludf.DUMMYFUNCTION("GOOGLETRANSLATE(B889,""en"",""zh"")"),"搜索")</f>
        <v>搜索</v>
      </c>
      <c r="I889" s="2" t="str">
        <f ca="1">IFERROR(__xludf.DUMMYFUNCTION("GOOGLETRANSLATE(B889,""en"",""gd"")"),"Rannsaich")</f>
        <v>Rannsaich</v>
      </c>
    </row>
    <row r="890" spans="1:9" ht="14.25" customHeight="1" x14ac:dyDescent="0.3">
      <c r="A890" s="2">
        <v>889</v>
      </c>
      <c r="B890" s="3" t="s">
        <v>897</v>
      </c>
      <c r="C890" s="2" t="str">
        <f ca="1">IFERROR(__xludf.DUMMYFUNCTION("GOOGLETRANSLATE(B890, ""en"",""es"")"),"separado")</f>
        <v>separado</v>
      </c>
      <c r="D890" s="2" t="str">
        <f ca="1">IFERROR(__xludf.DUMMYFUNCTION("GOOGLETRANSLATE(B890,""en"",""ig"")"),"nke iweputa")</f>
        <v>nke iweputa</v>
      </c>
      <c r="E890" s="2" t="str">
        <f ca="1">IFERROR(__xludf.DUMMYFUNCTION("GOOGLETRANSLATE(B890,""en"",""fr"")"),"séparé")</f>
        <v>séparé</v>
      </c>
      <c r="F890" s="2" t="str">
        <f ca="1">IFERROR(__xludf.DUMMYFUNCTION("GOOGLETRANSLATE(B890,""en"",""it"")"),"separato")</f>
        <v>separato</v>
      </c>
      <c r="G890" s="2" t="str">
        <f ca="1">IFERROR(__xludf.DUMMYFUNCTION("GOOGLETRANSLATE(B890,""en"",""de"")"),"separate")</f>
        <v>separate</v>
      </c>
      <c r="H890" s="2" t="str">
        <f ca="1">IFERROR(__xludf.DUMMYFUNCTION("GOOGLETRANSLATE(B890,""en"",""zh"")"),"分离")</f>
        <v>分离</v>
      </c>
      <c r="I890" s="2" t="str">
        <f ca="1">IFERROR(__xludf.DUMMYFUNCTION("GOOGLETRANSLATE(B890,""en"",""gd"")"),"air leth")</f>
        <v>air leth</v>
      </c>
    </row>
    <row r="891" spans="1:9" ht="14.25" customHeight="1" x14ac:dyDescent="0.3">
      <c r="A891" s="2">
        <v>890</v>
      </c>
      <c r="B891" s="3" t="s">
        <v>898</v>
      </c>
      <c r="C891" s="2" t="str">
        <f ca="1">IFERROR(__xludf.DUMMYFUNCTION("GOOGLETRANSLATE(B891, ""en"",""es"")"),"central")</f>
        <v>central</v>
      </c>
      <c r="D891" s="2" t="str">
        <f ca="1">IFERROR(__xludf.DUMMYFUNCTION("GOOGLETRANSLATE(B891,""en"",""ig"")"),"keetiti")</f>
        <v>keetiti</v>
      </c>
      <c r="E891" s="2" t="str">
        <f ca="1">IFERROR(__xludf.DUMMYFUNCTION("GOOGLETRANSLATE(B891,""en"",""fr"")"),"central")</f>
        <v>central</v>
      </c>
      <c r="F891" s="2" t="str">
        <f ca="1">IFERROR(__xludf.DUMMYFUNCTION("GOOGLETRANSLATE(B891,""en"",""it"")"),"centrale")</f>
        <v>centrale</v>
      </c>
      <c r="G891" s="2" t="str">
        <f ca="1">IFERROR(__xludf.DUMMYFUNCTION("GOOGLETRANSLATE(B891,""en"",""de"")"),"zentral")</f>
        <v>zentral</v>
      </c>
      <c r="H891" s="2" t="str">
        <f ca="1">IFERROR(__xludf.DUMMYFUNCTION("GOOGLETRANSLATE(B891,""en"",""zh"")"),"中央")</f>
        <v>中央</v>
      </c>
      <c r="I891" s="2" t="str">
        <f ca="1">IFERROR(__xludf.DUMMYFUNCTION("GOOGLETRANSLATE(B891,""en"",""gd"")"),"Meadhan")</f>
        <v>Meadhan</v>
      </c>
    </row>
    <row r="892" spans="1:9" ht="14.25" customHeight="1" x14ac:dyDescent="0.3">
      <c r="A892" s="2">
        <v>891</v>
      </c>
      <c r="B892" s="3" t="s">
        <v>899</v>
      </c>
      <c r="C892" s="2" t="str">
        <f ca="1">IFERROR(__xludf.DUMMYFUNCTION("GOOGLETRANSLATE(B892, ""en"",""es"")"),"carrera")</f>
        <v>carrera</v>
      </c>
      <c r="D892" s="2" t="str">
        <f ca="1">IFERROR(__xludf.DUMMYFUNCTION("GOOGLETRANSLATE(B892,""en"",""ig"")"),"oru")</f>
        <v>oru</v>
      </c>
      <c r="E892" s="2" t="str">
        <f ca="1">IFERROR(__xludf.DUMMYFUNCTION("GOOGLETRANSLATE(B892,""en"",""fr"")"),"carrière")</f>
        <v>carrière</v>
      </c>
      <c r="F892" s="2" t="str">
        <f ca="1">IFERROR(__xludf.DUMMYFUNCTION("GOOGLETRANSLATE(B892,""en"",""it"")"),"carriera")</f>
        <v>carriera</v>
      </c>
      <c r="G892" s="2" t="str">
        <f ca="1">IFERROR(__xludf.DUMMYFUNCTION("GOOGLETRANSLATE(B892,""en"",""de"")"),"Karriere")</f>
        <v>Karriere</v>
      </c>
      <c r="H892" s="2" t="str">
        <f ca="1">IFERROR(__xludf.DUMMYFUNCTION("GOOGLETRANSLATE(B892,""en"",""zh"")"),"职业")</f>
        <v>职业</v>
      </c>
      <c r="I892" s="2" t="str">
        <f ca="1">IFERROR(__xludf.DUMMYFUNCTION("GOOGLETRANSLATE(B892,""en"",""gd"")"),"Dreuchd")</f>
        <v>Dreuchd</v>
      </c>
    </row>
    <row r="893" spans="1:9" ht="14.25" customHeight="1" x14ac:dyDescent="0.3">
      <c r="A893" s="2">
        <v>892</v>
      </c>
      <c r="B893" s="3" t="s">
        <v>900</v>
      </c>
      <c r="C893" s="2" t="str">
        <f ca="1">IFERROR(__xludf.DUMMYFUNCTION("GOOGLETRANSLATE(B893, ""en"",""es"")"),"de todos modos")</f>
        <v>de todos modos</v>
      </c>
      <c r="D893" s="2" t="str">
        <f ca="1">IFERROR(__xludf.DUMMYFUNCTION("GOOGLETRANSLATE(B893,""en"",""ig"")"),"uzo obula")</f>
        <v>uzo obula</v>
      </c>
      <c r="E893" s="2" t="str">
        <f ca="1">IFERROR(__xludf.DUMMYFUNCTION("GOOGLETRANSLATE(B893,""en"",""fr"")"),"de toute façon")</f>
        <v>de toute façon</v>
      </c>
      <c r="F893" s="2" t="str">
        <f ca="1">IFERROR(__xludf.DUMMYFUNCTION("GOOGLETRANSLATE(B893,""en"",""it"")"),"Comunque")</f>
        <v>Comunque</v>
      </c>
      <c r="G893" s="2" t="str">
        <f ca="1">IFERROR(__xludf.DUMMYFUNCTION("GOOGLETRANSLATE(B893,""en"",""de"")"),"Trotzdem")</f>
        <v>Trotzdem</v>
      </c>
      <c r="H893" s="2" t="str">
        <f ca="1">IFERROR(__xludf.DUMMYFUNCTION("GOOGLETRANSLATE(B893,""en"",""zh"")"),"反正")</f>
        <v>反正</v>
      </c>
      <c r="I893" s="2" t="str">
        <f ca="1">IFERROR(__xludf.DUMMYFUNCTION("GOOGLETRANSLATE(B893,""en"",""gd"")"),"Co-dhiù")</f>
        <v>Co-dhiù</v>
      </c>
    </row>
    <row r="894" spans="1:9" ht="14.25" customHeight="1" x14ac:dyDescent="0.3">
      <c r="A894" s="2">
        <v>893</v>
      </c>
      <c r="B894" s="3" t="s">
        <v>901</v>
      </c>
      <c r="C894" s="2" t="str">
        <f ca="1">IFERROR(__xludf.DUMMYFUNCTION("GOOGLETRANSLATE(B894, ""en"",""es"")"),"discurso")</f>
        <v>discurso</v>
      </c>
      <c r="D894" s="2" t="str">
        <f ca="1">IFERROR(__xludf.DUMMYFUNCTION("GOOGLETRANSLATE(B894,""en"",""ig"")"),"okwuonu")</f>
        <v>okwuonu</v>
      </c>
      <c r="E894" s="2" t="str">
        <f ca="1">IFERROR(__xludf.DUMMYFUNCTION("GOOGLETRANSLATE(B894,""en"",""fr"")"),"discours")</f>
        <v>discours</v>
      </c>
      <c r="F894" s="2" t="str">
        <f ca="1">IFERROR(__xludf.DUMMYFUNCTION("GOOGLETRANSLATE(B894,""en"",""it"")"),"discorso")</f>
        <v>discorso</v>
      </c>
      <c r="G894" s="2" t="str">
        <f ca="1">IFERROR(__xludf.DUMMYFUNCTION("GOOGLETRANSLATE(B894,""en"",""de"")"),"Rede")</f>
        <v>Rede</v>
      </c>
      <c r="H894" s="2" t="str">
        <f ca="1">IFERROR(__xludf.DUMMYFUNCTION("GOOGLETRANSLATE(B894,""en"",""zh"")"),"演讲")</f>
        <v>演讲</v>
      </c>
      <c r="I894" s="2" t="str">
        <f ca="1">IFERROR(__xludf.DUMMYFUNCTION("GOOGLETRANSLATE(B894,""en"",""gd"")"),"Òraid")</f>
        <v>Òraid</v>
      </c>
    </row>
    <row r="895" spans="1:9" ht="14.25" customHeight="1" x14ac:dyDescent="0.3">
      <c r="A895" s="2">
        <v>894</v>
      </c>
      <c r="B895" s="3" t="s">
        <v>902</v>
      </c>
      <c r="C895" s="2" t="str">
        <f ca="1">IFERROR(__xludf.DUMMYFUNCTION("GOOGLETRANSLATE(B895, ""en"",""es"")"),"perro")</f>
        <v>perro</v>
      </c>
      <c r="D895" s="2" t="str">
        <f ca="1">IFERROR(__xludf.DUMMYFUNCTION("GOOGLETRANSLATE(B895,""en"",""ig"")"),"nkita")</f>
        <v>nkita</v>
      </c>
      <c r="E895" s="2" t="str">
        <f ca="1">IFERROR(__xludf.DUMMYFUNCTION("GOOGLETRANSLATE(B895,""en"",""fr"")"),"chien")</f>
        <v>chien</v>
      </c>
      <c r="F895" s="2" t="str">
        <f ca="1">IFERROR(__xludf.DUMMYFUNCTION("GOOGLETRANSLATE(B895,""en"",""it"")"),"cane")</f>
        <v>cane</v>
      </c>
      <c r="G895" s="2" t="str">
        <f ca="1">IFERROR(__xludf.DUMMYFUNCTION("GOOGLETRANSLATE(B895,""en"",""de"")"),"Hund")</f>
        <v>Hund</v>
      </c>
      <c r="H895" s="2" t="str">
        <f ca="1">IFERROR(__xludf.DUMMYFUNCTION("GOOGLETRANSLATE(B895,""en"",""zh"")"),"狗")</f>
        <v>狗</v>
      </c>
      <c r="I895" s="2" t="str">
        <f ca="1">IFERROR(__xludf.DUMMYFUNCTION("GOOGLETRANSLATE(B895,""en"",""gd"")"),"cù")</f>
        <v>cù</v>
      </c>
    </row>
    <row r="896" spans="1:9" ht="14.25" customHeight="1" x14ac:dyDescent="0.3">
      <c r="A896" s="2">
        <v>895</v>
      </c>
      <c r="B896" s="3" t="s">
        <v>903</v>
      </c>
      <c r="C896" s="2" t="str">
        <f ca="1">IFERROR(__xludf.DUMMYFUNCTION("GOOGLETRANSLATE(B896, ""en"",""es"")"),"oficial")</f>
        <v>oficial</v>
      </c>
      <c r="D896" s="2" t="str">
        <f ca="1">IFERROR(__xludf.DUMMYFUNCTION("GOOGLETRANSLATE(B896,""en"",""ig"")"),"okwa soja")</f>
        <v>okwa soja</v>
      </c>
      <c r="E896" s="2" t="str">
        <f ca="1">IFERROR(__xludf.DUMMYFUNCTION("GOOGLETRANSLATE(B896,""en"",""fr"")"),"officier")</f>
        <v>officier</v>
      </c>
      <c r="F896" s="2" t="str">
        <f ca="1">IFERROR(__xludf.DUMMYFUNCTION("GOOGLETRANSLATE(B896,""en"",""it"")"),"ufficiale")</f>
        <v>ufficiale</v>
      </c>
      <c r="G896" s="2" t="str">
        <f ca="1">IFERROR(__xludf.DUMMYFUNCTION("GOOGLETRANSLATE(B896,""en"",""de"")"),"Offizier")</f>
        <v>Offizier</v>
      </c>
      <c r="H896" s="2" t="str">
        <f ca="1">IFERROR(__xludf.DUMMYFUNCTION("GOOGLETRANSLATE(B896,""en"",""zh"")"),"官")</f>
        <v>官</v>
      </c>
      <c r="I896" s="2" t="str">
        <f ca="1">IFERROR(__xludf.DUMMYFUNCTION("GOOGLETRANSLATE(B896,""en"",""gd"")"),"Oifigear")</f>
        <v>Oifigear</v>
      </c>
    </row>
    <row r="897" spans="1:9" ht="14.25" customHeight="1" x14ac:dyDescent="0.3">
      <c r="A897" s="2">
        <v>896</v>
      </c>
      <c r="B897" s="3" t="s">
        <v>904</v>
      </c>
      <c r="C897" s="2" t="str">
        <f ca="1">IFERROR(__xludf.DUMMYFUNCTION("GOOGLETRANSLATE(B897, ""en"",""es"")"),"a lo largo de")</f>
        <v>a lo largo de</v>
      </c>
      <c r="D897" s="2" t="str">
        <f ca="1">IFERROR(__xludf.DUMMYFUNCTION("GOOGLETRANSLATE(B897,""en"",""ig"")"),"truuaut")</f>
        <v>truuaut</v>
      </c>
      <c r="E897" s="2" t="str">
        <f ca="1">IFERROR(__xludf.DUMMYFUNCTION("GOOGLETRANSLATE(B897,""en"",""fr"")"),"tout au long de")</f>
        <v>tout au long de</v>
      </c>
      <c r="F897" s="2" t="str">
        <f ca="1">IFERROR(__xludf.DUMMYFUNCTION("GOOGLETRANSLATE(B897,""en"",""it"")"),"per tutto")</f>
        <v>per tutto</v>
      </c>
      <c r="G897" s="2" t="str">
        <f ca="1">IFERROR(__xludf.DUMMYFUNCTION("GOOGLETRANSLATE(B897,""en"",""de"")"),"hindurch")</f>
        <v>hindurch</v>
      </c>
      <c r="H897" s="2" t="str">
        <f ca="1">IFERROR(__xludf.DUMMYFUNCTION("GOOGLETRANSLATE(B897,""en"",""zh"")"),"自始至终")</f>
        <v>自始至终</v>
      </c>
      <c r="I897" s="2" t="str">
        <f ca="1">IFERROR(__xludf.DUMMYFUNCTION("GOOGLETRANSLATE(B897,""en"",""gd"")"),"air feadh")</f>
        <v>air feadh</v>
      </c>
    </row>
    <row r="898" spans="1:9" ht="14.25" customHeight="1" x14ac:dyDescent="0.3">
      <c r="A898" s="2">
        <v>897</v>
      </c>
      <c r="B898" s="3" t="s">
        <v>905</v>
      </c>
      <c r="C898" s="2" t="str">
        <f ca="1">IFERROR(__xludf.DUMMYFUNCTION("GOOGLETRANSLATE(B898, ""en"",""es"")"),"aceite")</f>
        <v>aceite</v>
      </c>
      <c r="D898" s="2" t="str">
        <f ca="1">IFERROR(__xludf.DUMMYFUNCTION("GOOGLETRANSLATE(B898,""en"",""ig"")"),"ite mmanu")</f>
        <v>ite mmanu</v>
      </c>
      <c r="E898" s="2" t="str">
        <f ca="1">IFERROR(__xludf.DUMMYFUNCTION("GOOGLETRANSLATE(B898,""en"",""fr"")"),"huile")</f>
        <v>huile</v>
      </c>
      <c r="F898" s="2" t="str">
        <f ca="1">IFERROR(__xludf.DUMMYFUNCTION("GOOGLETRANSLATE(B898,""en"",""it"")"),"olio")</f>
        <v>olio</v>
      </c>
      <c r="G898" s="2" t="str">
        <f ca="1">IFERROR(__xludf.DUMMYFUNCTION("GOOGLETRANSLATE(B898,""en"",""de"")"),"Öl")</f>
        <v>Öl</v>
      </c>
      <c r="H898" s="2" t="str">
        <f ca="1">IFERROR(__xludf.DUMMYFUNCTION("GOOGLETRANSLATE(B898,""en"",""zh"")"),"油")</f>
        <v>油</v>
      </c>
      <c r="I898" s="2" t="str">
        <f ca="1">IFERROR(__xludf.DUMMYFUNCTION("GOOGLETRANSLATE(B898,""en"",""gd"")"),"Ola")</f>
        <v>Ola</v>
      </c>
    </row>
    <row r="899" spans="1:9" ht="14.25" customHeight="1" x14ac:dyDescent="0.3">
      <c r="A899" s="2">
        <v>898</v>
      </c>
      <c r="B899" s="3" t="s">
        <v>906</v>
      </c>
      <c r="C899" s="2" t="str">
        <f ca="1">IFERROR(__xludf.DUMMYFUNCTION("GOOGLETRANSLATE(B899, ""en"",""es"")"),"vestido")</f>
        <v>vestido</v>
      </c>
      <c r="D899" s="2" t="str">
        <f ca="1">IFERROR(__xludf.DUMMYFUNCTION("GOOGLETRANSLATE(B899,""en"",""ig"")"),"inyi akwa")</f>
        <v>inyi akwa</v>
      </c>
      <c r="E899" s="2" t="str">
        <f ca="1">IFERROR(__xludf.DUMMYFUNCTION("GOOGLETRANSLATE(B899,""en"",""fr"")"),"robe")</f>
        <v>robe</v>
      </c>
      <c r="F899" s="2" t="str">
        <f ca="1">IFERROR(__xludf.DUMMYFUNCTION("GOOGLETRANSLATE(B899,""en"",""it"")"),"vestito")</f>
        <v>vestito</v>
      </c>
      <c r="G899" s="2" t="str">
        <f ca="1">IFERROR(__xludf.DUMMYFUNCTION("GOOGLETRANSLATE(B899,""en"",""de"")"),"Kleid")</f>
        <v>Kleid</v>
      </c>
      <c r="H899" s="2" t="str">
        <f ca="1">IFERROR(__xludf.DUMMYFUNCTION("GOOGLETRANSLATE(B899,""en"",""zh"")"),"裙子")</f>
        <v>裙子</v>
      </c>
      <c r="I899" s="2" t="str">
        <f ca="1">IFERROR(__xludf.DUMMYFUNCTION("GOOGLETRANSLATE(B899,""en"",""gd"")"),"èideadh")</f>
        <v>èideadh</v>
      </c>
    </row>
    <row r="900" spans="1:9" ht="14.25" customHeight="1" x14ac:dyDescent="0.3">
      <c r="A900" s="2">
        <v>899</v>
      </c>
      <c r="B900" s="3" t="s">
        <v>907</v>
      </c>
      <c r="C900" s="2" t="str">
        <f ca="1">IFERROR(__xludf.DUMMYFUNCTION("GOOGLETRANSLATE(B900, ""en"",""es"")"),"ganancia")</f>
        <v>ganancia</v>
      </c>
      <c r="D900" s="2" t="str">
        <f ca="1">IFERROR(__xludf.DUMMYFUNCTION("GOOGLETRANSLATE(B900,""en"",""ig"")"),"rite uru")</f>
        <v>rite uru</v>
      </c>
      <c r="E900" s="2" t="str">
        <f ca="1">IFERROR(__xludf.DUMMYFUNCTION("GOOGLETRANSLATE(B900,""en"",""fr"")"),"profit")</f>
        <v>profit</v>
      </c>
      <c r="F900" s="2" t="str">
        <f ca="1">IFERROR(__xludf.DUMMYFUNCTION("GOOGLETRANSLATE(B900,""en"",""it"")"),"profitto")</f>
        <v>profitto</v>
      </c>
      <c r="G900" s="2" t="str">
        <f ca="1">IFERROR(__xludf.DUMMYFUNCTION("GOOGLETRANSLATE(B900,""en"",""de"")"),"profitieren")</f>
        <v>profitieren</v>
      </c>
      <c r="H900" s="2" t="str">
        <f ca="1">IFERROR(__xludf.DUMMYFUNCTION("GOOGLETRANSLATE(B900,""en"",""zh"")"),"利润")</f>
        <v>利润</v>
      </c>
      <c r="I900" s="2" t="str">
        <f ca="1">IFERROR(__xludf.DUMMYFUNCTION("GOOGLETRANSLATE(B900,""en"",""gd"")"),"prothaid")</f>
        <v>prothaid</v>
      </c>
    </row>
    <row r="901" spans="1:9" ht="14.25" customHeight="1" x14ac:dyDescent="0.3">
      <c r="A901" s="2">
        <v>900</v>
      </c>
      <c r="B901" s="3" t="s">
        <v>908</v>
      </c>
      <c r="C901" s="2" t="str">
        <f ca="1">IFERROR(__xludf.DUMMYFUNCTION("GOOGLETRANSLATE(B901, ""en"",""es"")"),"adivinar")</f>
        <v>adivinar</v>
      </c>
      <c r="D901" s="2" t="str">
        <f ca="1">IFERROR(__xludf.DUMMYFUNCTION("GOOGLETRANSLATE(B901,""en"",""ig"")"),"iche eche")</f>
        <v>iche eche</v>
      </c>
      <c r="E901" s="2" t="str">
        <f ca="1">IFERROR(__xludf.DUMMYFUNCTION("GOOGLETRANSLATE(B901,""en"",""fr"")"),"deviner")</f>
        <v>deviner</v>
      </c>
      <c r="F901" s="2" t="str">
        <f ca="1">IFERROR(__xludf.DUMMYFUNCTION("GOOGLETRANSLATE(B901,""en"",""it"")"),"Indovinare")</f>
        <v>Indovinare</v>
      </c>
      <c r="G901" s="2" t="str">
        <f ca="1">IFERROR(__xludf.DUMMYFUNCTION("GOOGLETRANSLATE(B901,""en"",""de"")"),"erraten")</f>
        <v>erraten</v>
      </c>
      <c r="H901" s="2" t="str">
        <f ca="1">IFERROR(__xludf.DUMMYFUNCTION("GOOGLETRANSLATE(B901,""en"",""zh"")"),"猜测")</f>
        <v>猜测</v>
      </c>
      <c r="I901" s="2" t="str">
        <f ca="1">IFERROR(__xludf.DUMMYFUNCTION("GOOGLETRANSLATE(B901,""en"",""gd"")"),"tomhas")</f>
        <v>tomhas</v>
      </c>
    </row>
    <row r="902" spans="1:9" ht="14.25" customHeight="1" x14ac:dyDescent="0.3">
      <c r="A902" s="2">
        <v>901</v>
      </c>
      <c r="B902" s="3" t="s">
        <v>909</v>
      </c>
      <c r="C902" s="2" t="str">
        <f ca="1">IFERROR(__xludf.DUMMYFUNCTION("GOOGLETRANSLATE(B902, ""en"",""es"")"),"divertido")</f>
        <v>divertido</v>
      </c>
      <c r="D902" s="2" t="str">
        <f ca="1">IFERROR(__xludf.DUMMYFUNCTION("GOOGLETRANSLATE(B902,""en"",""ig"")"),"anuru")</f>
        <v>anuru</v>
      </c>
      <c r="E902" s="2" t="str">
        <f ca="1">IFERROR(__xludf.DUMMYFUNCTION("GOOGLETRANSLATE(B902,""en"",""fr"")"),"amusant")</f>
        <v>amusant</v>
      </c>
      <c r="F902" s="2" t="str">
        <f ca="1">IFERROR(__xludf.DUMMYFUNCTION("GOOGLETRANSLATE(B902,""en"",""it"")"),"divertimento")</f>
        <v>divertimento</v>
      </c>
      <c r="G902" s="2" t="str">
        <f ca="1">IFERROR(__xludf.DUMMYFUNCTION("GOOGLETRANSLATE(B902,""en"",""de"")"),"Spaß")</f>
        <v>Spaß</v>
      </c>
      <c r="H902" s="2" t="str">
        <f ca="1">IFERROR(__xludf.DUMMYFUNCTION("GOOGLETRANSLATE(B902,""en"",""zh"")"),"乐趣")</f>
        <v>乐趣</v>
      </c>
      <c r="I902" s="2" t="str">
        <f ca="1">IFERROR(__xludf.DUMMYFUNCTION("GOOGLETRANSLATE(B902,""en"",""gd"")"),"Spòrs")</f>
        <v>Spòrs</v>
      </c>
    </row>
    <row r="903" spans="1:9" ht="14.25" customHeight="1" x14ac:dyDescent="0.3">
      <c r="A903" s="2">
        <v>902</v>
      </c>
      <c r="B903" s="3" t="s">
        <v>910</v>
      </c>
      <c r="C903" s="2" t="str">
        <f ca="1">IFERROR(__xludf.DUMMYFUNCTION("GOOGLETRANSLATE(B903, ""en"",""es"")"),"proteger")</f>
        <v>proteger</v>
      </c>
      <c r="D903" s="2" t="str">
        <f ca="1">IFERROR(__xludf.DUMMYFUNCTION("GOOGLETRANSLATE(B903,""en"",""ig"")"),"chegide")</f>
        <v>chegide</v>
      </c>
      <c r="E903" s="2" t="str">
        <f ca="1">IFERROR(__xludf.DUMMYFUNCTION("GOOGLETRANSLATE(B903,""en"",""fr"")"),"protéger")</f>
        <v>protéger</v>
      </c>
      <c r="F903" s="2" t="str">
        <f ca="1">IFERROR(__xludf.DUMMYFUNCTION("GOOGLETRANSLATE(B903,""en"",""it"")"),"proteggere")</f>
        <v>proteggere</v>
      </c>
      <c r="G903" s="2" t="str">
        <f ca="1">IFERROR(__xludf.DUMMYFUNCTION("GOOGLETRANSLATE(B903,""en"",""de"")"),"schützen")</f>
        <v>schützen</v>
      </c>
      <c r="H903" s="2" t="str">
        <f ca="1">IFERROR(__xludf.DUMMYFUNCTION("GOOGLETRANSLATE(B903,""en"",""zh"")"),"保护")</f>
        <v>保护</v>
      </c>
      <c r="I903" s="2" t="str">
        <f ca="1">IFERROR(__xludf.DUMMYFUNCTION("GOOGLETRANSLATE(B903,""en"",""gd"")"),"Dìon")</f>
        <v>Dìon</v>
      </c>
    </row>
    <row r="904" spans="1:9" ht="14.25" customHeight="1" x14ac:dyDescent="0.3">
      <c r="A904" s="2">
        <v>903</v>
      </c>
      <c r="B904" s="3" t="s">
        <v>911</v>
      </c>
      <c r="C904" s="2" t="str">
        <f ca="1">IFERROR(__xludf.DUMMYFUNCTION("GOOGLETRANSLATE(B904, ""en"",""es"")"),"recurso")</f>
        <v>recurso</v>
      </c>
      <c r="D904" s="2" t="str">
        <f ca="1">IFERROR(__xludf.DUMMYFUNCTION("GOOGLETRANSLATE(B904,""en"",""ig"")"),"onye nju")</f>
        <v>onye nju</v>
      </c>
      <c r="E904" s="2" t="str">
        <f ca="1">IFERROR(__xludf.DUMMYFUNCTION("GOOGLETRANSLATE(B904,""en"",""fr"")"),"Ressource")</f>
        <v>Ressource</v>
      </c>
      <c r="F904" s="2" t="str">
        <f ca="1">IFERROR(__xludf.DUMMYFUNCTION("GOOGLETRANSLATE(B904,""en"",""it"")"),"risorsa")</f>
        <v>risorsa</v>
      </c>
      <c r="G904" s="2" t="str">
        <f ca="1">IFERROR(__xludf.DUMMYFUNCTION("GOOGLETRANSLATE(B904,""en"",""de"")"),"Ressource")</f>
        <v>Ressource</v>
      </c>
      <c r="H904" s="2" t="str">
        <f ca="1">IFERROR(__xludf.DUMMYFUNCTION("GOOGLETRANSLATE(B904,""en"",""zh"")"),"资源")</f>
        <v>资源</v>
      </c>
      <c r="I904" s="2" t="str">
        <f ca="1">IFERROR(__xludf.DUMMYFUNCTION("GOOGLETRANSLATE(B904,""en"",""gd"")"),"goireas")</f>
        <v>goireas</v>
      </c>
    </row>
    <row r="905" spans="1:9" ht="14.25" customHeight="1" x14ac:dyDescent="0.3">
      <c r="A905" s="2">
        <v>904</v>
      </c>
      <c r="B905" s="3" t="s">
        <v>912</v>
      </c>
      <c r="C905" s="2" t="str">
        <f ca="1">IFERROR(__xludf.DUMMYFUNCTION("GOOGLETRANSLATE(B905, ""en"",""es"")"),"ciencia")</f>
        <v>ciencia</v>
      </c>
      <c r="D905" s="2" t="str">
        <f ca="1">IFERROR(__xludf.DUMMYFUNCTION("GOOGLETRANSLATE(B905,""en"",""ig"")"),"sayensi")</f>
        <v>sayensi</v>
      </c>
      <c r="E905" s="2" t="str">
        <f ca="1">IFERROR(__xludf.DUMMYFUNCTION("GOOGLETRANSLATE(B905,""en"",""fr"")"),"science")</f>
        <v>science</v>
      </c>
      <c r="F905" s="2" t="str">
        <f ca="1">IFERROR(__xludf.DUMMYFUNCTION("GOOGLETRANSLATE(B905,""en"",""it"")"),"scienza")</f>
        <v>scienza</v>
      </c>
      <c r="G905" s="2" t="str">
        <f ca="1">IFERROR(__xludf.DUMMYFUNCTION("GOOGLETRANSLATE(B905,""en"",""de"")"),"Wissenschaft")</f>
        <v>Wissenschaft</v>
      </c>
      <c r="H905" s="2" t="str">
        <f ca="1">IFERROR(__xludf.DUMMYFUNCTION("GOOGLETRANSLATE(B905,""en"",""zh"")"),"科学")</f>
        <v>科学</v>
      </c>
      <c r="I905" s="2" t="str">
        <f ca="1">IFERROR(__xludf.DUMMYFUNCTION("GOOGLETRANSLATE(B905,""en"",""gd"")"),"Saidheans")</f>
        <v>Saidheans</v>
      </c>
    </row>
    <row r="906" spans="1:9" ht="14.25" customHeight="1" x14ac:dyDescent="0.3">
      <c r="A906" s="2">
        <v>905</v>
      </c>
      <c r="B906" s="3" t="s">
        <v>913</v>
      </c>
      <c r="C906" s="2" t="str">
        <f ca="1">IFERROR(__xludf.DUMMYFUNCTION("GOOGLETRANSLATE(B906, ""en"",""es"")"),"enfermedad")</f>
        <v>enfermedad</v>
      </c>
      <c r="D906" s="2" t="str">
        <f ca="1">IFERROR(__xludf.DUMMYFUNCTION("GOOGLETRANSLATE(B906,""en"",""ig"")"),"oria")</f>
        <v>oria</v>
      </c>
      <c r="E906" s="2" t="str">
        <f ca="1">IFERROR(__xludf.DUMMYFUNCTION("GOOGLETRANSLATE(B906,""en"",""fr"")"),"maladie")</f>
        <v>maladie</v>
      </c>
      <c r="F906" s="2" t="str">
        <f ca="1">IFERROR(__xludf.DUMMYFUNCTION("GOOGLETRANSLATE(B906,""en"",""it"")"),"malattia")</f>
        <v>malattia</v>
      </c>
      <c r="G906" s="2" t="str">
        <f ca="1">IFERROR(__xludf.DUMMYFUNCTION("GOOGLETRANSLATE(B906,""en"",""de"")"),"Krankheit")</f>
        <v>Krankheit</v>
      </c>
      <c r="H906" s="2" t="str">
        <f ca="1">IFERROR(__xludf.DUMMYFUNCTION("GOOGLETRANSLATE(B906,""en"",""zh"")"),"疾病")</f>
        <v>疾病</v>
      </c>
      <c r="I906" s="2" t="str">
        <f ca="1">IFERROR(__xludf.DUMMYFUNCTION("GOOGLETRANSLATE(B906,""en"",""gd"")"),"Galar")</f>
        <v>Galar</v>
      </c>
    </row>
    <row r="907" spans="1:9" ht="14.25" customHeight="1" x14ac:dyDescent="0.3">
      <c r="A907" s="2">
        <v>906</v>
      </c>
      <c r="B907" s="3" t="s">
        <v>914</v>
      </c>
      <c r="C907" s="2" t="str">
        <f ca="1">IFERROR(__xludf.DUMMYFUNCTION("GOOGLETRANSLATE(B907, ""en"",""es"")"),"balance")</f>
        <v>balance</v>
      </c>
      <c r="D907" s="2" t="str">
        <f ca="1">IFERROR(__xludf.DUMMYFUNCTION("GOOGLETRANSLATE(B907,""en"",""ig"")"),"itule")</f>
        <v>itule</v>
      </c>
      <c r="E907" s="2" t="str">
        <f ca="1">IFERROR(__xludf.DUMMYFUNCTION("GOOGLETRANSLATE(B907,""en"",""fr"")"),"équilibre")</f>
        <v>équilibre</v>
      </c>
      <c r="F907" s="2" t="str">
        <f ca="1">IFERROR(__xludf.DUMMYFUNCTION("GOOGLETRANSLATE(B907,""en"",""it"")"),"bilancia")</f>
        <v>bilancia</v>
      </c>
      <c r="G907" s="2" t="str">
        <f ca="1">IFERROR(__xludf.DUMMYFUNCTION("GOOGLETRANSLATE(B907,""en"",""de"")"),"Gleichgewicht")</f>
        <v>Gleichgewicht</v>
      </c>
      <c r="H907" s="2" t="str">
        <f ca="1">IFERROR(__xludf.DUMMYFUNCTION("GOOGLETRANSLATE(B907,""en"",""zh"")"),"平衡")</f>
        <v>平衡</v>
      </c>
      <c r="I907" s="2" t="str">
        <f ca="1">IFERROR(__xludf.DUMMYFUNCTION("GOOGLETRANSLATE(B907,""en"",""gd"")"),"Cothromachadh")</f>
        <v>Cothromachadh</v>
      </c>
    </row>
    <row r="908" spans="1:9" ht="14.25" customHeight="1" x14ac:dyDescent="0.3">
      <c r="A908" s="2">
        <v>907</v>
      </c>
      <c r="B908" s="3" t="s">
        <v>915</v>
      </c>
      <c r="C908" s="2" t="str">
        <f ca="1">IFERROR(__xludf.DUMMYFUNCTION("GOOGLETRANSLATE(B908, ""en"",""es"")"),"daño")</f>
        <v>daño</v>
      </c>
      <c r="D908" s="2" t="str">
        <f ca="1">IFERROR(__xludf.DUMMYFUNCTION("GOOGLETRANSLATE(B908,""en"",""ig"")"),"mmebi")</f>
        <v>mmebi</v>
      </c>
      <c r="E908" s="2" t="str">
        <f ca="1">IFERROR(__xludf.DUMMYFUNCTION("GOOGLETRANSLATE(B908,""en"",""fr"")"),"dommage")</f>
        <v>dommage</v>
      </c>
      <c r="F908" s="2" t="str">
        <f ca="1">IFERROR(__xludf.DUMMYFUNCTION("GOOGLETRANSLATE(B908,""en"",""it"")"),"danno")</f>
        <v>danno</v>
      </c>
      <c r="G908" s="2" t="str">
        <f ca="1">IFERROR(__xludf.DUMMYFUNCTION("GOOGLETRANSLATE(B908,""en"",""de"")"),"Schaden")</f>
        <v>Schaden</v>
      </c>
      <c r="H908" s="2" t="str">
        <f ca="1">IFERROR(__xludf.DUMMYFUNCTION("GOOGLETRANSLATE(B908,""en"",""zh"")"),"损害")</f>
        <v>损害</v>
      </c>
      <c r="I908" s="2" t="str">
        <f ca="1">IFERROR(__xludf.DUMMYFUNCTION("GOOGLETRANSLATE(B908,""en"",""gd"")"),"milleadh")</f>
        <v>milleadh</v>
      </c>
    </row>
    <row r="909" spans="1:9" ht="14.25" customHeight="1" x14ac:dyDescent="0.3">
      <c r="A909" s="2">
        <v>908</v>
      </c>
      <c r="B909" s="3" t="s">
        <v>916</v>
      </c>
      <c r="C909" s="2" t="str">
        <f ca="1">IFERROR(__xludf.DUMMYFUNCTION("GOOGLETRANSLATE(B909, ""en"",""es"")"),"base")</f>
        <v>base</v>
      </c>
      <c r="D909" s="2" t="str">
        <f ca="1">IFERROR(__xludf.DUMMYFUNCTION("GOOGLETRANSLATE(B909,""en"",""ig"")"),"ebe mbido")</f>
        <v>ebe mbido</v>
      </c>
      <c r="E909" s="2" t="str">
        <f ca="1">IFERROR(__xludf.DUMMYFUNCTION("GOOGLETRANSLATE(B909,""en"",""fr"")"),"base")</f>
        <v>base</v>
      </c>
      <c r="F909" s="2" t="str">
        <f ca="1">IFERROR(__xludf.DUMMYFUNCTION("GOOGLETRANSLATE(B909,""en"",""it"")"),"base")</f>
        <v>base</v>
      </c>
      <c r="G909" s="2" t="str">
        <f ca="1">IFERROR(__xludf.DUMMYFUNCTION("GOOGLETRANSLATE(B909,""en"",""de"")"),"Basis")</f>
        <v>Basis</v>
      </c>
      <c r="H909" s="2" t="str">
        <f ca="1">IFERROR(__xludf.DUMMYFUNCTION("GOOGLETRANSLATE(B909,""en"",""zh"")"),"基础")</f>
        <v>基础</v>
      </c>
      <c r="I909" s="2" t="str">
        <f ca="1">IFERROR(__xludf.DUMMYFUNCTION("GOOGLETRANSLATE(B909,""en"",""gd"")"),"bunait")</f>
        <v>bunait</v>
      </c>
    </row>
    <row r="910" spans="1:9" ht="14.25" customHeight="1" x14ac:dyDescent="0.3">
      <c r="A910" s="2">
        <v>909</v>
      </c>
      <c r="B910" s="3" t="s">
        <v>917</v>
      </c>
      <c r="C910" s="2" t="str">
        <f ca="1">IFERROR(__xludf.DUMMYFUNCTION("GOOGLETRANSLATE(B910, ""en"",""es"")"),"autor")</f>
        <v>autor</v>
      </c>
      <c r="D910" s="2" t="str">
        <f ca="1">IFERROR(__xludf.DUMMYFUNCTION("GOOGLETRANSLATE(B910,""en"",""ig"")"),"odee")</f>
        <v>odee</v>
      </c>
      <c r="E910" s="2" t="str">
        <f ca="1">IFERROR(__xludf.DUMMYFUNCTION("GOOGLETRANSLATE(B910,""en"",""fr"")"),"auteur")</f>
        <v>auteur</v>
      </c>
      <c r="F910" s="2" t="str">
        <f ca="1">IFERROR(__xludf.DUMMYFUNCTION("GOOGLETRANSLATE(B910,""en"",""it"")"),"autore")</f>
        <v>autore</v>
      </c>
      <c r="G910" s="2" t="str">
        <f ca="1">IFERROR(__xludf.DUMMYFUNCTION("GOOGLETRANSLATE(B910,""en"",""de"")"),"Autor")</f>
        <v>Autor</v>
      </c>
      <c r="H910" s="2" t="str">
        <f ca="1">IFERROR(__xludf.DUMMYFUNCTION("GOOGLETRANSLATE(B910,""en"",""zh"")"),"作者")</f>
        <v>作者</v>
      </c>
      <c r="I910" s="2" t="str">
        <f ca="1">IFERROR(__xludf.DUMMYFUNCTION("GOOGLETRANSLATE(B910,""en"",""gd"")"),"Ùghdar")</f>
        <v>Ùghdar</v>
      </c>
    </row>
    <row r="911" spans="1:9" ht="14.25" customHeight="1" x14ac:dyDescent="0.3">
      <c r="A911" s="2">
        <v>910</v>
      </c>
      <c r="B911" s="3" t="s">
        <v>918</v>
      </c>
      <c r="C911" s="2" t="str">
        <f ca="1">IFERROR(__xludf.DUMMYFUNCTION("GOOGLETRANSLATE(B911, ""en"",""es"")"),"básico")</f>
        <v>básico</v>
      </c>
      <c r="D911" s="2" t="str">
        <f ca="1">IFERROR(__xludf.DUMMYFUNCTION("GOOGLETRANSLATE(B911,""en"",""ig"")"),"nke nkiti")</f>
        <v>nke nkiti</v>
      </c>
      <c r="E911" s="2" t="str">
        <f ca="1">IFERROR(__xludf.DUMMYFUNCTION("GOOGLETRANSLATE(B911,""en"",""fr"")"),"basique")</f>
        <v>basique</v>
      </c>
      <c r="F911" s="2" t="str">
        <f ca="1">IFERROR(__xludf.DUMMYFUNCTION("GOOGLETRANSLATE(B911,""en"",""it"")"),"di base")</f>
        <v>di base</v>
      </c>
      <c r="G911" s="2" t="str">
        <f ca="1">IFERROR(__xludf.DUMMYFUNCTION("GOOGLETRANSLATE(B911,""en"",""de"")"),"Basic")</f>
        <v>Basic</v>
      </c>
      <c r="H911" s="2" t="str">
        <f ca="1">IFERROR(__xludf.DUMMYFUNCTION("GOOGLETRANSLATE(B911,""en"",""zh"")"),"基本的")</f>
        <v>基本的</v>
      </c>
      <c r="I911" s="2" t="str">
        <f ca="1">IFERROR(__xludf.DUMMYFUNCTION("GOOGLETRANSLATE(B911,""en"",""gd"")"),"bunaiteach")</f>
        <v>bunaiteach</v>
      </c>
    </row>
    <row r="912" spans="1:9" ht="14.25" customHeight="1" x14ac:dyDescent="0.3">
      <c r="A912" s="2">
        <v>911</v>
      </c>
      <c r="B912" s="3" t="s">
        <v>919</v>
      </c>
      <c r="C912" s="2" t="str">
        <f ca="1">IFERROR(__xludf.DUMMYFUNCTION("GOOGLETRANSLATE(B912, ""en"",""es"")"),"alentar")</f>
        <v>alentar</v>
      </c>
      <c r="D912" s="2" t="str">
        <f ca="1">IFERROR(__xludf.DUMMYFUNCTION("GOOGLETRANSLATE(B912,""en"",""ig"")"),"ijaliobi")</f>
        <v>ijaliobi</v>
      </c>
      <c r="E912" s="2" t="str">
        <f ca="1">IFERROR(__xludf.DUMMYFUNCTION("GOOGLETRANSLATE(B912,""en"",""fr"")"),"encourager")</f>
        <v>encourager</v>
      </c>
      <c r="F912" s="2" t="str">
        <f ca="1">IFERROR(__xludf.DUMMYFUNCTION("GOOGLETRANSLATE(B912,""en"",""it"")"),"incoraggiare")</f>
        <v>incoraggiare</v>
      </c>
      <c r="G912" s="2" t="str">
        <f ca="1">IFERROR(__xludf.DUMMYFUNCTION("GOOGLETRANSLATE(B912,""en"",""de"")"),"ermutigen")</f>
        <v>ermutigen</v>
      </c>
      <c r="H912" s="2" t="str">
        <f ca="1">IFERROR(__xludf.DUMMYFUNCTION("GOOGLETRANSLATE(B912,""en"",""zh"")"),"鼓励")</f>
        <v>鼓励</v>
      </c>
      <c r="I912" s="2" t="str">
        <f ca="1">IFERROR(__xludf.DUMMYFUNCTION("GOOGLETRANSLATE(B912,""en"",""gd"")"),"brosnachadh")</f>
        <v>brosnachadh</v>
      </c>
    </row>
    <row r="913" spans="1:9" ht="14.25" customHeight="1" x14ac:dyDescent="0.3">
      <c r="A913" s="2">
        <v>912</v>
      </c>
      <c r="B913" s="3" t="s">
        <v>920</v>
      </c>
      <c r="C913" s="2" t="str">
        <f ca="1">IFERROR(__xludf.DUMMYFUNCTION("GOOGLETRANSLATE(B913, ""en"",""es"")"),"cabello")</f>
        <v>cabello</v>
      </c>
      <c r="D913" s="2" t="str">
        <f ca="1">IFERROR(__xludf.DUMMYFUNCTION("GOOGLETRANSLATE(B913,""en"",""ig"")"),"aji ahu")</f>
        <v>aji ahu</v>
      </c>
      <c r="E913" s="2" t="str">
        <f ca="1">IFERROR(__xludf.DUMMYFUNCTION("GOOGLETRANSLATE(B913,""en"",""fr"")"),"cheveux")</f>
        <v>cheveux</v>
      </c>
      <c r="F913" s="2" t="str">
        <f ca="1">IFERROR(__xludf.DUMMYFUNCTION("GOOGLETRANSLATE(B913,""en"",""it"")"),"capelli")</f>
        <v>capelli</v>
      </c>
      <c r="G913" s="2" t="str">
        <f ca="1">IFERROR(__xludf.DUMMYFUNCTION("GOOGLETRANSLATE(B913,""en"",""de"")"),"Haar")</f>
        <v>Haar</v>
      </c>
      <c r="H913" s="2" t="str">
        <f ca="1">IFERROR(__xludf.DUMMYFUNCTION("GOOGLETRANSLATE(B913,""en"",""zh"")"),"头发")</f>
        <v>头发</v>
      </c>
      <c r="I913" s="2" t="str">
        <f ca="1">IFERROR(__xludf.DUMMYFUNCTION("GOOGLETRANSLATE(B913,""en"",""gd"")"),"falt")</f>
        <v>falt</v>
      </c>
    </row>
    <row r="914" spans="1:9" ht="14.25" customHeight="1" x14ac:dyDescent="0.3">
      <c r="A914" s="2">
        <v>913</v>
      </c>
      <c r="B914" s="3" t="s">
        <v>921</v>
      </c>
      <c r="C914" s="2" t="str">
        <f ca="1">IFERROR(__xludf.DUMMYFUNCTION("GOOGLETRANSLATE(B914, ""en"",""es"")"),"masculino")</f>
        <v>masculino</v>
      </c>
      <c r="D914" s="2" t="str">
        <f ca="1">IFERROR(__xludf.DUMMYFUNCTION("GOOGLETRANSLATE(B914,""en"",""ig"")"),"oke")</f>
        <v>oke</v>
      </c>
      <c r="E914" s="2" t="str">
        <f ca="1">IFERROR(__xludf.DUMMYFUNCTION("GOOGLETRANSLATE(B914,""en"",""fr"")"),"mâle")</f>
        <v>mâle</v>
      </c>
      <c r="F914" s="2" t="str">
        <f ca="1">IFERROR(__xludf.DUMMYFUNCTION("GOOGLETRANSLATE(B914,""en"",""it"")"),"maschio")</f>
        <v>maschio</v>
      </c>
      <c r="G914" s="2" t="str">
        <f ca="1">IFERROR(__xludf.DUMMYFUNCTION("GOOGLETRANSLATE(B914,""en"",""de"")"),"männlich")</f>
        <v>männlich</v>
      </c>
      <c r="H914" s="2" t="str">
        <f ca="1">IFERROR(__xludf.DUMMYFUNCTION("GOOGLETRANSLATE(B914,""en"",""zh"")"),"男性")</f>
        <v>男性</v>
      </c>
      <c r="I914" s="2" t="str">
        <f ca="1">IFERROR(__xludf.DUMMYFUNCTION("GOOGLETRANSLATE(B914,""en"",""gd"")"),"Fireann")</f>
        <v>Fireann</v>
      </c>
    </row>
    <row r="915" spans="1:9" ht="14.25" customHeight="1" x14ac:dyDescent="0.3">
      <c r="A915" s="2">
        <v>914</v>
      </c>
      <c r="B915" s="3" t="s">
        <v>922</v>
      </c>
      <c r="C915" s="2" t="str">
        <f ca="1">IFERROR(__xludf.DUMMYFUNCTION("GOOGLETRANSLATE(B915, ""en"",""es"")"),"funcionar")</f>
        <v>funcionar</v>
      </c>
      <c r="D915" s="2" t="str">
        <f ca="1">IFERROR(__xludf.DUMMYFUNCTION("GOOGLETRANSLATE(B915,""en"",""ig"")"),"igwo")</f>
        <v>igwo</v>
      </c>
      <c r="E915" s="2" t="str">
        <f ca="1">IFERROR(__xludf.DUMMYFUNCTION("GOOGLETRANSLATE(B915,""en"",""fr"")"),"fonctionner")</f>
        <v>fonctionner</v>
      </c>
      <c r="F915" s="2" t="str">
        <f ca="1">IFERROR(__xludf.DUMMYFUNCTION("GOOGLETRANSLATE(B915,""en"",""it"")"),"operare")</f>
        <v>operare</v>
      </c>
      <c r="G915" s="2" t="str">
        <f ca="1">IFERROR(__xludf.DUMMYFUNCTION("GOOGLETRANSLATE(B915,""en"",""de"")"),"arbeiten")</f>
        <v>arbeiten</v>
      </c>
      <c r="H915" s="2" t="str">
        <f ca="1">IFERROR(__xludf.DUMMYFUNCTION("GOOGLETRANSLATE(B915,""en"",""zh"")"),"操作")</f>
        <v>操作</v>
      </c>
      <c r="I915" s="2" t="str">
        <f ca="1">IFERROR(__xludf.DUMMYFUNCTION("GOOGLETRANSLATE(B915,""en"",""gd"")"),"obrachadh")</f>
        <v>obrachadh</v>
      </c>
    </row>
    <row r="916" spans="1:9" ht="14.25" customHeight="1" x14ac:dyDescent="0.3">
      <c r="A916" s="2">
        <v>915</v>
      </c>
      <c r="B916" s="3" t="s">
        <v>923</v>
      </c>
      <c r="C916" s="2" t="str">
        <f ca="1">IFERROR(__xludf.DUMMYFUNCTION("GOOGLETRANSLATE(B916, ""en"",""es"")"),"reflejar")</f>
        <v>reflejar</v>
      </c>
      <c r="D916" s="2" t="str">
        <f ca="1">IFERROR(__xludf.DUMMYFUNCTION("GOOGLETRANSLATE(B916,""en"",""ig"")"),"chezie")</f>
        <v>chezie</v>
      </c>
      <c r="E916" s="2" t="str">
        <f ca="1">IFERROR(__xludf.DUMMYFUNCTION("GOOGLETRANSLATE(B916,""en"",""fr"")"),"refléter")</f>
        <v>refléter</v>
      </c>
      <c r="F916" s="2" t="str">
        <f ca="1">IFERROR(__xludf.DUMMYFUNCTION("GOOGLETRANSLATE(B916,""en"",""it"")"),"riflettere")</f>
        <v>riflettere</v>
      </c>
      <c r="G916" s="2" t="str">
        <f ca="1">IFERROR(__xludf.DUMMYFUNCTION("GOOGLETRANSLATE(B916,""en"",""de"")"),"reflektieren")</f>
        <v>reflektieren</v>
      </c>
      <c r="H916" s="2" t="str">
        <f ca="1">IFERROR(__xludf.DUMMYFUNCTION("GOOGLETRANSLATE(B916,""en"",""zh"")"),"反映")</f>
        <v>反映</v>
      </c>
      <c r="I916" s="2" t="str">
        <f ca="1">IFERROR(__xludf.DUMMYFUNCTION("GOOGLETRANSLATE(B916,""en"",""gd"")"),"meòrachadh")</f>
        <v>meòrachadh</v>
      </c>
    </row>
    <row r="917" spans="1:9" ht="14.25" customHeight="1" x14ac:dyDescent="0.3">
      <c r="A917" s="2">
        <v>916</v>
      </c>
      <c r="B917" s="3" t="s">
        <v>924</v>
      </c>
      <c r="C917" s="2" t="str">
        <f ca="1">IFERROR(__xludf.DUMMYFUNCTION("GOOGLETRANSLATE(B917, ""en"",""es"")"),"ejercicio")</f>
        <v>ejercicio</v>
      </c>
      <c r="D917" s="2" t="str">
        <f ca="1">IFERROR(__xludf.DUMMYFUNCTION("GOOGLETRANSLATE(B917,""en"",""ig"")"),"igbati ahu")</f>
        <v>igbati ahu</v>
      </c>
      <c r="E917" s="2" t="str">
        <f ca="1">IFERROR(__xludf.DUMMYFUNCTION("GOOGLETRANSLATE(B917,""en"",""fr"")"),"exercice")</f>
        <v>exercice</v>
      </c>
      <c r="F917" s="2" t="str">
        <f ca="1">IFERROR(__xludf.DUMMYFUNCTION("GOOGLETRANSLATE(B917,""en"",""it"")"),"esercizio")</f>
        <v>esercizio</v>
      </c>
      <c r="G917" s="2" t="str">
        <f ca="1">IFERROR(__xludf.DUMMYFUNCTION("GOOGLETRANSLATE(B917,""en"",""de"")"),"Übung")</f>
        <v>Übung</v>
      </c>
      <c r="H917" s="2" t="str">
        <f ca="1">IFERROR(__xludf.DUMMYFUNCTION("GOOGLETRANSLATE(B917,""en"",""zh"")"),"锻炼")</f>
        <v>锻炼</v>
      </c>
      <c r="I917" s="2" t="str">
        <f ca="1">IFERROR(__xludf.DUMMYFUNCTION("GOOGLETRANSLATE(B917,""en"",""gd"")"),"Eacarsaich")</f>
        <v>Eacarsaich</v>
      </c>
    </row>
    <row r="918" spans="1:9" ht="14.25" customHeight="1" x14ac:dyDescent="0.3">
      <c r="A918" s="2">
        <v>917</v>
      </c>
      <c r="B918" s="3" t="s">
        <v>925</v>
      </c>
      <c r="C918" s="2" t="str">
        <f ca="1">IFERROR(__xludf.DUMMYFUNCTION("GOOGLETRANSLATE(B918, ""en"",""es"")"),"útil")</f>
        <v>útil</v>
      </c>
      <c r="D918" s="2" t="str">
        <f ca="1">IFERROR(__xludf.DUMMYFUNCTION("GOOGLETRANSLATE(B918,""en"",""ig"")"),"keibauru")</f>
        <v>keibauru</v>
      </c>
      <c r="E918" s="2" t="str">
        <f ca="1">IFERROR(__xludf.DUMMYFUNCTION("GOOGLETRANSLATE(B918,""en"",""fr"")"),"utile")</f>
        <v>utile</v>
      </c>
      <c r="F918" s="2" t="str">
        <f ca="1">IFERROR(__xludf.DUMMYFUNCTION("GOOGLETRANSLATE(B918,""en"",""it"")"),"utile")</f>
        <v>utile</v>
      </c>
      <c r="G918" s="2" t="str">
        <f ca="1">IFERROR(__xludf.DUMMYFUNCTION("GOOGLETRANSLATE(B918,""en"",""de"")"),"nützlich")</f>
        <v>nützlich</v>
      </c>
      <c r="H918" s="2" t="str">
        <f ca="1">IFERROR(__xludf.DUMMYFUNCTION("GOOGLETRANSLATE(B918,""en"",""zh"")"),"有用")</f>
        <v>有用</v>
      </c>
      <c r="I918" s="2" t="str">
        <f ca="1">IFERROR(__xludf.DUMMYFUNCTION("GOOGLETRANSLATE(B918,""en"",""gd"")"),"feumail")</f>
        <v>feumail</v>
      </c>
    </row>
    <row r="919" spans="1:9" ht="14.25" customHeight="1" x14ac:dyDescent="0.3">
      <c r="A919" s="2">
        <v>918</v>
      </c>
      <c r="B919" s="3" t="s">
        <v>926</v>
      </c>
      <c r="C919" s="2" t="str">
        <f ca="1">IFERROR(__xludf.DUMMYFUNCTION("GOOGLETRANSLATE(B919, ""en"",""es"")"),"restaurante")</f>
        <v>restaurante</v>
      </c>
      <c r="D919" s="2" t="str">
        <f ca="1">IFERROR(__xludf.DUMMYFUNCTION("GOOGLETRANSLATE(B919,""en"",""ig"")"),"restoranti")</f>
        <v>restoranti</v>
      </c>
      <c r="E919" s="2" t="str">
        <f ca="1">IFERROR(__xludf.DUMMYFUNCTION("GOOGLETRANSLATE(B919,""en"",""fr"")"),"restaurant")</f>
        <v>restaurant</v>
      </c>
      <c r="F919" s="2" t="str">
        <f ca="1">IFERROR(__xludf.DUMMYFUNCTION("GOOGLETRANSLATE(B919,""en"",""it"")"),"ristorante")</f>
        <v>ristorante</v>
      </c>
      <c r="G919" s="2" t="str">
        <f ca="1">IFERROR(__xludf.DUMMYFUNCTION("GOOGLETRANSLATE(B919,""en"",""de"")"),"Restaurant")</f>
        <v>Restaurant</v>
      </c>
      <c r="H919" s="2" t="str">
        <f ca="1">IFERROR(__xludf.DUMMYFUNCTION("GOOGLETRANSLATE(B919,""en"",""zh"")"),"餐厅")</f>
        <v>餐厅</v>
      </c>
      <c r="I919" s="2" t="str">
        <f ca="1">IFERROR(__xludf.DUMMYFUNCTION("GOOGLETRANSLATE(B919,""en"",""gd"")"),"Taigh-bìdh")</f>
        <v>Taigh-bìdh</v>
      </c>
    </row>
    <row r="920" spans="1:9" ht="14.25" customHeight="1" x14ac:dyDescent="0.3">
      <c r="A920" s="2">
        <v>919</v>
      </c>
      <c r="B920" s="3" t="s">
        <v>927</v>
      </c>
      <c r="C920" s="2" t="str">
        <f ca="1">IFERROR(__xludf.DUMMYFUNCTION("GOOGLETRANSLATE(B920, ""en"",""es"")"),"ingreso")</f>
        <v>ingreso</v>
      </c>
      <c r="D920" s="2" t="str">
        <f ca="1">IFERROR(__xludf.DUMMYFUNCTION("GOOGLETRANSLATE(B920,""en"",""ig"")"),"ugwoonwa")</f>
        <v>ugwoonwa</v>
      </c>
      <c r="E920" s="2" t="str">
        <f ca="1">IFERROR(__xludf.DUMMYFUNCTION("GOOGLETRANSLATE(B920,""en"",""fr"")"),"revenu")</f>
        <v>revenu</v>
      </c>
      <c r="F920" s="2" t="str">
        <f ca="1">IFERROR(__xludf.DUMMYFUNCTION("GOOGLETRANSLATE(B920,""en"",""it"")"),"reddito")</f>
        <v>reddito</v>
      </c>
      <c r="G920" s="2" t="str">
        <f ca="1">IFERROR(__xludf.DUMMYFUNCTION("GOOGLETRANSLATE(B920,""en"",""de"")"),"Einkommen")</f>
        <v>Einkommen</v>
      </c>
      <c r="H920" s="2" t="str">
        <f ca="1">IFERROR(__xludf.DUMMYFUNCTION("GOOGLETRANSLATE(B920,""en"",""zh"")"),"收入")</f>
        <v>收入</v>
      </c>
      <c r="I920" s="2" t="str">
        <f ca="1">IFERROR(__xludf.DUMMYFUNCTION("GOOGLETRANSLATE(B920,""en"",""gd"")"),"Teachd-a-steach")</f>
        <v>Teachd-a-steach</v>
      </c>
    </row>
    <row r="921" spans="1:9" ht="14.25" customHeight="1" x14ac:dyDescent="0.3">
      <c r="A921" s="2">
        <v>920</v>
      </c>
      <c r="B921" s="3" t="s">
        <v>928</v>
      </c>
      <c r="C921" s="2" t="str">
        <f ca="1">IFERROR(__xludf.DUMMYFUNCTION("GOOGLETRANSLATE(B921, ""en"",""es"")"),"propiedad")</f>
        <v>propiedad</v>
      </c>
      <c r="D921" s="2" t="str">
        <f ca="1">IFERROR(__xludf.DUMMYFUNCTION("GOOGLETRANSLATE(B921,""en"",""ig"")"),"aku")</f>
        <v>aku</v>
      </c>
      <c r="E921" s="2" t="str">
        <f ca="1">IFERROR(__xludf.DUMMYFUNCTION("GOOGLETRANSLATE(B921,""en"",""fr"")"),"propriété")</f>
        <v>propriété</v>
      </c>
      <c r="F921" s="2" t="str">
        <f ca="1">IFERROR(__xludf.DUMMYFUNCTION("GOOGLETRANSLATE(B921,""en"",""it"")"),"proprietà")</f>
        <v>proprietà</v>
      </c>
      <c r="G921" s="2" t="str">
        <f ca="1">IFERROR(__xludf.DUMMYFUNCTION("GOOGLETRANSLATE(B921,""en"",""de"")"),"Eigentum")</f>
        <v>Eigentum</v>
      </c>
      <c r="H921" s="2" t="str">
        <f ca="1">IFERROR(__xludf.DUMMYFUNCTION("GOOGLETRANSLATE(B921,""en"",""zh"")"),"财产")</f>
        <v>财产</v>
      </c>
      <c r="I921" s="2" t="str">
        <f ca="1">IFERROR(__xludf.DUMMYFUNCTION("GOOGLETRANSLATE(B921,""en"",""gd"")"),"seilbh")</f>
        <v>seilbh</v>
      </c>
    </row>
    <row r="922" spans="1:9" ht="14.25" customHeight="1" x14ac:dyDescent="0.3">
      <c r="A922" s="2">
        <v>921</v>
      </c>
      <c r="B922" s="3" t="s">
        <v>929</v>
      </c>
      <c r="C922" s="2" t="str">
        <f ca="1">IFERROR(__xludf.DUMMYFUNCTION("GOOGLETRANSLATE(B922, ""en"",""es"")"),"anterior")</f>
        <v>anterior</v>
      </c>
      <c r="D922" s="2" t="str">
        <f ca="1">IFERROR(__xludf.DUMMYFUNCTION("GOOGLETRANSLATE(B922,""en"",""ig"")"),"nke mgbe gara aga")</f>
        <v>nke mgbe gara aga</v>
      </c>
      <c r="E922" s="2" t="str">
        <f ca="1">IFERROR(__xludf.DUMMYFUNCTION("GOOGLETRANSLATE(B922,""en"",""fr"")"),"précédent")</f>
        <v>précédent</v>
      </c>
      <c r="F922" s="2" t="str">
        <f ca="1">IFERROR(__xludf.DUMMYFUNCTION("GOOGLETRANSLATE(B922,""en"",""it"")"),"precedente")</f>
        <v>precedente</v>
      </c>
      <c r="G922" s="2" t="str">
        <f ca="1">IFERROR(__xludf.DUMMYFUNCTION("GOOGLETRANSLATE(B922,""en"",""de"")"),"vorherige")</f>
        <v>vorherige</v>
      </c>
      <c r="H922" s="2" t="str">
        <f ca="1">IFERROR(__xludf.DUMMYFUNCTION("GOOGLETRANSLATE(B922,""en"",""zh"")"),"以前的")</f>
        <v>以前的</v>
      </c>
      <c r="I922" s="2" t="str">
        <f ca="1">IFERROR(__xludf.DUMMYFUNCTION("GOOGLETRANSLATE(B922,""en"",""gd"")"),"Roimhe seo")</f>
        <v>Roimhe seo</v>
      </c>
    </row>
    <row r="923" spans="1:9" ht="14.25" customHeight="1" x14ac:dyDescent="0.3">
      <c r="A923" s="2">
        <v>922</v>
      </c>
      <c r="B923" s="3" t="s">
        <v>930</v>
      </c>
      <c r="C923" s="2" t="str">
        <f ca="1">IFERROR(__xludf.DUMMYFUNCTION("GOOGLETRANSLATE(B923, ""en"",""es"")"),"oscuro")</f>
        <v>oscuro</v>
      </c>
      <c r="D923" s="2" t="str">
        <f ca="1">IFERROR(__xludf.DUMMYFUNCTION("GOOGLETRANSLATE(B923,""en"",""ig"")"),"itiri")</f>
        <v>itiri</v>
      </c>
      <c r="E923" s="2" t="str">
        <f ca="1">IFERROR(__xludf.DUMMYFUNCTION("GOOGLETRANSLATE(B923,""en"",""fr"")"),"sombre")</f>
        <v>sombre</v>
      </c>
      <c r="F923" s="2" t="str">
        <f ca="1">IFERROR(__xludf.DUMMYFUNCTION("GOOGLETRANSLATE(B923,""en"",""it"")"),"buio")</f>
        <v>buio</v>
      </c>
      <c r="G923" s="2" t="str">
        <f ca="1">IFERROR(__xludf.DUMMYFUNCTION("GOOGLETRANSLATE(B923,""en"",""de"")"),"dunkel")</f>
        <v>dunkel</v>
      </c>
      <c r="H923" s="2" t="str">
        <f ca="1">IFERROR(__xludf.DUMMYFUNCTION("GOOGLETRANSLATE(B923,""en"",""zh"")"),"黑暗的")</f>
        <v>黑暗的</v>
      </c>
      <c r="I923" s="2" t="str">
        <f ca="1">IFERROR(__xludf.DUMMYFUNCTION("GOOGLETRANSLATE(B923,""en"",""gd"")"),"dorcha")</f>
        <v>dorcha</v>
      </c>
    </row>
    <row r="924" spans="1:9" ht="14.25" customHeight="1" x14ac:dyDescent="0.3">
      <c r="A924" s="2">
        <v>923</v>
      </c>
      <c r="B924" s="3" t="s">
        <v>931</v>
      </c>
      <c r="C924" s="2" t="str">
        <f ca="1">IFERROR(__xludf.DUMMYFUNCTION("GOOGLETRANSLATE(B924, ""en"",""es"")"),"imaginar")</f>
        <v>imaginar</v>
      </c>
      <c r="D924" s="2" t="str">
        <f ca="1">IFERROR(__xludf.DUMMYFUNCTION("GOOGLETRANSLATE(B924,""en"",""ig"")"),"ka ewere")</f>
        <v>ka ewere</v>
      </c>
      <c r="E924" s="2" t="str">
        <f ca="1">IFERROR(__xludf.DUMMYFUNCTION("GOOGLETRANSLATE(B924,""en"",""fr"")"),"imaginer")</f>
        <v>imaginer</v>
      </c>
      <c r="F924" s="2" t="str">
        <f ca="1">IFERROR(__xludf.DUMMYFUNCTION("GOOGLETRANSLATE(B924,""en"",""it"")"),"immaginare")</f>
        <v>immaginare</v>
      </c>
      <c r="G924" s="2" t="str">
        <f ca="1">IFERROR(__xludf.DUMMYFUNCTION("GOOGLETRANSLATE(B924,""en"",""de"")"),"vorstellen")</f>
        <v>vorstellen</v>
      </c>
      <c r="H924" s="2" t="str">
        <f ca="1">IFERROR(__xludf.DUMMYFUNCTION("GOOGLETRANSLATE(B924,""en"",""zh"")"),"想象")</f>
        <v>想象</v>
      </c>
      <c r="I924" s="2" t="str">
        <f ca="1">IFERROR(__xludf.DUMMYFUNCTION("GOOGLETRANSLATE(B924,""en"",""gd"")"),"Smaoinich")</f>
        <v>Smaoinich</v>
      </c>
    </row>
    <row r="925" spans="1:9" ht="14.25" customHeight="1" x14ac:dyDescent="0.3">
      <c r="A925" s="2">
        <v>924</v>
      </c>
      <c r="B925" s="3" t="s">
        <v>932</v>
      </c>
      <c r="C925" s="2" t="str">
        <f ca="1">IFERROR(__xludf.DUMMYFUNCTION("GOOGLETRANSLATE(B925, ""en"",""es"")"),"bueno")</f>
        <v>bueno</v>
      </c>
      <c r="D925" s="2" t="str">
        <f ca="1">IFERROR(__xludf.DUMMYFUNCTION("GOOGLETRANSLATE(B925,""en"",""ig"")"),"keokele")</f>
        <v>keokele</v>
      </c>
      <c r="E925" s="2" t="str">
        <f ca="1">IFERROR(__xludf.DUMMYFUNCTION("GOOGLETRANSLATE(B925,""en"",""fr"")"),"d'accord")</f>
        <v>d'accord</v>
      </c>
      <c r="F925" s="2" t="str">
        <f ca="1">IFERROR(__xludf.DUMMYFUNCTION("GOOGLETRANSLATE(B925,""en"",""it"")"),"Va bene")</f>
        <v>Va bene</v>
      </c>
      <c r="G925" s="2" t="str">
        <f ca="1">IFERROR(__xludf.DUMMYFUNCTION("GOOGLETRANSLATE(B925,""en"",""de"")"),"Okay")</f>
        <v>Okay</v>
      </c>
      <c r="H925" s="2" t="str">
        <f ca="1">IFERROR(__xludf.DUMMYFUNCTION("GOOGLETRANSLATE(B925,""en"",""zh"")"),"好的")</f>
        <v>好的</v>
      </c>
      <c r="I925" s="2" t="str">
        <f ca="1">IFERROR(__xludf.DUMMYFUNCTION("GOOGLETRANSLATE(B925,""en"",""gd"")"),"Ceart gu leor")</f>
        <v>Ceart gu leor</v>
      </c>
    </row>
    <row r="926" spans="1:9" ht="14.25" customHeight="1" x14ac:dyDescent="0.3">
      <c r="A926" s="2">
        <v>925</v>
      </c>
      <c r="B926" s="3" t="s">
        <v>933</v>
      </c>
      <c r="C926" s="2" t="str">
        <f ca="1">IFERROR(__xludf.DUMMYFUNCTION("GOOGLETRANSLATE(B926, ""en"",""es"")"),"ganar")</f>
        <v>ganar</v>
      </c>
      <c r="D926" s="2" t="str">
        <f ca="1">IFERROR(__xludf.DUMMYFUNCTION("GOOGLETRANSLATE(B926,""en"",""ig"")"),"irite")</f>
        <v>irite</v>
      </c>
      <c r="E926" s="2" t="str">
        <f ca="1">IFERROR(__xludf.DUMMYFUNCTION("GOOGLETRANSLATE(B926,""en"",""fr"")"),"gagner")</f>
        <v>gagner</v>
      </c>
      <c r="F926" s="2" t="str">
        <f ca="1">IFERROR(__xludf.DUMMYFUNCTION("GOOGLETRANSLATE(B926,""en"",""it"")"),"guadagnare")</f>
        <v>guadagnare</v>
      </c>
      <c r="G926" s="2" t="str">
        <f ca="1">IFERROR(__xludf.DUMMYFUNCTION("GOOGLETRANSLATE(B926,""en"",""de"")"),"verdienen")</f>
        <v>verdienen</v>
      </c>
      <c r="H926" s="2" t="str">
        <f ca="1">IFERROR(__xludf.DUMMYFUNCTION("GOOGLETRANSLATE(B926,""en"",""zh"")"),"赚")</f>
        <v>赚</v>
      </c>
      <c r="I926" s="2" t="str">
        <f ca="1">IFERROR(__xludf.DUMMYFUNCTION("GOOGLETRANSLATE(B926,""en"",""gd"")"),"cosnadh")</f>
        <v>cosnadh</v>
      </c>
    </row>
    <row r="927" spans="1:9" ht="14.25" customHeight="1" x14ac:dyDescent="0.3">
      <c r="A927" s="2">
        <v>926</v>
      </c>
      <c r="B927" s="3" t="s">
        <v>934</v>
      </c>
      <c r="C927" s="2" t="str">
        <f ca="1">IFERROR(__xludf.DUMMYFUNCTION("GOOGLETRANSLATE(B927, ""en"",""es"")"),"hija")</f>
        <v>hija</v>
      </c>
      <c r="D927" s="2" t="str">
        <f ca="1">IFERROR(__xludf.DUMMYFUNCTION("GOOGLETRANSLATE(B927,""en"",""ig"")"),"nwa nwaanyi")</f>
        <v>nwa nwaanyi</v>
      </c>
      <c r="E927" s="2" t="str">
        <f ca="1">IFERROR(__xludf.DUMMYFUNCTION("GOOGLETRANSLATE(B927,""en"",""fr"")"),"fille")</f>
        <v>fille</v>
      </c>
      <c r="F927" s="2" t="str">
        <f ca="1">IFERROR(__xludf.DUMMYFUNCTION("GOOGLETRANSLATE(B927,""en"",""it"")"),"figlia")</f>
        <v>figlia</v>
      </c>
      <c r="G927" s="2" t="str">
        <f ca="1">IFERROR(__xludf.DUMMYFUNCTION("GOOGLETRANSLATE(B927,""en"",""de"")"),"Tochter")</f>
        <v>Tochter</v>
      </c>
      <c r="H927" s="2" t="str">
        <f ca="1">IFERROR(__xludf.DUMMYFUNCTION("GOOGLETRANSLATE(B927,""en"",""zh"")"),"女儿")</f>
        <v>女儿</v>
      </c>
      <c r="I927" s="2" t="str">
        <f ca="1">IFERROR(__xludf.DUMMYFUNCTION("GOOGLETRANSLATE(B927,""en"",""gd"")"),"nighean")</f>
        <v>nighean</v>
      </c>
    </row>
    <row r="928" spans="1:9" ht="14.25" customHeight="1" x14ac:dyDescent="0.3">
      <c r="A928" s="2">
        <v>927</v>
      </c>
      <c r="B928" s="3" t="s">
        <v>935</v>
      </c>
      <c r="C928" s="2" t="str">
        <f ca="1">IFERROR(__xludf.DUMMYFUNCTION("GOOGLETRANSLATE(B928, ""en"",""es"")"),"correo")</f>
        <v>correo</v>
      </c>
      <c r="D928" s="2" t="str">
        <f ca="1">IFERROR(__xludf.DUMMYFUNCTION("GOOGLETRANSLATE(B928,""en"",""ig"")"),"osisi")</f>
        <v>osisi</v>
      </c>
      <c r="E928" s="2" t="str">
        <f ca="1">IFERROR(__xludf.DUMMYFUNCTION("GOOGLETRANSLATE(B928,""en"",""fr"")"),"poste")</f>
        <v>poste</v>
      </c>
      <c r="F928" s="2" t="str">
        <f ca="1">IFERROR(__xludf.DUMMYFUNCTION("GOOGLETRANSLATE(B928,""en"",""it"")"),"inviare")</f>
        <v>inviare</v>
      </c>
      <c r="G928" s="2" t="str">
        <f ca="1">IFERROR(__xludf.DUMMYFUNCTION("GOOGLETRANSLATE(B928,""en"",""de"")"),"Post")</f>
        <v>Post</v>
      </c>
      <c r="H928" s="2" t="str">
        <f ca="1">IFERROR(__xludf.DUMMYFUNCTION("GOOGLETRANSLATE(B928,""en"",""zh"")"),"邮政")</f>
        <v>邮政</v>
      </c>
      <c r="I928" s="2" t="str">
        <f ca="1">IFERROR(__xludf.DUMMYFUNCTION("GOOGLETRANSLATE(B928,""en"",""gd"")"),"Post")</f>
        <v>Post</v>
      </c>
    </row>
    <row r="929" spans="1:9" ht="14.25" customHeight="1" x14ac:dyDescent="0.3">
      <c r="A929" s="2">
        <v>928</v>
      </c>
      <c r="B929" s="3" t="s">
        <v>936</v>
      </c>
      <c r="C929" s="2" t="str">
        <f ca="1">IFERROR(__xludf.DUMMYFUNCTION("GOOGLETRANSLATE(B929, ""en"",""es"")"),"periódico")</f>
        <v>periódico</v>
      </c>
      <c r="D929" s="2" t="str">
        <f ca="1">IFERROR(__xludf.DUMMYFUNCTION("GOOGLETRANSLATE(B929,""en"",""ig"")"),"akwukwo akuko uwa")</f>
        <v>akwukwo akuko uwa</v>
      </c>
      <c r="E929" s="2" t="str">
        <f ca="1">IFERROR(__xludf.DUMMYFUNCTION("GOOGLETRANSLATE(B929,""en"",""fr"")"),"journal")</f>
        <v>journal</v>
      </c>
      <c r="F929" s="2" t="str">
        <f ca="1">IFERROR(__xludf.DUMMYFUNCTION("GOOGLETRANSLATE(B929,""en"",""it"")"),"giornale")</f>
        <v>giornale</v>
      </c>
      <c r="G929" s="2" t="str">
        <f ca="1">IFERROR(__xludf.DUMMYFUNCTION("GOOGLETRANSLATE(B929,""en"",""de"")"),"Zeitung")</f>
        <v>Zeitung</v>
      </c>
      <c r="H929" s="2" t="str">
        <f ca="1">IFERROR(__xludf.DUMMYFUNCTION("GOOGLETRANSLATE(B929,""en"",""zh"")"),"报纸")</f>
        <v>报纸</v>
      </c>
      <c r="I929" s="2" t="str">
        <f ca="1">IFERROR(__xludf.DUMMYFUNCTION("GOOGLETRANSLATE(B929,""en"",""gd"")"),"pàipear-naidheachd")</f>
        <v>pàipear-naidheachd</v>
      </c>
    </row>
    <row r="930" spans="1:9" ht="14.25" customHeight="1" x14ac:dyDescent="0.3">
      <c r="A930" s="2">
        <v>929</v>
      </c>
      <c r="B930" s="3" t="s">
        <v>937</v>
      </c>
      <c r="C930" s="2" t="str">
        <f ca="1">IFERROR(__xludf.DUMMYFUNCTION("GOOGLETRANSLATE(B930, ""en"",""es"")"),"definir")</f>
        <v>definir</v>
      </c>
      <c r="D930" s="2" t="str">
        <f ca="1">IFERROR(__xludf.DUMMYFUNCTION("GOOGLETRANSLATE(B930,""en"",""ig"")"),"ikowasi")</f>
        <v>ikowasi</v>
      </c>
      <c r="E930" s="2" t="str">
        <f ca="1">IFERROR(__xludf.DUMMYFUNCTION("GOOGLETRANSLATE(B930,""en"",""fr"")"),"définir")</f>
        <v>définir</v>
      </c>
      <c r="F930" s="2" t="str">
        <f ca="1">IFERROR(__xludf.DUMMYFUNCTION("GOOGLETRANSLATE(B930,""en"",""it"")"),"definire")</f>
        <v>definire</v>
      </c>
      <c r="G930" s="2" t="str">
        <f ca="1">IFERROR(__xludf.DUMMYFUNCTION("GOOGLETRANSLATE(B930,""en"",""de"")"),"definieren")</f>
        <v>definieren</v>
      </c>
      <c r="H930" s="2" t="str">
        <f ca="1">IFERROR(__xludf.DUMMYFUNCTION("GOOGLETRANSLATE(B930,""en"",""zh"")"),"定义")</f>
        <v>定义</v>
      </c>
      <c r="I930" s="2" t="str">
        <f ca="1">IFERROR(__xludf.DUMMYFUNCTION("GOOGLETRANSLATE(B930,""en"",""gd"")"),"Mìnich")</f>
        <v>Mìnich</v>
      </c>
    </row>
    <row r="931" spans="1:9" ht="14.25" customHeight="1" x14ac:dyDescent="0.3">
      <c r="A931" s="2">
        <v>930</v>
      </c>
      <c r="B931" s="3" t="s">
        <v>938</v>
      </c>
      <c r="C931" s="2" t="str">
        <f ca="1">IFERROR(__xludf.DUMMYFUNCTION("GOOGLETRANSLATE(B931, ""en"",""es"")"),"conclusión")</f>
        <v>conclusión</v>
      </c>
      <c r="D931" s="2" t="str">
        <f ca="1">IFERROR(__xludf.DUMMYFUNCTION("GOOGLETRANSLATE(B931,""en"",""ig"")"),"mmechi")</f>
        <v>mmechi</v>
      </c>
      <c r="E931" s="2" t="str">
        <f ca="1">IFERROR(__xludf.DUMMYFUNCTION("GOOGLETRANSLATE(B931,""en"",""fr"")"),"conclusion")</f>
        <v>conclusion</v>
      </c>
      <c r="F931" s="2" t="str">
        <f ca="1">IFERROR(__xludf.DUMMYFUNCTION("GOOGLETRANSLATE(B931,""en"",""it"")"),"conclusione")</f>
        <v>conclusione</v>
      </c>
      <c r="G931" s="2" t="str">
        <f ca="1">IFERROR(__xludf.DUMMYFUNCTION("GOOGLETRANSLATE(B931,""en"",""de"")"),"Abschluss")</f>
        <v>Abschluss</v>
      </c>
      <c r="H931" s="2" t="str">
        <f ca="1">IFERROR(__xludf.DUMMYFUNCTION("GOOGLETRANSLATE(B931,""en"",""zh"")"),"结论")</f>
        <v>结论</v>
      </c>
      <c r="I931" s="2" t="str">
        <f ca="1">IFERROR(__xludf.DUMMYFUNCTION("GOOGLETRANSLATE(B931,""en"",""gd"")"),"Co-dhùnadh")</f>
        <v>Co-dhùnadh</v>
      </c>
    </row>
    <row r="932" spans="1:9" ht="14.25" customHeight="1" x14ac:dyDescent="0.3">
      <c r="A932" s="2">
        <v>931</v>
      </c>
      <c r="B932" s="3" t="s">
        <v>939</v>
      </c>
      <c r="C932" s="2" t="str">
        <f ca="1">IFERROR(__xludf.DUMMYFUNCTION("GOOGLETRANSLATE(B932, ""en"",""es"")"),"reloj")</f>
        <v>reloj</v>
      </c>
      <c r="D932" s="2" t="str">
        <f ca="1">IFERROR(__xludf.DUMMYFUNCTION("GOOGLETRANSLATE(B932,""en"",""ig"")"),"klook")</f>
        <v>klook</v>
      </c>
      <c r="E932" s="2" t="str">
        <f ca="1">IFERROR(__xludf.DUMMYFUNCTION("GOOGLETRANSLATE(B932,""en"",""fr"")"),"horloge")</f>
        <v>horloge</v>
      </c>
      <c r="F932" s="2" t="str">
        <f ca="1">IFERROR(__xludf.DUMMYFUNCTION("GOOGLETRANSLATE(B932,""en"",""it"")"),"orologio")</f>
        <v>orologio</v>
      </c>
      <c r="G932" s="2" t="str">
        <f ca="1">IFERROR(__xludf.DUMMYFUNCTION("GOOGLETRANSLATE(B932,""en"",""de"")"),"Uhr")</f>
        <v>Uhr</v>
      </c>
      <c r="H932" s="2" t="str">
        <f ca="1">IFERROR(__xludf.DUMMYFUNCTION("GOOGLETRANSLATE(B932,""en"",""zh"")"),"钟")</f>
        <v>钟</v>
      </c>
      <c r="I932" s="2" t="str">
        <f ca="1">IFERROR(__xludf.DUMMYFUNCTION("GOOGLETRANSLATE(B932,""en"",""gd"")"),"Cloc")</f>
        <v>Cloc</v>
      </c>
    </row>
    <row r="933" spans="1:9" ht="14.25" customHeight="1" x14ac:dyDescent="0.3">
      <c r="A933" s="2">
        <v>932</v>
      </c>
      <c r="B933" s="3" t="s">
        <v>940</v>
      </c>
      <c r="C933" s="2" t="str">
        <f ca="1">IFERROR(__xludf.DUMMYFUNCTION("GOOGLETRANSLATE(B933, ""en"",""es"")"),"todos")</f>
        <v>todos</v>
      </c>
      <c r="D933" s="2" t="str">
        <f ca="1">IFERROR(__xludf.DUMMYFUNCTION("GOOGLETRANSLATE(B933,""en"",""ig"")"),"onye obula")</f>
        <v>onye obula</v>
      </c>
      <c r="E933" s="2" t="str">
        <f ca="1">IFERROR(__xludf.DUMMYFUNCTION("GOOGLETRANSLATE(B933,""en"",""fr"")"),"tout le monde")</f>
        <v>tout le monde</v>
      </c>
      <c r="F933" s="2" t="str">
        <f ca="1">IFERROR(__xludf.DUMMYFUNCTION("GOOGLETRANSLATE(B933,""en"",""it"")"),"tutti")</f>
        <v>tutti</v>
      </c>
      <c r="G933" s="2" t="str">
        <f ca="1">IFERROR(__xludf.DUMMYFUNCTION("GOOGLETRANSLATE(B933,""en"",""de"")"),"alle")</f>
        <v>alle</v>
      </c>
      <c r="H933" s="2" t="str">
        <f ca="1">IFERROR(__xludf.DUMMYFUNCTION("GOOGLETRANSLATE(B933,""en"",""zh"")"),"大家")</f>
        <v>大家</v>
      </c>
      <c r="I933" s="2" t="str">
        <f ca="1">IFERROR(__xludf.DUMMYFUNCTION("GOOGLETRANSLATE(B933,""en"",""gd"")"),"a h-uile duine")</f>
        <v>a h-uile duine</v>
      </c>
    </row>
    <row r="934" spans="1:9" ht="14.25" customHeight="1" x14ac:dyDescent="0.3">
      <c r="A934" s="2">
        <v>933</v>
      </c>
      <c r="B934" s="3" t="s">
        <v>941</v>
      </c>
      <c r="C934" s="2" t="str">
        <f ca="1">IFERROR(__xludf.DUMMYFUNCTION("GOOGLETRANSLATE(B934, ""en"",""es"")"),"fin de semana")</f>
        <v>fin de semana</v>
      </c>
      <c r="D934" s="2" t="str">
        <f ca="1">IFERROR(__xludf.DUMMYFUNCTION("GOOGLETRANSLATE(B934,""en"",""ig"")"),"wiikendi")</f>
        <v>wiikendi</v>
      </c>
      <c r="E934" s="2" t="str">
        <f ca="1">IFERROR(__xludf.DUMMYFUNCTION("GOOGLETRANSLATE(B934,""en"",""fr"")"),"fin de semaine")</f>
        <v>fin de semaine</v>
      </c>
      <c r="F934" s="2" t="str">
        <f ca="1">IFERROR(__xludf.DUMMYFUNCTION("GOOGLETRANSLATE(B934,""en"",""it"")"),"fine settimana")</f>
        <v>fine settimana</v>
      </c>
      <c r="G934" s="2" t="str">
        <f ca="1">IFERROR(__xludf.DUMMYFUNCTION("GOOGLETRANSLATE(B934,""en"",""de"")"),"Wochenende")</f>
        <v>Wochenende</v>
      </c>
      <c r="H934" s="2" t="str">
        <f ca="1">IFERROR(__xludf.DUMMYFUNCTION("GOOGLETRANSLATE(B934,""en"",""zh"")"),"周末")</f>
        <v>周末</v>
      </c>
      <c r="I934" s="2" t="str">
        <f ca="1">IFERROR(__xludf.DUMMYFUNCTION("GOOGLETRANSLATE(B934,""en"",""gd"")"),"Deireadh-seachdain")</f>
        <v>Deireadh-seachdain</v>
      </c>
    </row>
    <row r="935" spans="1:9" ht="14.25" customHeight="1" x14ac:dyDescent="0.3">
      <c r="A935" s="2">
        <v>934</v>
      </c>
      <c r="B935" s="3" t="s">
        <v>942</v>
      </c>
      <c r="C935" s="2" t="str">
        <f ca="1">IFERROR(__xludf.DUMMYFUNCTION("GOOGLETRANSLATE(B935, ""en"",""es"")"),"llevar a cabo")</f>
        <v>llevar a cabo</v>
      </c>
      <c r="D935" s="2" t="str">
        <f ca="1">IFERROR(__xludf.DUMMYFUNCTION("GOOGLETRANSLATE(B935,""en"",""ig"")"),"igosi")</f>
        <v>igosi</v>
      </c>
      <c r="E935" s="2" t="str">
        <f ca="1">IFERROR(__xludf.DUMMYFUNCTION("GOOGLETRANSLATE(B935,""en"",""fr"")"),"effectuer")</f>
        <v>effectuer</v>
      </c>
      <c r="F935" s="2" t="str">
        <f ca="1">IFERROR(__xludf.DUMMYFUNCTION("GOOGLETRANSLATE(B935,""en"",""it"")"),"eseguire")</f>
        <v>eseguire</v>
      </c>
      <c r="G935" s="2" t="str">
        <f ca="1">IFERROR(__xludf.DUMMYFUNCTION("GOOGLETRANSLATE(B935,""en"",""de"")"),"ausführen")</f>
        <v>ausführen</v>
      </c>
      <c r="H935" s="2" t="str">
        <f ca="1">IFERROR(__xludf.DUMMYFUNCTION("GOOGLETRANSLATE(B935,""en"",""zh"")"),"履行")</f>
        <v>履行</v>
      </c>
      <c r="I935" s="2" t="str">
        <f ca="1">IFERROR(__xludf.DUMMYFUNCTION("GOOGLETRANSLATE(B935,""en"",""gd"")"),"dèan")</f>
        <v>dèan</v>
      </c>
    </row>
    <row r="936" spans="1:9" ht="14.25" customHeight="1" x14ac:dyDescent="0.3">
      <c r="A936" s="2">
        <v>935</v>
      </c>
      <c r="B936" s="3" t="s">
        <v>943</v>
      </c>
      <c r="C936" s="2" t="str">
        <f ca="1">IFERROR(__xludf.DUMMYFUNCTION("GOOGLETRANSLATE(B936, ""en"",""es"")"),"profesional")</f>
        <v>profesional</v>
      </c>
      <c r="D936" s="2" t="str">
        <f ca="1">IFERROR(__xludf.DUMMYFUNCTION("GOOGLETRANSLATE(B936,""en"",""ig"")"),"nke gbasara aka oru")</f>
        <v>nke gbasara aka oru</v>
      </c>
      <c r="E936" s="2" t="str">
        <f ca="1">IFERROR(__xludf.DUMMYFUNCTION("GOOGLETRANSLATE(B936,""en"",""fr"")"),"professionnel")</f>
        <v>professionnel</v>
      </c>
      <c r="F936" s="2" t="str">
        <f ca="1">IFERROR(__xludf.DUMMYFUNCTION("GOOGLETRANSLATE(B936,""en"",""it"")"),"professionale")</f>
        <v>professionale</v>
      </c>
      <c r="G936" s="2" t="str">
        <f ca="1">IFERROR(__xludf.DUMMYFUNCTION("GOOGLETRANSLATE(B936,""en"",""de"")"),"Fachmann")</f>
        <v>Fachmann</v>
      </c>
      <c r="H936" s="2" t="str">
        <f ca="1">IFERROR(__xludf.DUMMYFUNCTION("GOOGLETRANSLATE(B936,""en"",""zh"")"),"专业的")</f>
        <v>专业的</v>
      </c>
      <c r="I936" s="2" t="str">
        <f ca="1">IFERROR(__xludf.DUMMYFUNCTION("GOOGLETRANSLATE(B936,""en"",""gd"")"),"proifeasanta")</f>
        <v>proifeasanta</v>
      </c>
    </row>
    <row r="937" spans="1:9" ht="14.25" customHeight="1" x14ac:dyDescent="0.3">
      <c r="A937" s="2">
        <v>936</v>
      </c>
      <c r="B937" s="3" t="s">
        <v>944</v>
      </c>
      <c r="C937" s="2" t="str">
        <f ca="1">IFERROR(__xludf.DUMMYFUNCTION("GOOGLETRANSLATE(B937, ""en"",""es"")"),"mío")</f>
        <v>mío</v>
      </c>
      <c r="D937" s="2" t="str">
        <f ca="1">IFERROR(__xludf.DUMMYFUNCTION("GOOGLETRANSLATE(B937,""en"",""ig"")"),"ogbunigwe ndisoja na-eli")</f>
        <v>ogbunigwe ndisoja na-eli</v>
      </c>
      <c r="E937" s="2" t="str">
        <f ca="1">IFERROR(__xludf.DUMMYFUNCTION("GOOGLETRANSLATE(B937,""en"",""fr"")"),"le mien")</f>
        <v>le mien</v>
      </c>
      <c r="F937" s="2" t="str">
        <f ca="1">IFERROR(__xludf.DUMMYFUNCTION("GOOGLETRANSLATE(B937,""en"",""it"")"),"mio")</f>
        <v>mio</v>
      </c>
      <c r="G937" s="2" t="str">
        <f ca="1">IFERROR(__xludf.DUMMYFUNCTION("GOOGLETRANSLATE(B937,""en"",""de"")"),"meins")</f>
        <v>meins</v>
      </c>
      <c r="H937" s="2" t="str">
        <f ca="1">IFERROR(__xludf.DUMMYFUNCTION("GOOGLETRANSLATE(B937,""en"",""zh"")"),"矿")</f>
        <v>矿</v>
      </c>
      <c r="I937" s="2" t="str">
        <f ca="1">IFERROR(__xludf.DUMMYFUNCTION("GOOGLETRANSLATE(B937,""en"",""gd"")"),"Mine")</f>
        <v>Mine</v>
      </c>
    </row>
    <row r="938" spans="1:9" ht="14.25" customHeight="1" x14ac:dyDescent="0.3">
      <c r="A938" s="2">
        <v>937</v>
      </c>
      <c r="B938" s="3" t="s">
        <v>945</v>
      </c>
      <c r="C938" s="2" t="str">
        <f ca="1">IFERROR(__xludf.DUMMYFUNCTION("GOOGLETRANSLATE(B938, ""en"",""es"")"),"debate")</f>
        <v>debate</v>
      </c>
      <c r="D938" s="2" t="str">
        <f ca="1">IFERROR(__xludf.DUMMYFUNCTION("GOOGLETRANSLATE(B938,""en"",""ig"")"),"igbagha")</f>
        <v>igbagha</v>
      </c>
      <c r="E938" s="2" t="str">
        <f ca="1">IFERROR(__xludf.DUMMYFUNCTION("GOOGLETRANSLATE(B938,""en"",""fr"")"),"débat")</f>
        <v>débat</v>
      </c>
      <c r="F938" s="2" t="str">
        <f ca="1">IFERROR(__xludf.DUMMYFUNCTION("GOOGLETRANSLATE(B938,""en"",""it"")"),"discussione")</f>
        <v>discussione</v>
      </c>
      <c r="G938" s="2" t="str">
        <f ca="1">IFERROR(__xludf.DUMMYFUNCTION("GOOGLETRANSLATE(B938,""en"",""de"")"),"Debatte")</f>
        <v>Debatte</v>
      </c>
      <c r="H938" s="2" t="str">
        <f ca="1">IFERROR(__xludf.DUMMYFUNCTION("GOOGLETRANSLATE(B938,""en"",""zh"")"),"辩论")</f>
        <v>辩论</v>
      </c>
      <c r="I938" s="2" t="str">
        <f ca="1">IFERROR(__xludf.DUMMYFUNCTION("GOOGLETRANSLATE(B938,""en"",""gd"")"),"Deasbad")</f>
        <v>Deasbad</v>
      </c>
    </row>
    <row r="939" spans="1:9" ht="14.25" customHeight="1" x14ac:dyDescent="0.3">
      <c r="A939" s="2">
        <v>938</v>
      </c>
      <c r="B939" s="3" t="s">
        <v>946</v>
      </c>
      <c r="C939" s="2" t="str">
        <f ca="1">IFERROR(__xludf.DUMMYFUNCTION("GOOGLETRANSLATE(B939, ""en"",""es"")"),"memoria")</f>
        <v>memoria</v>
      </c>
      <c r="D939" s="2" t="str">
        <f ca="1">IFERROR(__xludf.DUMMYFUNCTION("GOOGLETRANSLATE(B939,""en"",""ig"")"),"n'isi")</f>
        <v>n'isi</v>
      </c>
      <c r="E939" s="2" t="str">
        <f ca="1">IFERROR(__xludf.DUMMYFUNCTION("GOOGLETRANSLATE(B939,""en"",""fr"")"),"mémoire")</f>
        <v>mémoire</v>
      </c>
      <c r="F939" s="2" t="str">
        <f ca="1">IFERROR(__xludf.DUMMYFUNCTION("GOOGLETRANSLATE(B939,""en"",""it"")"),"memoria")</f>
        <v>memoria</v>
      </c>
      <c r="G939" s="2" t="str">
        <f ca="1">IFERROR(__xludf.DUMMYFUNCTION("GOOGLETRANSLATE(B939,""en"",""de"")"),"Erinnerung")</f>
        <v>Erinnerung</v>
      </c>
      <c r="H939" s="2" t="str">
        <f ca="1">IFERROR(__xludf.DUMMYFUNCTION("GOOGLETRANSLATE(B939,""en"",""zh"")"),"记忆")</f>
        <v>记忆</v>
      </c>
      <c r="I939" s="2" t="str">
        <f ca="1">IFERROR(__xludf.DUMMYFUNCTION("GOOGLETRANSLATE(B939,""en"",""gd"")"),"Cuimhne")</f>
        <v>Cuimhne</v>
      </c>
    </row>
    <row r="940" spans="1:9" ht="14.25" customHeight="1" x14ac:dyDescent="0.3">
      <c r="A940" s="2">
        <v>939</v>
      </c>
      <c r="B940" s="3" t="s">
        <v>947</v>
      </c>
      <c r="C940" s="2" t="str">
        <f ca="1">IFERROR(__xludf.DUMMYFUNCTION("GOOGLETRANSLATE(B940, ""en"",""es"")"),"verde")</f>
        <v>verde</v>
      </c>
      <c r="D940" s="2" t="str">
        <f ca="1">IFERROR(__xludf.DUMMYFUNCTION("GOOGLETRANSLATE(B940,""en"",""ig"")"),"griin")</f>
        <v>griin</v>
      </c>
      <c r="E940" s="2" t="str">
        <f ca="1">IFERROR(__xludf.DUMMYFUNCTION("GOOGLETRANSLATE(B940,""en"",""fr"")"),"vert")</f>
        <v>vert</v>
      </c>
      <c r="F940" s="2" t="str">
        <f ca="1">IFERROR(__xludf.DUMMYFUNCTION("GOOGLETRANSLATE(B940,""en"",""it"")"),"verde")</f>
        <v>verde</v>
      </c>
      <c r="G940" s="2" t="str">
        <f ca="1">IFERROR(__xludf.DUMMYFUNCTION("GOOGLETRANSLATE(B940,""en"",""de"")"),"Grün")</f>
        <v>Grün</v>
      </c>
      <c r="H940" s="2" t="str">
        <f ca="1">IFERROR(__xludf.DUMMYFUNCTION("GOOGLETRANSLATE(B940,""en"",""zh"")"),"绿色的")</f>
        <v>绿色的</v>
      </c>
      <c r="I940" s="2" t="str">
        <f ca="1">IFERROR(__xludf.DUMMYFUNCTION("GOOGLETRANSLATE(B940,""en"",""gd"")"),"uaine")</f>
        <v>uaine</v>
      </c>
    </row>
    <row r="941" spans="1:9" ht="14.25" customHeight="1" x14ac:dyDescent="0.3">
      <c r="A941" s="2">
        <v>940</v>
      </c>
      <c r="B941" s="3" t="s">
        <v>948</v>
      </c>
      <c r="C941" s="2" t="str">
        <f ca="1">IFERROR(__xludf.DUMMYFUNCTION("GOOGLETRANSLATE(B941, ""en"",""es"")"),"canción")</f>
        <v>canción</v>
      </c>
      <c r="D941" s="2" t="str">
        <f ca="1">IFERROR(__xludf.DUMMYFUNCTION("GOOGLETRANSLATE(B941,""en"",""ig"")"),"abu")</f>
        <v>abu</v>
      </c>
      <c r="E941" s="2" t="str">
        <f ca="1">IFERROR(__xludf.DUMMYFUNCTION("GOOGLETRANSLATE(B941,""en"",""fr"")"),"chanson")</f>
        <v>chanson</v>
      </c>
      <c r="F941" s="2" t="str">
        <f ca="1">IFERROR(__xludf.DUMMYFUNCTION("GOOGLETRANSLATE(B941,""en"",""it"")"),"canzone")</f>
        <v>canzone</v>
      </c>
      <c r="G941" s="2" t="str">
        <f ca="1">IFERROR(__xludf.DUMMYFUNCTION("GOOGLETRANSLATE(B941,""en"",""de"")"),"Lied")</f>
        <v>Lied</v>
      </c>
      <c r="H941" s="2" t="str">
        <f ca="1">IFERROR(__xludf.DUMMYFUNCTION("GOOGLETRANSLATE(B941,""en"",""zh"")"),"歌曲")</f>
        <v>歌曲</v>
      </c>
      <c r="I941" s="2" t="str">
        <f ca="1">IFERROR(__xludf.DUMMYFUNCTION("GOOGLETRANSLATE(B941,""en"",""gd"")"),"òran")</f>
        <v>òran</v>
      </c>
    </row>
    <row r="942" spans="1:9" ht="14.25" customHeight="1" x14ac:dyDescent="0.3">
      <c r="A942" s="2">
        <v>941</v>
      </c>
      <c r="B942" s="3" t="s">
        <v>949</v>
      </c>
      <c r="C942" s="2" t="str">
        <f ca="1">IFERROR(__xludf.DUMMYFUNCTION("GOOGLETRANSLATE(B942, ""en"",""es"")"),"objeto")</f>
        <v>objeto</v>
      </c>
      <c r="D942" s="2" t="str">
        <f ca="1">IFERROR(__xludf.DUMMYFUNCTION("GOOGLETRANSLATE(B942,""en"",""ig"")"),"iju")</f>
        <v>iju</v>
      </c>
      <c r="E942" s="2" t="str">
        <f ca="1">IFERROR(__xludf.DUMMYFUNCTION("GOOGLETRANSLATE(B942,""en"",""fr"")"),"objet")</f>
        <v>objet</v>
      </c>
      <c r="F942" s="2" t="str">
        <f ca="1">IFERROR(__xludf.DUMMYFUNCTION("GOOGLETRANSLATE(B942,""en"",""it"")"),"oggetto")</f>
        <v>oggetto</v>
      </c>
      <c r="G942" s="2" t="str">
        <f ca="1">IFERROR(__xludf.DUMMYFUNCTION("GOOGLETRANSLATE(B942,""en"",""de"")"),"Objekt")</f>
        <v>Objekt</v>
      </c>
      <c r="H942" s="2" t="str">
        <f ca="1">IFERROR(__xludf.DUMMYFUNCTION("GOOGLETRANSLATE(B942,""en"",""zh"")"),"目的")</f>
        <v>目的</v>
      </c>
      <c r="I942" s="2" t="str">
        <f ca="1">IFERROR(__xludf.DUMMYFUNCTION("GOOGLETRANSLATE(B942,""en"",""gd"")"),"nì")</f>
        <v>nì</v>
      </c>
    </row>
    <row r="943" spans="1:9" ht="14.25" customHeight="1" x14ac:dyDescent="0.3">
      <c r="A943" s="2">
        <v>942</v>
      </c>
      <c r="B943" s="3" t="s">
        <v>950</v>
      </c>
      <c r="C943" s="2" t="str">
        <f ca="1">IFERROR(__xludf.DUMMYFUNCTION("GOOGLETRANSLATE(B943, ""en"",""es"")"),"mantener")</f>
        <v>mantener</v>
      </c>
      <c r="D943" s="2" t="str">
        <f ca="1">IFERROR(__xludf.DUMMYFUNCTION("GOOGLETRANSLATE(B943,""en"",""ig"")"),"ilekwa anya")</f>
        <v>ilekwa anya</v>
      </c>
      <c r="E943" s="2" t="str">
        <f ca="1">IFERROR(__xludf.DUMMYFUNCTION("GOOGLETRANSLATE(B943,""en"",""fr"")"),"maintenir")</f>
        <v>maintenir</v>
      </c>
      <c r="F943" s="2" t="str">
        <f ca="1">IFERROR(__xludf.DUMMYFUNCTION("GOOGLETRANSLATE(B943,""en"",""it"")"),"mantenere")</f>
        <v>mantenere</v>
      </c>
      <c r="G943" s="2" t="str">
        <f ca="1">IFERROR(__xludf.DUMMYFUNCTION("GOOGLETRANSLATE(B943,""en"",""de"")"),"pflegen")</f>
        <v>pflegen</v>
      </c>
      <c r="H943" s="2" t="str">
        <f ca="1">IFERROR(__xludf.DUMMYFUNCTION("GOOGLETRANSLATE(B943,""en"",""zh"")"),"维持")</f>
        <v>维持</v>
      </c>
      <c r="I943" s="2" t="str">
        <f ca="1">IFERROR(__xludf.DUMMYFUNCTION("GOOGLETRANSLATE(B943,""en"",""gd"")"),"cumail suas")</f>
        <v>cumail suas</v>
      </c>
    </row>
    <row r="944" spans="1:9" ht="14.25" customHeight="1" x14ac:dyDescent="0.3">
      <c r="A944" s="2">
        <v>943</v>
      </c>
      <c r="B944" s="3" t="s">
        <v>951</v>
      </c>
      <c r="C944" s="2" t="str">
        <f ca="1">IFERROR(__xludf.DUMMYFUNCTION("GOOGLETRANSLATE(B944, ""en"",""es"")"),"crédito")</f>
        <v>crédito</v>
      </c>
      <c r="D944" s="2" t="str">
        <f ca="1">IFERROR(__xludf.DUMMYFUNCTION("GOOGLETRANSLATE(B944,""en"",""ig"")"),"n'aka")</f>
        <v>n'aka</v>
      </c>
      <c r="E944" s="2" t="str">
        <f ca="1">IFERROR(__xludf.DUMMYFUNCTION("GOOGLETRANSLATE(B944,""en"",""fr"")"),"crédit")</f>
        <v>crédit</v>
      </c>
      <c r="F944" s="2" t="str">
        <f ca="1">IFERROR(__xludf.DUMMYFUNCTION("GOOGLETRANSLATE(B944,""en"",""it"")"),"credito")</f>
        <v>credito</v>
      </c>
      <c r="G944" s="2" t="str">
        <f ca="1">IFERROR(__xludf.DUMMYFUNCTION("GOOGLETRANSLATE(B944,""en"",""de"")"),"Kredit")</f>
        <v>Kredit</v>
      </c>
      <c r="H944" s="2" t="str">
        <f ca="1">IFERROR(__xludf.DUMMYFUNCTION("GOOGLETRANSLATE(B944,""en"",""zh"")"),"信用")</f>
        <v>信用</v>
      </c>
      <c r="I944" s="2" t="str">
        <f ca="1">IFERROR(__xludf.DUMMYFUNCTION("GOOGLETRANSLATE(B944,""en"",""gd"")"),"creideas")</f>
        <v>creideas</v>
      </c>
    </row>
    <row r="945" spans="1:9" ht="14.25" customHeight="1" x14ac:dyDescent="0.3">
      <c r="A945" s="2">
        <v>944</v>
      </c>
      <c r="B945" s="3" t="s">
        <v>952</v>
      </c>
      <c r="C945" s="2" t="str">
        <f ca="1">IFERROR(__xludf.DUMMYFUNCTION("GOOGLETRANSLATE(B945, ""en"",""es"")"),"anillo")</f>
        <v>anillo</v>
      </c>
      <c r="D945" s="2" t="str">
        <f ca="1">IFERROR(__xludf.DUMMYFUNCTION("GOOGLETRANSLATE(B945,""en"",""ig"")"),"igbaolaka")</f>
        <v>igbaolaka</v>
      </c>
      <c r="E945" s="2" t="str">
        <f ca="1">IFERROR(__xludf.DUMMYFUNCTION("GOOGLETRANSLATE(B945,""en"",""fr"")"),"anneau")</f>
        <v>anneau</v>
      </c>
      <c r="F945" s="2" t="str">
        <f ca="1">IFERROR(__xludf.DUMMYFUNCTION("GOOGLETRANSLATE(B945,""en"",""it"")"),"squillo")</f>
        <v>squillo</v>
      </c>
      <c r="G945" s="2" t="str">
        <f ca="1">IFERROR(__xludf.DUMMYFUNCTION("GOOGLETRANSLATE(B945,""en"",""de"")"),"Ring")</f>
        <v>Ring</v>
      </c>
      <c r="H945" s="2" t="str">
        <f ca="1">IFERROR(__xludf.DUMMYFUNCTION("GOOGLETRANSLATE(B945,""en"",""zh"")"),"戒指")</f>
        <v>戒指</v>
      </c>
      <c r="I945" s="2" t="str">
        <f ca="1">IFERROR(__xludf.DUMMYFUNCTION("GOOGLETRANSLATE(B945,""en"",""gd"")"),"Cearcall Cearcall")</f>
        <v>Cearcall Cearcall</v>
      </c>
    </row>
    <row r="946" spans="1:9" ht="14.25" customHeight="1" x14ac:dyDescent="0.3">
      <c r="A946" s="2">
        <v>945</v>
      </c>
      <c r="B946" s="3" t="s">
        <v>953</v>
      </c>
      <c r="C946" s="2" t="str">
        <f ca="1">IFERROR(__xludf.DUMMYFUNCTION("GOOGLETRANSLATE(B946, ""en"",""es"")"),"descubrir")</f>
        <v>descubrir</v>
      </c>
      <c r="D946" s="2" t="str">
        <f ca="1">IFERROR(__xludf.DUMMYFUNCTION("GOOGLETRANSLATE(B946,""en"",""ig"")"),"ichoputa")</f>
        <v>ichoputa</v>
      </c>
      <c r="E946" s="2" t="str">
        <f ca="1">IFERROR(__xludf.DUMMYFUNCTION("GOOGLETRANSLATE(B946,""en"",""fr"")"),"découvrir")</f>
        <v>découvrir</v>
      </c>
      <c r="F946" s="2" t="str">
        <f ca="1">IFERROR(__xludf.DUMMYFUNCTION("GOOGLETRANSLATE(B946,""en"",""it"")"),"scoprire")</f>
        <v>scoprire</v>
      </c>
      <c r="G946" s="2" t="str">
        <f ca="1">IFERROR(__xludf.DUMMYFUNCTION("GOOGLETRANSLATE(B946,""en"",""de"")"),"entdecken")</f>
        <v>entdecken</v>
      </c>
      <c r="H946" s="2" t="str">
        <f ca="1">IFERROR(__xludf.DUMMYFUNCTION("GOOGLETRANSLATE(B946,""en"",""zh"")"),"发现")</f>
        <v>发现</v>
      </c>
      <c r="I946" s="2" t="str">
        <f ca="1">IFERROR(__xludf.DUMMYFUNCTION("GOOGLETRANSLATE(B946,""en"",""gd"")"),"Faigh a-mach")</f>
        <v>Faigh a-mach</v>
      </c>
    </row>
    <row r="947" spans="1:9" ht="14.25" customHeight="1" x14ac:dyDescent="0.3">
      <c r="A947" s="2">
        <v>946</v>
      </c>
      <c r="B947" s="3" t="s">
        <v>954</v>
      </c>
      <c r="C947" s="2" t="str">
        <f ca="1">IFERROR(__xludf.DUMMYFUNCTION("GOOGLETRANSLATE(B947, ""en"",""es"")"),"muerto")</f>
        <v>muerto</v>
      </c>
      <c r="D947" s="2" t="str">
        <f ca="1">IFERROR(__xludf.DUMMYFUNCTION("GOOGLETRANSLATE(B947,""en"",""ig"")"),"onwu")</f>
        <v>onwu</v>
      </c>
      <c r="E947" s="2" t="str">
        <f ca="1">IFERROR(__xludf.DUMMYFUNCTION("GOOGLETRANSLATE(B947,""en"",""fr"")"),"mort")</f>
        <v>mort</v>
      </c>
      <c r="F947" s="2" t="str">
        <f ca="1">IFERROR(__xludf.DUMMYFUNCTION("GOOGLETRANSLATE(B947,""en"",""it"")"),"morto")</f>
        <v>morto</v>
      </c>
      <c r="G947" s="2" t="str">
        <f ca="1">IFERROR(__xludf.DUMMYFUNCTION("GOOGLETRANSLATE(B947,""en"",""de"")"),"tot")</f>
        <v>tot</v>
      </c>
      <c r="H947" s="2" t="str">
        <f ca="1">IFERROR(__xludf.DUMMYFUNCTION("GOOGLETRANSLATE(B947,""en"",""zh"")"),"死的")</f>
        <v>死的</v>
      </c>
      <c r="I947" s="2" t="str">
        <f ca="1">IFERROR(__xludf.DUMMYFUNCTION("GOOGLETRANSLATE(B947,""en"",""gd"")"),"marbh")</f>
        <v>marbh</v>
      </c>
    </row>
    <row r="948" spans="1:9" ht="14.25" customHeight="1" x14ac:dyDescent="0.3">
      <c r="A948" s="2">
        <v>947</v>
      </c>
      <c r="B948" s="3" t="s">
        <v>955</v>
      </c>
      <c r="C948" s="2" t="str">
        <f ca="1">IFERROR(__xludf.DUMMYFUNCTION("GOOGLETRANSLATE(B948, ""en"",""es"")"),"tarde")</f>
        <v>tarde</v>
      </c>
      <c r="D948" s="2" t="str">
        <f ca="1">IFERROR(__xludf.DUMMYFUNCTION("GOOGLETRANSLATE(B948,""en"",""ig"")"),"ehihi")</f>
        <v>ehihi</v>
      </c>
      <c r="E948" s="2" t="str">
        <f ca="1">IFERROR(__xludf.DUMMYFUNCTION("GOOGLETRANSLATE(B948,""en"",""fr"")"),"après-midi")</f>
        <v>après-midi</v>
      </c>
      <c r="F948" s="2" t="str">
        <f ca="1">IFERROR(__xludf.DUMMYFUNCTION("GOOGLETRANSLATE(B948,""en"",""it"")"),"pomeriggio")</f>
        <v>pomeriggio</v>
      </c>
      <c r="G948" s="2" t="str">
        <f ca="1">IFERROR(__xludf.DUMMYFUNCTION("GOOGLETRANSLATE(B948,""en"",""de"")"),"Nachmittag")</f>
        <v>Nachmittag</v>
      </c>
      <c r="H948" s="2" t="str">
        <f ca="1">IFERROR(__xludf.DUMMYFUNCTION("GOOGLETRANSLATE(B948,""en"",""zh"")"),"下午")</f>
        <v>下午</v>
      </c>
      <c r="I948" s="2" t="str">
        <f ca="1">IFERROR(__xludf.DUMMYFUNCTION("GOOGLETRANSLATE(B948,""en"",""gd"")"),"feasgar")</f>
        <v>feasgar</v>
      </c>
    </row>
    <row r="949" spans="1:9" ht="14.25" customHeight="1" x14ac:dyDescent="0.3">
      <c r="A949" s="2">
        <v>948</v>
      </c>
      <c r="B949" s="3" t="s">
        <v>956</v>
      </c>
      <c r="C949" s="2" t="str">
        <f ca="1">IFERROR(__xludf.DUMMYFUNCTION("GOOGLETRANSLATE(B949, ""en"",""es"")"),"preferir")</f>
        <v>preferir</v>
      </c>
      <c r="D949" s="2" t="str">
        <f ca="1">IFERROR(__xludf.DUMMYFUNCTION("GOOGLETRANSLATE(B949,""en"",""ig"")"),"choo karia")</f>
        <v>choo karia</v>
      </c>
      <c r="E949" s="2" t="str">
        <f ca="1">IFERROR(__xludf.DUMMYFUNCTION("GOOGLETRANSLATE(B949,""en"",""fr"")"),"préférer")</f>
        <v>préférer</v>
      </c>
      <c r="F949" s="2" t="str">
        <f ca="1">IFERROR(__xludf.DUMMYFUNCTION("GOOGLETRANSLATE(B949,""en"",""it"")"),"preferire")</f>
        <v>preferire</v>
      </c>
      <c r="G949" s="2" t="str">
        <f ca="1">IFERROR(__xludf.DUMMYFUNCTION("GOOGLETRANSLATE(B949,""en"",""de"")"),"bevorzugen")</f>
        <v>bevorzugen</v>
      </c>
      <c r="H949" s="2" t="str">
        <f ca="1">IFERROR(__xludf.DUMMYFUNCTION("GOOGLETRANSLATE(B949,""en"",""zh"")"),"更喜欢")</f>
        <v>更喜欢</v>
      </c>
      <c r="I949" s="2" t="str">
        <f ca="1">IFERROR(__xludf.DUMMYFUNCTION("GOOGLETRANSLATE(B949,""en"",""gd"")"),"B 'fheàrr leam")</f>
        <v>B 'fheàrr leam</v>
      </c>
    </row>
    <row r="950" spans="1:9" ht="14.25" customHeight="1" x14ac:dyDescent="0.3">
      <c r="A950" s="2">
        <v>949</v>
      </c>
      <c r="B950" s="3" t="s">
        <v>957</v>
      </c>
      <c r="C950" s="2" t="str">
        <f ca="1">IFERROR(__xludf.DUMMYFUNCTION("GOOGLETRANSLATE(B950, ""en"",""es"")"),"extender")</f>
        <v>extender</v>
      </c>
      <c r="D950" s="2" t="str">
        <f ca="1">IFERROR(__xludf.DUMMYFUNCTION("GOOGLETRANSLATE(B950,""en"",""ig"")"),"igbati")</f>
        <v>igbati</v>
      </c>
      <c r="E950" s="2" t="str">
        <f ca="1">IFERROR(__xludf.DUMMYFUNCTION("GOOGLETRANSLATE(B950,""en"",""fr"")"),"étendre")</f>
        <v>étendre</v>
      </c>
      <c r="F950" s="2" t="str">
        <f ca="1">IFERROR(__xludf.DUMMYFUNCTION("GOOGLETRANSLATE(B950,""en"",""it"")"),"estendere")</f>
        <v>estendere</v>
      </c>
      <c r="G950" s="2" t="str">
        <f ca="1">IFERROR(__xludf.DUMMYFUNCTION("GOOGLETRANSLATE(B950,""en"",""de"")"),"verlängern")</f>
        <v>verlängern</v>
      </c>
      <c r="H950" s="2" t="str">
        <f ca="1">IFERROR(__xludf.DUMMYFUNCTION("GOOGLETRANSLATE(B950,""en"",""zh"")"),"延长")</f>
        <v>延长</v>
      </c>
      <c r="I950" s="2" t="str">
        <f ca="1">IFERROR(__xludf.DUMMYFUNCTION("GOOGLETRANSLATE(B950,""en"",""gd"")"),"leudachadh")</f>
        <v>leudachadh</v>
      </c>
    </row>
    <row r="951" spans="1:9" ht="14.25" customHeight="1" x14ac:dyDescent="0.3">
      <c r="A951" s="2">
        <v>950</v>
      </c>
      <c r="B951" s="3" t="s">
        <v>958</v>
      </c>
      <c r="C951" s="2" t="str">
        <f ca="1">IFERROR(__xludf.DUMMYFUNCTION("GOOGLETRANSLATE(B951, ""en"",""es"")"),"posibilidad")</f>
        <v>posibilidad</v>
      </c>
      <c r="D951" s="2" t="str">
        <f ca="1">IFERROR(__xludf.DUMMYFUNCTION("GOOGLETRANSLATE(B951,""en"",""ig"")"),"ihe puru omume")</f>
        <v>ihe puru omume</v>
      </c>
      <c r="E951" s="2" t="str">
        <f ca="1">IFERROR(__xludf.DUMMYFUNCTION("GOOGLETRANSLATE(B951,""en"",""fr"")"),"possibilité")</f>
        <v>possibilité</v>
      </c>
      <c r="F951" s="2" t="str">
        <f ca="1">IFERROR(__xludf.DUMMYFUNCTION("GOOGLETRANSLATE(B951,""en"",""it"")"),"possibilità")</f>
        <v>possibilità</v>
      </c>
      <c r="G951" s="2" t="str">
        <f ca="1">IFERROR(__xludf.DUMMYFUNCTION("GOOGLETRANSLATE(B951,""en"",""de"")"),"Wahrscheinlichkeit")</f>
        <v>Wahrscheinlichkeit</v>
      </c>
      <c r="H951" s="2" t="str">
        <f ca="1">IFERROR(__xludf.DUMMYFUNCTION("GOOGLETRANSLATE(B951,""en"",""zh"")"),"可能性")</f>
        <v>可能性</v>
      </c>
      <c r="I951" s="2" t="str">
        <f ca="1">IFERROR(__xludf.DUMMYFUNCTION("GOOGLETRANSLATE(B951,""en"",""gd"")"),"comas")</f>
        <v>comas</v>
      </c>
    </row>
    <row r="952" spans="1:9" ht="14.25" customHeight="1" x14ac:dyDescent="0.3">
      <c r="A952" s="2">
        <v>951</v>
      </c>
      <c r="B952" s="3" t="s">
        <v>959</v>
      </c>
      <c r="C952" s="2" t="str">
        <f ca="1">IFERROR(__xludf.DUMMYFUNCTION("GOOGLETRANSLATE(B952, ""en"",""es"")"),"dirección")</f>
        <v>dirección</v>
      </c>
      <c r="D952" s="2" t="str">
        <f ca="1">IFERROR(__xludf.DUMMYFUNCTION("GOOGLETRANSLATE(B952,""en"",""ig"")"),"uzo")</f>
        <v>uzo</v>
      </c>
      <c r="E952" s="2" t="str">
        <f ca="1">IFERROR(__xludf.DUMMYFUNCTION("GOOGLETRANSLATE(B952,""en"",""fr"")"),"direction")</f>
        <v>direction</v>
      </c>
      <c r="F952" s="2" t="str">
        <f ca="1">IFERROR(__xludf.DUMMYFUNCTION("GOOGLETRANSLATE(B952,""en"",""it"")"),"direzione")</f>
        <v>direzione</v>
      </c>
      <c r="G952" s="2" t="str">
        <f ca="1">IFERROR(__xludf.DUMMYFUNCTION("GOOGLETRANSLATE(B952,""en"",""de"")"),"Richtung")</f>
        <v>Richtung</v>
      </c>
      <c r="H952" s="2" t="str">
        <f ca="1">IFERROR(__xludf.DUMMYFUNCTION("GOOGLETRANSLATE(B952,""en"",""zh"")"),"方向")</f>
        <v>方向</v>
      </c>
      <c r="I952" s="2" t="str">
        <f ca="1">IFERROR(__xludf.DUMMYFUNCTION("GOOGLETRANSLATE(B952,""en"",""gd"")"),"stiùireadh")</f>
        <v>stiùireadh</v>
      </c>
    </row>
    <row r="953" spans="1:9" ht="14.25" customHeight="1" x14ac:dyDescent="0.3">
      <c r="A953" s="2">
        <v>952</v>
      </c>
      <c r="B953" s="3" t="s">
        <v>960</v>
      </c>
      <c r="C953" s="2" t="str">
        <f ca="1">IFERROR(__xludf.DUMMYFUNCTION("GOOGLETRANSLATE(B953, ""en"",""es"")"),"instalación")</f>
        <v>instalación</v>
      </c>
      <c r="D953" s="2" t="str">
        <f ca="1">IFERROR(__xludf.DUMMYFUNCTION("GOOGLETRANSLATE(B953,""en"",""ig"")"),"ebe oru")</f>
        <v>ebe oru</v>
      </c>
      <c r="E953" s="2" t="str">
        <f ca="1">IFERROR(__xludf.DUMMYFUNCTION("GOOGLETRANSLATE(B953,""en"",""fr"")"),"facilité")</f>
        <v>facilité</v>
      </c>
      <c r="F953" s="2" t="str">
        <f ca="1">IFERROR(__xludf.DUMMYFUNCTION("GOOGLETRANSLATE(B953,""en"",""it"")"),"facilità")</f>
        <v>facilità</v>
      </c>
      <c r="G953" s="2" t="str">
        <f ca="1">IFERROR(__xludf.DUMMYFUNCTION("GOOGLETRANSLATE(B953,""en"",""de"")"),"Einrichtung")</f>
        <v>Einrichtung</v>
      </c>
      <c r="H953" s="2" t="str">
        <f ca="1">IFERROR(__xludf.DUMMYFUNCTION("GOOGLETRANSLATE(B953,""en"",""zh"")"),"设施")</f>
        <v>设施</v>
      </c>
      <c r="I953" s="2" t="str">
        <f ca="1">IFERROR(__xludf.DUMMYFUNCTION("GOOGLETRANSLATE(B953,""en"",""gd"")"),"Goireas")</f>
        <v>Goireas</v>
      </c>
    </row>
    <row r="954" spans="1:9" ht="14.25" customHeight="1" x14ac:dyDescent="0.3">
      <c r="A954" s="2">
        <v>953</v>
      </c>
      <c r="B954" s="3" t="s">
        <v>961</v>
      </c>
      <c r="C954" s="2" t="str">
        <f ca="1">IFERROR(__xludf.DUMMYFUNCTION("GOOGLETRANSLATE(B954, ""en"",""es"")"),"variedad")</f>
        <v>variedad</v>
      </c>
      <c r="D954" s="2" t="str">
        <f ca="1">IFERROR(__xludf.DUMMYFUNCTION("GOOGLETRANSLATE(B954,""en"",""ig"")"),"mgwaghari")</f>
        <v>mgwaghari</v>
      </c>
      <c r="E954" s="2" t="str">
        <f ca="1">IFERROR(__xludf.DUMMYFUNCTION("GOOGLETRANSLATE(B954,""en"",""fr"")"),"variété")</f>
        <v>variété</v>
      </c>
      <c r="F954" s="2" t="str">
        <f ca="1">IFERROR(__xludf.DUMMYFUNCTION("GOOGLETRANSLATE(B954,""en"",""it"")"),"varietà")</f>
        <v>varietà</v>
      </c>
      <c r="G954" s="2" t="str">
        <f ca="1">IFERROR(__xludf.DUMMYFUNCTION("GOOGLETRANSLATE(B954,""en"",""de"")"),"Vielfalt")</f>
        <v>Vielfalt</v>
      </c>
      <c r="H954" s="2" t="str">
        <f ca="1">IFERROR(__xludf.DUMMYFUNCTION("GOOGLETRANSLATE(B954,""en"",""zh"")"),"种类")</f>
        <v>种类</v>
      </c>
      <c r="I954" s="2" t="str">
        <f ca="1">IFERROR(__xludf.DUMMYFUNCTION("GOOGLETRANSLATE(B954,""en"",""gd"")"),"measgachadh")</f>
        <v>measgachadh</v>
      </c>
    </row>
    <row r="955" spans="1:9" ht="14.25" customHeight="1" x14ac:dyDescent="0.3">
      <c r="A955" s="2">
        <v>954</v>
      </c>
      <c r="B955" s="3" t="s">
        <v>962</v>
      </c>
      <c r="C955" s="2" t="str">
        <f ca="1">IFERROR(__xludf.DUMMYFUNCTION("GOOGLETRANSLATE(B955, ""en"",""es"")"),"a diario")</f>
        <v>a diario</v>
      </c>
      <c r="D955" s="2" t="str">
        <f ca="1">IFERROR(__xludf.DUMMYFUNCTION("GOOGLETRANSLATE(B955,""en"",""ig"")"),"ubochi dum")</f>
        <v>ubochi dum</v>
      </c>
      <c r="E955" s="2" t="str">
        <f ca="1">IFERROR(__xludf.DUMMYFUNCTION("GOOGLETRANSLATE(B955,""en"",""fr"")"),"tous les jours")</f>
        <v>tous les jours</v>
      </c>
      <c r="F955" s="2" t="str">
        <f ca="1">IFERROR(__xludf.DUMMYFUNCTION("GOOGLETRANSLATE(B955,""en"",""it"")"),"quotidiano")</f>
        <v>quotidiano</v>
      </c>
      <c r="G955" s="2" t="str">
        <f ca="1">IFERROR(__xludf.DUMMYFUNCTION("GOOGLETRANSLATE(B955,""en"",""de"")"),"täglich")</f>
        <v>täglich</v>
      </c>
      <c r="H955" s="2" t="str">
        <f ca="1">IFERROR(__xludf.DUMMYFUNCTION("GOOGLETRANSLATE(B955,""en"",""zh"")"),"日常的")</f>
        <v>日常的</v>
      </c>
      <c r="I955" s="2" t="str">
        <f ca="1">IFERROR(__xludf.DUMMYFUNCTION("GOOGLETRANSLATE(B955,""en"",""gd"")"),"gach latha")</f>
        <v>gach latha</v>
      </c>
    </row>
    <row r="956" spans="1:9" ht="14.25" customHeight="1" x14ac:dyDescent="0.3">
      <c r="A956" s="2">
        <v>955</v>
      </c>
      <c r="B956" s="3" t="s">
        <v>963</v>
      </c>
      <c r="C956" s="2" t="str">
        <f ca="1">IFERROR(__xludf.DUMMYFUNCTION("GOOGLETRANSLATE(B956, ""en"",""es"")"),"ropa")</f>
        <v>ropa</v>
      </c>
      <c r="D956" s="2" t="str">
        <f ca="1">IFERROR(__xludf.DUMMYFUNCTION("GOOGLETRANSLATE(B956,""en"",""ig"")"),"akwa")</f>
        <v>akwa</v>
      </c>
      <c r="E956" s="2" t="str">
        <f ca="1">IFERROR(__xludf.DUMMYFUNCTION("GOOGLETRANSLATE(B956,""en"",""fr"")"),"vêtements")</f>
        <v>vêtements</v>
      </c>
      <c r="F956" s="2" t="str">
        <f ca="1">IFERROR(__xludf.DUMMYFUNCTION("GOOGLETRANSLATE(B956,""en"",""it"")"),"vestiti")</f>
        <v>vestiti</v>
      </c>
      <c r="G956" s="2" t="str">
        <f ca="1">IFERROR(__xludf.DUMMYFUNCTION("GOOGLETRANSLATE(B956,""en"",""de"")"),"Kleidung")</f>
        <v>Kleidung</v>
      </c>
      <c r="H956" s="2" t="str">
        <f ca="1">IFERROR(__xludf.DUMMYFUNCTION("GOOGLETRANSLATE(B956,""en"",""zh"")"),"衣服")</f>
        <v>衣服</v>
      </c>
      <c r="I956" s="2" t="str">
        <f ca="1">IFERROR(__xludf.DUMMYFUNCTION("GOOGLETRANSLATE(B956,""en"",""gd"")"),"aodach")</f>
        <v>aodach</v>
      </c>
    </row>
    <row r="957" spans="1:9" ht="14.25" customHeight="1" x14ac:dyDescent="0.3">
      <c r="A957" s="2">
        <v>956</v>
      </c>
      <c r="B957" s="3" t="s">
        <v>964</v>
      </c>
      <c r="C957" s="2" t="str">
        <f ca="1">IFERROR(__xludf.DUMMYFUNCTION("GOOGLETRANSLATE(B957, ""en"",""es"")"),"pantalla")</f>
        <v>pantalla</v>
      </c>
      <c r="D957" s="2" t="str">
        <f ca="1">IFERROR(__xludf.DUMMYFUNCTION("GOOGLETRANSLATE(B957,""en"",""ig"")"),"sikreen")</f>
        <v>sikreen</v>
      </c>
      <c r="E957" s="2" t="str">
        <f ca="1">IFERROR(__xludf.DUMMYFUNCTION("GOOGLETRANSLATE(B957,""en"",""fr"")"),"écran")</f>
        <v>écran</v>
      </c>
      <c r="F957" s="2" t="str">
        <f ca="1">IFERROR(__xludf.DUMMYFUNCTION("GOOGLETRANSLATE(B957,""en"",""it"")"),"schermo")</f>
        <v>schermo</v>
      </c>
      <c r="G957" s="2" t="str">
        <f ca="1">IFERROR(__xludf.DUMMYFUNCTION("GOOGLETRANSLATE(B957,""en"",""de"")"),"Bildschirm")</f>
        <v>Bildschirm</v>
      </c>
      <c r="H957" s="2" t="str">
        <f ca="1">IFERROR(__xludf.DUMMYFUNCTION("GOOGLETRANSLATE(B957,""en"",""zh"")"),"屏幕")</f>
        <v>屏幕</v>
      </c>
      <c r="I957" s="2" t="str">
        <f ca="1">IFERROR(__xludf.DUMMYFUNCTION("GOOGLETRANSLATE(B957,""en"",""gd"")"),"Sgrion")</f>
        <v>Sgrion</v>
      </c>
    </row>
    <row r="958" spans="1:9" ht="14.25" customHeight="1" x14ac:dyDescent="0.3">
      <c r="A958" s="2">
        <v>957</v>
      </c>
      <c r="B958" s="3" t="s">
        <v>965</v>
      </c>
      <c r="C958" s="2" t="str">
        <f ca="1">IFERROR(__xludf.DUMMYFUNCTION("GOOGLETRANSLATE(B958, ""en"",""es"")"),"pista")</f>
        <v>pista</v>
      </c>
      <c r="D958" s="2" t="str">
        <f ca="1">IFERROR(__xludf.DUMMYFUNCTION("GOOGLETRANSLATE(B958,""en"",""ig"")"),"trakt")</f>
        <v>trakt</v>
      </c>
      <c r="E958" s="2" t="str">
        <f ca="1">IFERROR(__xludf.DUMMYFUNCTION("GOOGLETRANSLATE(B958,""en"",""fr"")"),"piste")</f>
        <v>piste</v>
      </c>
      <c r="F958" s="2" t="str">
        <f ca="1">IFERROR(__xludf.DUMMYFUNCTION("GOOGLETRANSLATE(B958,""en"",""it"")"),"traccia")</f>
        <v>traccia</v>
      </c>
      <c r="G958" s="2" t="str">
        <f ca="1">IFERROR(__xludf.DUMMYFUNCTION("GOOGLETRANSLATE(B958,""en"",""de"")"),"Schiene")</f>
        <v>Schiene</v>
      </c>
      <c r="H958" s="2" t="str">
        <f ca="1">IFERROR(__xludf.DUMMYFUNCTION("GOOGLETRANSLATE(B958,""en"",""zh"")"),"追踪")</f>
        <v>追踪</v>
      </c>
      <c r="I958" s="2" t="str">
        <f ca="1">IFERROR(__xludf.DUMMYFUNCTION("GOOGLETRANSLATE(B958,""en"",""gd"")"),"Rian")</f>
        <v>Rian</v>
      </c>
    </row>
    <row r="959" spans="1:9" ht="14.25" customHeight="1" x14ac:dyDescent="0.3">
      <c r="A959" s="2">
        <v>958</v>
      </c>
      <c r="B959" s="3" t="s">
        <v>966</v>
      </c>
      <c r="C959" s="2" t="str">
        <f ca="1">IFERROR(__xludf.DUMMYFUNCTION("GOOGLETRANSLATE(B959, ""en"",""es"")"),"bailar")</f>
        <v>bailar</v>
      </c>
      <c r="D959" s="2" t="str">
        <f ca="1">IFERROR(__xludf.DUMMYFUNCTION("GOOGLETRANSLATE(B959,""en"",""ig"")"),"egwu")</f>
        <v>egwu</v>
      </c>
      <c r="E959" s="2" t="str">
        <f ca="1">IFERROR(__xludf.DUMMYFUNCTION("GOOGLETRANSLATE(B959,""en"",""fr"")"),"danse")</f>
        <v>danse</v>
      </c>
      <c r="F959" s="2" t="str">
        <f ca="1">IFERROR(__xludf.DUMMYFUNCTION("GOOGLETRANSLATE(B959,""en"",""it"")"),"danza")</f>
        <v>danza</v>
      </c>
      <c r="G959" s="2" t="str">
        <f ca="1">IFERROR(__xludf.DUMMYFUNCTION("GOOGLETRANSLATE(B959,""en"",""de"")"),"tanzen")</f>
        <v>tanzen</v>
      </c>
      <c r="H959" s="2" t="str">
        <f ca="1">IFERROR(__xludf.DUMMYFUNCTION("GOOGLETRANSLATE(B959,""en"",""zh"")"),"舞蹈")</f>
        <v>舞蹈</v>
      </c>
      <c r="I959" s="2" t="str">
        <f ca="1">IFERROR(__xludf.DUMMYFUNCTION("GOOGLETRANSLATE(B959,""en"",""gd"")"),"Dannsa")</f>
        <v>Dannsa</v>
      </c>
    </row>
    <row r="960" spans="1:9" ht="14.25" customHeight="1" x14ac:dyDescent="0.3">
      <c r="A960" s="2">
        <v>959</v>
      </c>
      <c r="B960" s="3" t="s">
        <v>967</v>
      </c>
      <c r="C960" s="2" t="str">
        <f ca="1">IFERROR(__xludf.DUMMYFUNCTION("GOOGLETRANSLATE(B960, ""en"",""es"")"),"completamente")</f>
        <v>completamente</v>
      </c>
      <c r="D960" s="2" t="str">
        <f ca="1">IFERROR(__xludf.DUMMYFUNCTION("GOOGLETRANSLATE(B960,""en"",""ig"")"),"kpamkpam")</f>
        <v>kpamkpam</v>
      </c>
      <c r="E960" s="2" t="str">
        <f ca="1">IFERROR(__xludf.DUMMYFUNCTION("GOOGLETRANSLATE(B960,""en"",""fr"")"),"complètement")</f>
        <v>complètement</v>
      </c>
      <c r="F960" s="2" t="str">
        <f ca="1">IFERROR(__xludf.DUMMYFUNCTION("GOOGLETRANSLATE(B960,""en"",""it"")"),"completamente")</f>
        <v>completamente</v>
      </c>
      <c r="G960" s="2" t="str">
        <f ca="1">IFERROR(__xludf.DUMMYFUNCTION("GOOGLETRANSLATE(B960,""en"",""de"")"),"vollständig")</f>
        <v>vollständig</v>
      </c>
      <c r="H960" s="2" t="str">
        <f ca="1">IFERROR(__xludf.DUMMYFUNCTION("GOOGLETRANSLATE(B960,""en"",""zh"")"),"完全地")</f>
        <v>完全地</v>
      </c>
      <c r="I960" s="2" t="str">
        <f ca="1">IFERROR(__xludf.DUMMYFUNCTION("GOOGLETRANSLATE(B960,""en"",""gd"")"),"gu tur")</f>
        <v>gu tur</v>
      </c>
    </row>
    <row r="961" spans="1:9" ht="14.25" customHeight="1" x14ac:dyDescent="0.3">
      <c r="A961" s="2">
        <v>960</v>
      </c>
      <c r="B961" s="3" t="s">
        <v>968</v>
      </c>
      <c r="C961" s="2" t="str">
        <f ca="1">IFERROR(__xludf.DUMMYFUNCTION("GOOGLETRANSLATE(B961, ""en"",""es"")"),"femenino")</f>
        <v>femenino</v>
      </c>
      <c r="D961" s="2" t="str">
        <f ca="1">IFERROR(__xludf.DUMMYFUNCTION("GOOGLETRANSLATE(B961,""en"",""ig"")"),"kenwaanyi")</f>
        <v>kenwaanyi</v>
      </c>
      <c r="E961" s="2" t="str">
        <f ca="1">IFERROR(__xludf.DUMMYFUNCTION("GOOGLETRANSLATE(B961,""en"",""fr"")"),"femelle")</f>
        <v>femelle</v>
      </c>
      <c r="F961" s="2" t="str">
        <f ca="1">IFERROR(__xludf.DUMMYFUNCTION("GOOGLETRANSLATE(B961,""en"",""it"")"),"femmina")</f>
        <v>femmina</v>
      </c>
      <c r="G961" s="2" t="str">
        <f ca="1">IFERROR(__xludf.DUMMYFUNCTION("GOOGLETRANSLATE(B961,""en"",""de"")"),"weiblich")</f>
        <v>weiblich</v>
      </c>
      <c r="H961" s="2" t="str">
        <f ca="1">IFERROR(__xludf.DUMMYFUNCTION("GOOGLETRANSLATE(B961,""en"",""zh"")"),"女性")</f>
        <v>女性</v>
      </c>
      <c r="I961" s="2" t="str">
        <f ca="1">IFERROR(__xludf.DUMMYFUNCTION("GOOGLETRANSLATE(B961,""en"",""gd"")"),"boireann")</f>
        <v>boireann</v>
      </c>
    </row>
    <row r="962" spans="1:9" ht="14.25" customHeight="1" x14ac:dyDescent="0.3">
      <c r="A962" s="2">
        <v>961</v>
      </c>
      <c r="B962" s="3" t="s">
        <v>969</v>
      </c>
      <c r="C962" s="2" t="str">
        <f ca="1">IFERROR(__xludf.DUMMYFUNCTION("GOOGLETRANSLATE(B962, ""en"",""es"")"),"responsabilidad")</f>
        <v>responsabilidad</v>
      </c>
      <c r="D962" s="2" t="str">
        <f ca="1">IFERROR(__xludf.DUMMYFUNCTION("GOOGLETRANSLATE(B962,""en"",""ig"")"),"okwa inwalee")</f>
        <v>okwa inwalee</v>
      </c>
      <c r="E962" s="2" t="str">
        <f ca="1">IFERROR(__xludf.DUMMYFUNCTION("GOOGLETRANSLATE(B962,""en"",""fr"")"),"responsabilité")</f>
        <v>responsabilité</v>
      </c>
      <c r="F962" s="2" t="str">
        <f ca="1">IFERROR(__xludf.DUMMYFUNCTION("GOOGLETRANSLATE(B962,""en"",""it"")"),"responsabilità")</f>
        <v>responsabilità</v>
      </c>
      <c r="G962" s="2" t="str">
        <f ca="1">IFERROR(__xludf.DUMMYFUNCTION("GOOGLETRANSLATE(B962,""en"",""de"")"),"Verantwortung")</f>
        <v>Verantwortung</v>
      </c>
      <c r="H962" s="2" t="str">
        <f ca="1">IFERROR(__xludf.DUMMYFUNCTION("GOOGLETRANSLATE(B962,""en"",""zh"")"),"责任")</f>
        <v>责任</v>
      </c>
      <c r="I962" s="2" t="str">
        <f ca="1">IFERROR(__xludf.DUMMYFUNCTION("GOOGLETRANSLATE(B962,""en"",""gd"")"),"Uallach")</f>
        <v>Uallach</v>
      </c>
    </row>
    <row r="963" spans="1:9" ht="14.25" customHeight="1" x14ac:dyDescent="0.3">
      <c r="A963" s="2">
        <v>962</v>
      </c>
      <c r="B963" s="3" t="s">
        <v>970</v>
      </c>
      <c r="C963" s="2" t="str">
        <f ca="1">IFERROR(__xludf.DUMMYFUNCTION("GOOGLETRANSLATE(B963, ""en"",""es"")"),"original")</f>
        <v>original</v>
      </c>
      <c r="D963" s="2" t="str">
        <f ca="1">IFERROR(__xludf.DUMMYFUNCTION("GOOGLETRANSLATE(B963,""en"",""ig"")"),"nke mbido")</f>
        <v>nke mbido</v>
      </c>
      <c r="E963" s="2" t="str">
        <f ca="1">IFERROR(__xludf.DUMMYFUNCTION("GOOGLETRANSLATE(B963,""en"",""fr"")"),"original")</f>
        <v>original</v>
      </c>
      <c r="F963" s="2" t="str">
        <f ca="1">IFERROR(__xludf.DUMMYFUNCTION("GOOGLETRANSLATE(B963,""en"",""it"")"),"originale")</f>
        <v>originale</v>
      </c>
      <c r="G963" s="2" t="str">
        <f ca="1">IFERROR(__xludf.DUMMYFUNCTION("GOOGLETRANSLATE(B963,""en"",""de"")"),"Original")</f>
        <v>Original</v>
      </c>
      <c r="H963" s="2" t="str">
        <f ca="1">IFERROR(__xludf.DUMMYFUNCTION("GOOGLETRANSLATE(B963,""en"",""zh"")"),"原来的")</f>
        <v>原来的</v>
      </c>
      <c r="I963" s="2" t="str">
        <f ca="1">IFERROR(__xludf.DUMMYFUNCTION("GOOGLETRANSLATE(B963,""en"",""gd"")"),"tùsail")</f>
        <v>tùsail</v>
      </c>
    </row>
    <row r="964" spans="1:9" ht="14.25" customHeight="1" x14ac:dyDescent="0.3">
      <c r="A964" s="2">
        <v>963</v>
      </c>
      <c r="B964" s="3" t="s">
        <v>971</v>
      </c>
      <c r="C964" s="2" t="str">
        <f ca="1">IFERROR(__xludf.DUMMYFUNCTION("GOOGLETRANSLATE(B964, ""en"",""es"")"),"hermana")</f>
        <v>hermana</v>
      </c>
      <c r="D964" s="2" t="str">
        <f ca="1">IFERROR(__xludf.DUMMYFUNCTION("GOOGLETRANSLATE(B964,""en"",""ig"")"),"nwannenwaanyi")</f>
        <v>nwannenwaanyi</v>
      </c>
      <c r="E964" s="2" t="str">
        <f ca="1">IFERROR(__xludf.DUMMYFUNCTION("GOOGLETRANSLATE(B964,""en"",""fr"")"),"sœur")</f>
        <v>sœur</v>
      </c>
      <c r="F964" s="2" t="str">
        <f ca="1">IFERROR(__xludf.DUMMYFUNCTION("GOOGLETRANSLATE(B964,""en"",""it"")"),"sorella")</f>
        <v>sorella</v>
      </c>
      <c r="G964" s="2" t="str">
        <f ca="1">IFERROR(__xludf.DUMMYFUNCTION("GOOGLETRANSLATE(B964,""en"",""de"")"),"Schwester")</f>
        <v>Schwester</v>
      </c>
      <c r="H964" s="2" t="str">
        <f ca="1">IFERROR(__xludf.DUMMYFUNCTION("GOOGLETRANSLATE(B964,""en"",""zh"")"),"姐姐")</f>
        <v>姐姐</v>
      </c>
      <c r="I964" s="2" t="str">
        <f ca="1">IFERROR(__xludf.DUMMYFUNCTION("GOOGLETRANSLATE(B964,""en"",""gd"")"),"piuthar")</f>
        <v>piuthar</v>
      </c>
    </row>
    <row r="965" spans="1:9" ht="14.25" customHeight="1" x14ac:dyDescent="0.3">
      <c r="A965" s="2">
        <v>964</v>
      </c>
      <c r="B965" s="3" t="s">
        <v>972</v>
      </c>
      <c r="C965" s="2" t="str">
        <f ca="1">IFERROR(__xludf.DUMMYFUNCTION("GOOGLETRANSLATE(B965, ""en"",""es"")"),"roca")</f>
        <v>roca</v>
      </c>
      <c r="D965" s="2" t="str">
        <f ca="1">IFERROR(__xludf.DUMMYFUNCTION("GOOGLETRANSLATE(B965,""en"",""ig"")"),"okute")</f>
        <v>okute</v>
      </c>
      <c r="E965" s="2" t="str">
        <f ca="1">IFERROR(__xludf.DUMMYFUNCTION("GOOGLETRANSLATE(B965,""en"",""fr"")"),"rocher")</f>
        <v>rocher</v>
      </c>
      <c r="F965" s="2" t="str">
        <f ca="1">IFERROR(__xludf.DUMMYFUNCTION("GOOGLETRANSLATE(B965,""en"",""it"")"),"roccia")</f>
        <v>roccia</v>
      </c>
      <c r="G965" s="2" t="str">
        <f ca="1">IFERROR(__xludf.DUMMYFUNCTION("GOOGLETRANSLATE(B965,""en"",""de"")"),"Felsen")</f>
        <v>Felsen</v>
      </c>
      <c r="H965" s="2" t="str">
        <f ca="1">IFERROR(__xludf.DUMMYFUNCTION("GOOGLETRANSLATE(B965,""en"",""zh"")"),"岩石")</f>
        <v>岩石</v>
      </c>
      <c r="I965" s="2" t="str">
        <f ca="1">IFERROR(__xludf.DUMMYFUNCTION("GOOGLETRANSLATE(B965,""en"",""gd"")"),"Creag")</f>
        <v>Creag</v>
      </c>
    </row>
    <row r="966" spans="1:9" ht="14.25" customHeight="1" x14ac:dyDescent="0.3">
      <c r="A966" s="2">
        <v>965</v>
      </c>
      <c r="B966" s="3" t="s">
        <v>973</v>
      </c>
      <c r="C966" s="2" t="str">
        <f ca="1">IFERROR(__xludf.DUMMYFUNCTION("GOOGLETRANSLATE(B966, ""en"",""es"")"),"sueño")</f>
        <v>sueño</v>
      </c>
      <c r="D966" s="2" t="str">
        <f ca="1">IFERROR(__xludf.DUMMYFUNCTION("GOOGLETRANSLATE(B966,""en"",""ig"")"),"iro nro")</f>
        <v>iro nro</v>
      </c>
      <c r="E966" s="2" t="str">
        <f ca="1">IFERROR(__xludf.DUMMYFUNCTION("GOOGLETRANSLATE(B966,""en"",""fr"")"),"rêve")</f>
        <v>rêve</v>
      </c>
      <c r="F966" s="2" t="str">
        <f ca="1">IFERROR(__xludf.DUMMYFUNCTION("GOOGLETRANSLATE(B966,""en"",""it"")"),"sogno")</f>
        <v>sogno</v>
      </c>
      <c r="G966" s="2" t="str">
        <f ca="1">IFERROR(__xludf.DUMMYFUNCTION("GOOGLETRANSLATE(B966,""en"",""de"")"),"Traum")</f>
        <v>Traum</v>
      </c>
      <c r="H966" s="2" t="str">
        <f ca="1">IFERROR(__xludf.DUMMYFUNCTION("GOOGLETRANSLATE(B966,""en"",""zh"")"),"梦")</f>
        <v>梦</v>
      </c>
      <c r="I966" s="2" t="str">
        <f ca="1">IFERROR(__xludf.DUMMYFUNCTION("GOOGLETRANSLATE(B966,""en"",""gd"")"),"Bruadar")</f>
        <v>Bruadar</v>
      </c>
    </row>
    <row r="967" spans="1:9" ht="14.25" customHeight="1" x14ac:dyDescent="0.3">
      <c r="A967" s="2">
        <v>966</v>
      </c>
      <c r="B967" s="3" t="s">
        <v>974</v>
      </c>
      <c r="C967" s="2" t="str">
        <f ca="1">IFERROR(__xludf.DUMMYFUNCTION("GOOGLETRANSLATE(B967, ""en"",""es"")"),"ni")</f>
        <v>ni</v>
      </c>
      <c r="D967" s="2" t="str">
        <f ca="1">IFERROR(__xludf.DUMMYFUNCTION("GOOGLETRANSLATE(B967,""en"",""ig"")"),"ma ha")</f>
        <v>ma ha</v>
      </c>
      <c r="E967" s="2" t="str">
        <f ca="1">IFERROR(__xludf.DUMMYFUNCTION("GOOGLETRANSLATE(B967,""en"",""fr"")"),"ni")</f>
        <v>ni</v>
      </c>
      <c r="F967" s="2" t="str">
        <f ca="1">IFERROR(__xludf.DUMMYFUNCTION("GOOGLETRANSLATE(B967,""en"",""it"")"),"né")</f>
        <v>né</v>
      </c>
      <c r="G967" s="2" t="str">
        <f ca="1">IFERROR(__xludf.DUMMYFUNCTION("GOOGLETRANSLATE(B967,""en"",""de"")"),"noch")</f>
        <v>noch</v>
      </c>
      <c r="H967" s="2" t="str">
        <f ca="1">IFERROR(__xludf.DUMMYFUNCTION("GOOGLETRANSLATE(B967,""en"",""zh"")"),"也不")</f>
        <v>也不</v>
      </c>
      <c r="I967" s="2" t="str">
        <f ca="1">IFERROR(__xludf.DUMMYFUNCTION("GOOGLETRANSLATE(B967,""en"",""gd"")"),"no")</f>
        <v>no</v>
      </c>
    </row>
    <row r="968" spans="1:9" ht="14.25" customHeight="1" x14ac:dyDescent="0.3">
      <c r="A968" s="2">
        <v>967</v>
      </c>
      <c r="B968" s="3" t="s">
        <v>975</v>
      </c>
      <c r="C968" s="2" t="str">
        <f ca="1">IFERROR(__xludf.DUMMYFUNCTION("GOOGLETRANSLATE(B968, ""en"",""es"")"),"universidad")</f>
        <v>universidad</v>
      </c>
      <c r="D968" s="2" t="str">
        <f ca="1">IFERROR(__xludf.DUMMYFUNCTION("GOOGLETRANSLATE(B968,""en"",""ig"")"),"univasiti")</f>
        <v>univasiti</v>
      </c>
      <c r="E968" s="2" t="str">
        <f ca="1">IFERROR(__xludf.DUMMYFUNCTION("GOOGLETRANSLATE(B968,""en"",""fr"")"),"université")</f>
        <v>université</v>
      </c>
      <c r="F968" s="2" t="str">
        <f ca="1">IFERROR(__xludf.DUMMYFUNCTION("GOOGLETRANSLATE(B968,""en"",""it"")"),"Università")</f>
        <v>Università</v>
      </c>
      <c r="G968" s="2" t="str">
        <f ca="1">IFERROR(__xludf.DUMMYFUNCTION("GOOGLETRANSLATE(B968,""en"",""de"")"),"Universität")</f>
        <v>Universität</v>
      </c>
      <c r="H968" s="2" t="str">
        <f ca="1">IFERROR(__xludf.DUMMYFUNCTION("GOOGLETRANSLATE(B968,""en"",""zh"")"),"大学")</f>
        <v>大学</v>
      </c>
      <c r="I968" s="2" t="str">
        <f ca="1">IFERROR(__xludf.DUMMYFUNCTION("GOOGLETRANSLATE(B968,""en"",""gd"")"),"Oilthigh")</f>
        <v>Oilthigh</v>
      </c>
    </row>
    <row r="969" spans="1:9" ht="14.25" customHeight="1" x14ac:dyDescent="0.3">
      <c r="A969" s="2">
        <v>968</v>
      </c>
      <c r="B969" s="3" t="s">
        <v>976</v>
      </c>
      <c r="C969" s="2" t="str">
        <f ca="1">IFERROR(__xludf.DUMMYFUNCTION("GOOGLETRANSLATE(B969, ""en"",""es"")"),"fácilmente")</f>
        <v>fácilmente</v>
      </c>
      <c r="D969" s="2" t="str">
        <f ca="1">IFERROR(__xludf.DUMMYFUNCTION("GOOGLETRANSLATE(B969,""en"",""ig"")"),"mfe")</f>
        <v>mfe</v>
      </c>
      <c r="E969" s="2" t="str">
        <f ca="1">IFERROR(__xludf.DUMMYFUNCTION("GOOGLETRANSLATE(B969,""en"",""fr"")"),"facilement")</f>
        <v>facilement</v>
      </c>
      <c r="F969" s="2" t="str">
        <f ca="1">IFERROR(__xludf.DUMMYFUNCTION("GOOGLETRANSLATE(B969,""en"",""it"")"),"facilmente")</f>
        <v>facilmente</v>
      </c>
      <c r="G969" s="2" t="str">
        <f ca="1">IFERROR(__xludf.DUMMYFUNCTION("GOOGLETRANSLATE(B969,""en"",""de"")"),"leicht")</f>
        <v>leicht</v>
      </c>
      <c r="H969" s="2" t="str">
        <f ca="1">IFERROR(__xludf.DUMMYFUNCTION("GOOGLETRANSLATE(B969,""en"",""zh"")"),"容易地")</f>
        <v>容易地</v>
      </c>
      <c r="I969" s="2" t="str">
        <f ca="1">IFERROR(__xludf.DUMMYFUNCTION("GOOGLETRANSLATE(B969,""en"",""gd"")"),"gu furasta")</f>
        <v>gu furasta</v>
      </c>
    </row>
    <row r="970" spans="1:9" ht="14.25" customHeight="1" x14ac:dyDescent="0.3">
      <c r="A970" s="2">
        <v>969</v>
      </c>
      <c r="B970" s="3" t="s">
        <v>977</v>
      </c>
      <c r="C970" s="2" t="str">
        <f ca="1">IFERROR(__xludf.DUMMYFUNCTION("GOOGLETRANSLATE(B970, ""en"",""es"")"),"agencia")</f>
        <v>agencia</v>
      </c>
      <c r="D970" s="2" t="str">
        <f ca="1">IFERROR(__xludf.DUMMYFUNCTION("GOOGLETRANSLATE(B970,""en"",""ig"")"),"ulo ozi")</f>
        <v>ulo ozi</v>
      </c>
      <c r="E970" s="2" t="str">
        <f ca="1">IFERROR(__xludf.DUMMYFUNCTION("GOOGLETRANSLATE(B970,""en"",""fr"")"),"agence")</f>
        <v>agence</v>
      </c>
      <c r="F970" s="2" t="str">
        <f ca="1">IFERROR(__xludf.DUMMYFUNCTION("GOOGLETRANSLATE(B970,""en"",""it"")"),"agenzia")</f>
        <v>agenzia</v>
      </c>
      <c r="G970" s="2" t="str">
        <f ca="1">IFERROR(__xludf.DUMMYFUNCTION("GOOGLETRANSLATE(B970,""en"",""de"")"),"Agentur")</f>
        <v>Agentur</v>
      </c>
      <c r="H970" s="2" t="str">
        <f ca="1">IFERROR(__xludf.DUMMYFUNCTION("GOOGLETRANSLATE(B970,""en"",""zh"")"),"机构")</f>
        <v>机构</v>
      </c>
      <c r="I970" s="2" t="str">
        <f ca="1">IFERROR(__xludf.DUMMYFUNCTION("GOOGLETRANSLATE(B970,""en"",""gd"")"),"Buidheann")</f>
        <v>Buidheann</v>
      </c>
    </row>
    <row r="971" spans="1:9" ht="14.25" customHeight="1" x14ac:dyDescent="0.3">
      <c r="A971" s="2">
        <v>970</v>
      </c>
      <c r="B971" s="3" t="s">
        <v>978</v>
      </c>
      <c r="C971" s="2" t="str">
        <f ca="1">IFERROR(__xludf.DUMMYFUNCTION("GOOGLETRANSLATE(B971, ""en"",""es"")"),"dólar")</f>
        <v>dólar</v>
      </c>
      <c r="D971" s="2" t="str">
        <f ca="1">IFERROR(__xludf.DUMMYFUNCTION("GOOGLETRANSLATE(B971,""en"",""ig"")"),"dollar")</f>
        <v>dollar</v>
      </c>
      <c r="E971" s="2" t="str">
        <f ca="1">IFERROR(__xludf.DUMMYFUNCTION("GOOGLETRANSLATE(B971,""en"",""fr"")"),"dollar")</f>
        <v>dollar</v>
      </c>
      <c r="F971" s="2" t="str">
        <f ca="1">IFERROR(__xludf.DUMMYFUNCTION("GOOGLETRANSLATE(B971,""en"",""it"")"),"dollaro")</f>
        <v>dollaro</v>
      </c>
      <c r="G971" s="2" t="str">
        <f ca="1">IFERROR(__xludf.DUMMYFUNCTION("GOOGLETRANSLATE(B971,""en"",""de"")"),"Dollar")</f>
        <v>Dollar</v>
      </c>
      <c r="H971" s="2" t="str">
        <f ca="1">IFERROR(__xludf.DUMMYFUNCTION("GOOGLETRANSLATE(B971,""en"",""zh"")"),"美元")</f>
        <v>美元</v>
      </c>
      <c r="I971" s="2" t="str">
        <f ca="1">IFERROR(__xludf.DUMMYFUNCTION("GOOGLETRANSLATE(B971,""en"",""gd"")"),"dolar")</f>
        <v>dolar</v>
      </c>
    </row>
    <row r="972" spans="1:9" ht="14.25" customHeight="1" x14ac:dyDescent="0.3">
      <c r="A972" s="2">
        <v>971</v>
      </c>
      <c r="B972" s="3" t="s">
        <v>979</v>
      </c>
      <c r="C972" s="2" t="str">
        <f ca="1">IFERROR(__xludf.DUMMYFUNCTION("GOOGLETRANSLATE(B972, ""en"",""es"")"),"jardín")</f>
        <v>jardín</v>
      </c>
      <c r="D972" s="2" t="str">
        <f ca="1">IFERROR(__xludf.DUMMYFUNCTION("GOOGLETRANSLATE(B972,""en"",""ig"")"),"gadin")</f>
        <v>gadin</v>
      </c>
      <c r="E972" s="2" t="str">
        <f ca="1">IFERROR(__xludf.DUMMYFUNCTION("GOOGLETRANSLATE(B972,""en"",""fr"")"),"jardin")</f>
        <v>jardin</v>
      </c>
      <c r="F972" s="2" t="str">
        <f ca="1">IFERROR(__xludf.DUMMYFUNCTION("GOOGLETRANSLATE(B972,""en"",""it"")"),"giardino")</f>
        <v>giardino</v>
      </c>
      <c r="G972" s="2" t="str">
        <f ca="1">IFERROR(__xludf.DUMMYFUNCTION("GOOGLETRANSLATE(B972,""en"",""de"")"),"Garten")</f>
        <v>Garten</v>
      </c>
      <c r="H972" s="2" t="str">
        <f ca="1">IFERROR(__xludf.DUMMYFUNCTION("GOOGLETRANSLATE(B972,""en"",""zh"")"),"花园")</f>
        <v>花园</v>
      </c>
      <c r="I972" s="2" t="str">
        <f ca="1">IFERROR(__xludf.DUMMYFUNCTION("GOOGLETRANSLATE(B972,""en"",""gd"")"),"Gàrradh")</f>
        <v>Gàrradh</v>
      </c>
    </row>
    <row r="973" spans="1:9" ht="14.25" customHeight="1" x14ac:dyDescent="0.3">
      <c r="A973" s="2">
        <v>972</v>
      </c>
      <c r="B973" s="3" t="s">
        <v>980</v>
      </c>
      <c r="C973" s="2" t="str">
        <f ca="1">IFERROR(__xludf.DUMMYFUNCTION("GOOGLETRANSLATE(B973, ""en"",""es"")"),"arreglar")</f>
        <v>arreglar</v>
      </c>
      <c r="D973" s="2" t="str">
        <f ca="1">IFERROR(__xludf.DUMMYFUNCTION("GOOGLETRANSLATE(B973,""en"",""ig"")"),"ifiksi")</f>
        <v>ifiksi</v>
      </c>
      <c r="E973" s="2" t="str">
        <f ca="1">IFERROR(__xludf.DUMMYFUNCTION("GOOGLETRANSLATE(B973,""en"",""fr"")"),"réparer")</f>
        <v>réparer</v>
      </c>
      <c r="F973" s="2" t="str">
        <f ca="1">IFERROR(__xludf.DUMMYFUNCTION("GOOGLETRANSLATE(B973,""en"",""it"")"),"aggiustare")</f>
        <v>aggiustare</v>
      </c>
      <c r="G973" s="2" t="str">
        <f ca="1">IFERROR(__xludf.DUMMYFUNCTION("GOOGLETRANSLATE(B973,""en"",""de"")"),"Fix")</f>
        <v>Fix</v>
      </c>
      <c r="H973" s="2" t="str">
        <f ca="1">IFERROR(__xludf.DUMMYFUNCTION("GOOGLETRANSLATE(B973,""en"",""zh"")"),"使固定")</f>
        <v>使固定</v>
      </c>
      <c r="I973" s="2" t="str">
        <f ca="1">IFERROR(__xludf.DUMMYFUNCTION("GOOGLETRANSLATE(B973,""en"",""gd"")"),"Fix")</f>
        <v>Fix</v>
      </c>
    </row>
    <row r="974" spans="1:9" ht="14.25" customHeight="1" x14ac:dyDescent="0.3">
      <c r="A974" s="2">
        <v>973</v>
      </c>
      <c r="B974" s="3" t="s">
        <v>981</v>
      </c>
      <c r="C974" s="2" t="str">
        <f ca="1">IFERROR(__xludf.DUMMYFUNCTION("GOOGLETRANSLATE(B974, ""en"",""es"")"),"adelante")</f>
        <v>adelante</v>
      </c>
      <c r="D974" s="2" t="str">
        <f ca="1">IFERROR(__xludf.DUMMYFUNCTION("GOOGLETRANSLATE(B974,""en"",""ig"")"),"niihu")</f>
        <v>niihu</v>
      </c>
      <c r="E974" s="2" t="str">
        <f ca="1">IFERROR(__xludf.DUMMYFUNCTION("GOOGLETRANSLATE(B974,""en"",""fr"")"),"devant")</f>
        <v>devant</v>
      </c>
      <c r="F974" s="2" t="str">
        <f ca="1">IFERROR(__xludf.DUMMYFUNCTION("GOOGLETRANSLATE(B974,""en"",""it"")"),"avanti")</f>
        <v>avanti</v>
      </c>
      <c r="G974" s="2" t="str">
        <f ca="1">IFERROR(__xludf.DUMMYFUNCTION("GOOGLETRANSLATE(B974,""en"",""de"")"),"voraus")</f>
        <v>voraus</v>
      </c>
      <c r="H974" s="2" t="str">
        <f ca="1">IFERROR(__xludf.DUMMYFUNCTION("GOOGLETRANSLATE(B974,""en"",""zh"")"),"先")</f>
        <v>先</v>
      </c>
      <c r="I974" s="2" t="str">
        <f ca="1">IFERROR(__xludf.DUMMYFUNCTION("GOOGLETRANSLATE(B974,""en"",""gd"")"),"air adhart")</f>
        <v>air adhart</v>
      </c>
    </row>
    <row r="975" spans="1:9" ht="14.25" customHeight="1" x14ac:dyDescent="0.3">
      <c r="A975" s="2">
        <v>974</v>
      </c>
      <c r="B975" s="3" t="s">
        <v>982</v>
      </c>
      <c r="C975" s="2" t="str">
        <f ca="1">IFERROR(__xludf.DUMMYFUNCTION("GOOGLETRANSLATE(B975, ""en"",""es"")"),"cruz")</f>
        <v>cruz</v>
      </c>
      <c r="D975" s="2" t="str">
        <f ca="1">IFERROR(__xludf.DUMMYFUNCTION("GOOGLETRANSLATE(B975,""en"",""ig"")"),"uhie")</f>
        <v>uhie</v>
      </c>
      <c r="E975" s="2" t="str">
        <f ca="1">IFERROR(__xludf.DUMMYFUNCTION("GOOGLETRANSLATE(B975,""en"",""fr"")"),"croix")</f>
        <v>croix</v>
      </c>
      <c r="F975" s="2" t="str">
        <f ca="1">IFERROR(__xludf.DUMMYFUNCTION("GOOGLETRANSLATE(B975,""en"",""it"")"),"attraverso")</f>
        <v>attraverso</v>
      </c>
      <c r="G975" s="2" t="str">
        <f ca="1">IFERROR(__xludf.DUMMYFUNCTION("GOOGLETRANSLATE(B975,""en"",""de"")"),"kreuzen")</f>
        <v>kreuzen</v>
      </c>
      <c r="H975" s="2" t="str">
        <f ca="1">IFERROR(__xludf.DUMMYFUNCTION("GOOGLETRANSLATE(B975,""en"",""zh"")"),"叉")</f>
        <v>叉</v>
      </c>
      <c r="I975" s="2" t="str">
        <f ca="1">IFERROR(__xludf.DUMMYFUNCTION("GOOGLETRANSLATE(B975,""en"",""gd"")"),"Crois")</f>
        <v>Crois</v>
      </c>
    </row>
    <row r="976" spans="1:9" ht="14.25" customHeight="1" x14ac:dyDescent="0.3">
      <c r="A976" s="2">
        <v>975</v>
      </c>
      <c r="B976" s="3" t="s">
        <v>983</v>
      </c>
      <c r="C976" s="2" t="str">
        <f ca="1">IFERROR(__xludf.DUMMYFUNCTION("GOOGLETRANSLATE(B976, ""en"",""es"")"),"sí")</f>
        <v>sí</v>
      </c>
      <c r="D976" s="2" t="str">
        <f ca="1">IFERROR(__xludf.DUMMYFUNCTION("GOOGLETRANSLATE(B976,""en"",""ig"")"),"ee")</f>
        <v>ee</v>
      </c>
      <c r="E976" s="2" t="str">
        <f ca="1">IFERROR(__xludf.DUMMYFUNCTION("GOOGLETRANSLATE(B976,""en"",""fr"")"),"Ouais")</f>
        <v>Ouais</v>
      </c>
      <c r="F976" s="2" t="str">
        <f ca="1">IFERROR(__xludf.DUMMYFUNCTION("GOOGLETRANSLATE(B976,""en"",""it"")"),"Sì")</f>
        <v>Sì</v>
      </c>
      <c r="G976" s="2" t="str">
        <f ca="1">IFERROR(__xludf.DUMMYFUNCTION("GOOGLETRANSLATE(B976,""en"",""de"")"),"Ja")</f>
        <v>Ja</v>
      </c>
      <c r="H976" s="2" t="str">
        <f ca="1">IFERROR(__xludf.DUMMYFUNCTION("GOOGLETRANSLATE(B976,""en"",""zh"")"),"是的")</f>
        <v>是的</v>
      </c>
      <c r="I976" s="2" t="str">
        <f ca="1">IFERROR(__xludf.DUMMYFUNCTION("GOOGLETRANSLATE(B976,""en"",""gd"")"),"seadh")</f>
        <v>seadh</v>
      </c>
    </row>
    <row r="977" spans="1:9" ht="14.25" customHeight="1" x14ac:dyDescent="0.3">
      <c r="A977" s="2">
        <v>976</v>
      </c>
      <c r="B977" s="3" t="s">
        <v>984</v>
      </c>
      <c r="C977" s="2" t="str">
        <f ca="1">IFERROR(__xludf.DUMMYFUNCTION("GOOGLETRANSLATE(B977, ""en"",""es"")"),"peso")</f>
        <v>peso</v>
      </c>
      <c r="D977" s="2" t="str">
        <f ca="1">IFERROR(__xludf.DUMMYFUNCTION("GOOGLETRANSLATE(B977,""en"",""ig"")"),"aro")</f>
        <v>aro</v>
      </c>
      <c r="E977" s="2" t="str">
        <f ca="1">IFERROR(__xludf.DUMMYFUNCTION("GOOGLETRANSLATE(B977,""en"",""fr"")"),"poids")</f>
        <v>poids</v>
      </c>
      <c r="F977" s="2" t="str">
        <f ca="1">IFERROR(__xludf.DUMMYFUNCTION("GOOGLETRANSLATE(B977,""en"",""it"")"),"peso")</f>
        <v>peso</v>
      </c>
      <c r="G977" s="2" t="str">
        <f ca="1">IFERROR(__xludf.DUMMYFUNCTION("GOOGLETRANSLATE(B977,""en"",""de"")"),"Gewicht")</f>
        <v>Gewicht</v>
      </c>
      <c r="H977" s="2" t="str">
        <f ca="1">IFERROR(__xludf.DUMMYFUNCTION("GOOGLETRANSLATE(B977,""en"",""zh"")"),"重量")</f>
        <v>重量</v>
      </c>
      <c r="I977" s="2" t="str">
        <f ca="1">IFERROR(__xludf.DUMMYFUNCTION("GOOGLETRANSLATE(B977,""en"",""gd"")"),"Cuideam")</f>
        <v>Cuideam</v>
      </c>
    </row>
    <row r="978" spans="1:9" ht="14.25" customHeight="1" x14ac:dyDescent="0.3">
      <c r="A978" s="2">
        <v>977</v>
      </c>
      <c r="B978" s="3" t="s">
        <v>985</v>
      </c>
      <c r="C978" s="2" t="str">
        <f ca="1">IFERROR(__xludf.DUMMYFUNCTION("GOOGLETRANSLATE(B978, ""en"",""es"")"),"legal")</f>
        <v>legal</v>
      </c>
      <c r="D978" s="2" t="str">
        <f ca="1">IFERROR(__xludf.DUMMYFUNCTION("GOOGLETRANSLATE(B978,""en"",""ig"")"),"keiwu")</f>
        <v>keiwu</v>
      </c>
      <c r="E978" s="2" t="str">
        <f ca="1">IFERROR(__xludf.DUMMYFUNCTION("GOOGLETRANSLATE(B978,""en"",""fr"")"),"légal")</f>
        <v>légal</v>
      </c>
      <c r="F978" s="2" t="str">
        <f ca="1">IFERROR(__xludf.DUMMYFUNCTION("GOOGLETRANSLATE(B978,""en"",""it"")"),"legale")</f>
        <v>legale</v>
      </c>
      <c r="G978" s="2" t="str">
        <f ca="1">IFERROR(__xludf.DUMMYFUNCTION("GOOGLETRANSLATE(B978,""en"",""de"")"),"legal")</f>
        <v>legal</v>
      </c>
      <c r="H978" s="2" t="str">
        <f ca="1">IFERROR(__xludf.DUMMYFUNCTION("GOOGLETRANSLATE(B978,""en"",""zh"")"),"合法的")</f>
        <v>合法的</v>
      </c>
      <c r="I978" s="2" t="str">
        <f ca="1">IFERROR(__xludf.DUMMYFUNCTION("GOOGLETRANSLATE(B978,""en"",""gd"")"),"laghail")</f>
        <v>laghail</v>
      </c>
    </row>
    <row r="979" spans="1:9" ht="14.25" customHeight="1" x14ac:dyDescent="0.3">
      <c r="A979" s="2">
        <v>978</v>
      </c>
      <c r="B979" s="3" t="s">
        <v>986</v>
      </c>
      <c r="C979" s="2" t="str">
        <f ca="1">IFERROR(__xludf.DUMMYFUNCTION("GOOGLETRANSLATE(B979, ""en"",""es"")"),"propuesta")</f>
        <v>propuesta</v>
      </c>
      <c r="D979" s="2" t="str">
        <f ca="1">IFERROR(__xludf.DUMMYFUNCTION("GOOGLETRANSLATE(B979,""en"",""ig"")"),"nkwunye")</f>
        <v>nkwunye</v>
      </c>
      <c r="E979" s="2" t="str">
        <f ca="1">IFERROR(__xludf.DUMMYFUNCTION("GOOGLETRANSLATE(B979,""en"",""fr"")"),"proposition")</f>
        <v>proposition</v>
      </c>
      <c r="F979" s="2" t="str">
        <f ca="1">IFERROR(__xludf.DUMMYFUNCTION("GOOGLETRANSLATE(B979,""en"",""it"")"),"proposta")</f>
        <v>proposta</v>
      </c>
      <c r="G979" s="2" t="str">
        <f ca="1">IFERROR(__xludf.DUMMYFUNCTION("GOOGLETRANSLATE(B979,""en"",""de"")"),"Vorschlag")</f>
        <v>Vorschlag</v>
      </c>
      <c r="H979" s="2" t="str">
        <f ca="1">IFERROR(__xludf.DUMMYFUNCTION("GOOGLETRANSLATE(B979,""en"",""zh"")"),"提议")</f>
        <v>提议</v>
      </c>
      <c r="I979" s="2" t="str">
        <f ca="1">IFERROR(__xludf.DUMMYFUNCTION("GOOGLETRANSLATE(B979,""en"",""gd"")"),"Moladh")</f>
        <v>Moladh</v>
      </c>
    </row>
    <row r="980" spans="1:9" ht="14.25" customHeight="1" x14ac:dyDescent="0.3">
      <c r="A980" s="2">
        <v>979</v>
      </c>
      <c r="B980" s="3" t="s">
        <v>987</v>
      </c>
      <c r="C980" s="2" t="str">
        <f ca="1">IFERROR(__xludf.DUMMYFUNCTION("GOOGLETRANSLATE(B980, ""en"",""es"")"),"versión")</f>
        <v>versión</v>
      </c>
      <c r="D980" s="2" t="str">
        <f ca="1">IFERROR(__xludf.DUMMYFUNCTION("GOOGLETRANSLATE(B980,""en"",""ig"")"),"veshion")</f>
        <v>veshion</v>
      </c>
      <c r="E980" s="2" t="str">
        <f ca="1">IFERROR(__xludf.DUMMYFUNCTION("GOOGLETRANSLATE(B980,""en"",""fr"")"),"version")</f>
        <v>version</v>
      </c>
      <c r="F980" s="2" t="str">
        <f ca="1">IFERROR(__xludf.DUMMYFUNCTION("GOOGLETRANSLATE(B980,""en"",""it"")"),"versione")</f>
        <v>versione</v>
      </c>
      <c r="G980" s="2" t="str">
        <f ca="1">IFERROR(__xludf.DUMMYFUNCTION("GOOGLETRANSLATE(B980,""en"",""de"")"),"Ausführung")</f>
        <v>Ausführung</v>
      </c>
      <c r="H980" s="2" t="str">
        <f ca="1">IFERROR(__xludf.DUMMYFUNCTION("GOOGLETRANSLATE(B980,""en"",""zh"")"),"版本")</f>
        <v>版本</v>
      </c>
      <c r="I980" s="2" t="str">
        <f ca="1">IFERROR(__xludf.DUMMYFUNCTION("GOOGLETRANSLATE(B980,""en"",""gd"")"),"Tionndadh")</f>
        <v>Tionndadh</v>
      </c>
    </row>
    <row r="981" spans="1:9" ht="14.25" customHeight="1" x14ac:dyDescent="0.3">
      <c r="A981" s="2">
        <v>980</v>
      </c>
      <c r="B981" s="3" t="s">
        <v>988</v>
      </c>
      <c r="C981" s="2" t="str">
        <f ca="1">IFERROR(__xludf.DUMMYFUNCTION("GOOGLETRANSLATE(B981, ""en"",""es"")"),"conversación")</f>
        <v>conversación</v>
      </c>
      <c r="D981" s="2" t="str">
        <f ca="1">IFERROR(__xludf.DUMMYFUNCTION("GOOGLETRANSLATE(B981,""en"",""ig"")"),"ububo")</f>
        <v>ububo</v>
      </c>
      <c r="E981" s="2" t="str">
        <f ca="1">IFERROR(__xludf.DUMMYFUNCTION("GOOGLETRANSLATE(B981,""en"",""fr"")"),"conversation")</f>
        <v>conversation</v>
      </c>
      <c r="F981" s="2" t="str">
        <f ca="1">IFERROR(__xludf.DUMMYFUNCTION("GOOGLETRANSLATE(B981,""en"",""it"")"),"conversazione")</f>
        <v>conversazione</v>
      </c>
      <c r="G981" s="2" t="str">
        <f ca="1">IFERROR(__xludf.DUMMYFUNCTION("GOOGLETRANSLATE(B981,""en"",""de"")"),"Gespräch")</f>
        <v>Gespräch</v>
      </c>
      <c r="H981" s="2" t="str">
        <f ca="1">IFERROR(__xludf.DUMMYFUNCTION("GOOGLETRANSLATE(B981,""en"",""zh"")"),"对话")</f>
        <v>对话</v>
      </c>
      <c r="I981" s="2" t="str">
        <f ca="1">IFERROR(__xludf.DUMMYFUNCTION("GOOGLETRANSLATE(B981,""en"",""gd"")"),"Còmhradh")</f>
        <v>Còmhradh</v>
      </c>
    </row>
    <row r="982" spans="1:9" ht="14.25" customHeight="1" x14ac:dyDescent="0.3">
      <c r="A982" s="2">
        <v>981</v>
      </c>
      <c r="B982" s="3" t="s">
        <v>989</v>
      </c>
      <c r="C982" s="2" t="str">
        <f ca="1">IFERROR(__xludf.DUMMYFUNCTION("GOOGLETRANSLATE(B982, ""en"",""es"")"),"alguien")</f>
        <v>alguien</v>
      </c>
      <c r="D982" s="2" t="str">
        <f ca="1">IFERROR(__xludf.DUMMYFUNCTION("GOOGLETRANSLATE(B982,""en"",""ig"")"),"a")</f>
        <v>a</v>
      </c>
      <c r="E982" s="2" t="str">
        <f ca="1">IFERROR(__xludf.DUMMYFUNCTION("GOOGLETRANSLATE(B982,""en"",""fr"")"),"quelqu'un")</f>
        <v>quelqu'un</v>
      </c>
      <c r="F982" s="2" t="str">
        <f ca="1">IFERROR(__xludf.DUMMYFUNCTION("GOOGLETRANSLATE(B982,""en"",""it"")"),"qualcuno")</f>
        <v>qualcuno</v>
      </c>
      <c r="G982" s="2" t="str">
        <f ca="1">IFERROR(__xludf.DUMMYFUNCTION("GOOGLETRANSLATE(B982,""en"",""de"")"),"jemand")</f>
        <v>jemand</v>
      </c>
      <c r="H982" s="2" t="str">
        <f ca="1">IFERROR(__xludf.DUMMYFUNCTION("GOOGLETRANSLATE(B982,""en"",""zh"")"),"有人")</f>
        <v>有人</v>
      </c>
      <c r="I982" s="2" t="str">
        <f ca="1">IFERROR(__xludf.DUMMYFUNCTION("GOOGLETRANSLATE(B982,""en"",""gd"")"),"cuideigin")</f>
        <v>cuideigin</v>
      </c>
    </row>
    <row r="983" spans="1:9" ht="14.25" customHeight="1" x14ac:dyDescent="0.3">
      <c r="A983" s="2">
        <v>982</v>
      </c>
      <c r="B983" s="3" t="s">
        <v>990</v>
      </c>
      <c r="C983" s="2" t="str">
        <f ca="1">IFERROR(__xludf.DUMMYFUNCTION("GOOGLETRANSLATE(B983, ""en"",""es"")"),"libra")</f>
        <v>libra</v>
      </c>
      <c r="D983" s="2" t="str">
        <f ca="1">IFERROR(__xludf.DUMMYFUNCTION("GOOGLETRANSLATE(B983,""en"",""ig"")"),"suo suo")</f>
        <v>suo suo</v>
      </c>
      <c r="E983" s="2" t="str">
        <f ca="1">IFERROR(__xludf.DUMMYFUNCTION("GOOGLETRANSLATE(B983,""en"",""fr"")"),"livre")</f>
        <v>livre</v>
      </c>
      <c r="F983" s="2" t="str">
        <f ca="1">IFERROR(__xludf.DUMMYFUNCTION("GOOGLETRANSLATE(B983,""en"",""it"")"),"libbra")</f>
        <v>libbra</v>
      </c>
      <c r="G983" s="2" t="str">
        <f ca="1">IFERROR(__xludf.DUMMYFUNCTION("GOOGLETRANSLATE(B983,""en"",""de"")"),"Pfund")</f>
        <v>Pfund</v>
      </c>
      <c r="H983" s="2" t="str">
        <f ca="1">IFERROR(__xludf.DUMMYFUNCTION("GOOGLETRANSLATE(B983,""en"",""zh"")"),"磅")</f>
        <v>磅</v>
      </c>
      <c r="I983" s="2" t="str">
        <f ca="1">IFERROR(__xludf.DUMMYFUNCTION("GOOGLETRANSLATE(B983,""en"",""gd"")"),"punnd")</f>
        <v>punnd</v>
      </c>
    </row>
    <row r="984" spans="1:9" ht="14.25" customHeight="1" x14ac:dyDescent="0.3">
      <c r="A984" s="2">
        <v>983</v>
      </c>
      <c r="B984" s="3" t="s">
        <v>991</v>
      </c>
      <c r="C984" s="2" t="str">
        <f ca="1">IFERROR(__xludf.DUMMYFUNCTION("GOOGLETRANSLATE(B984, ""en"",""es"")"),"revista")</f>
        <v>revista</v>
      </c>
      <c r="D984" s="2" t="str">
        <f ca="1">IFERROR(__xludf.DUMMYFUNCTION("GOOGLETRANSLATE(B984,""en"",""ig"")"),"magaziini")</f>
        <v>magaziini</v>
      </c>
      <c r="E984" s="2" t="str">
        <f ca="1">IFERROR(__xludf.DUMMYFUNCTION("GOOGLETRANSLATE(B984,""en"",""fr"")"),"revue")</f>
        <v>revue</v>
      </c>
      <c r="F984" s="2" t="str">
        <f ca="1">IFERROR(__xludf.DUMMYFUNCTION("GOOGLETRANSLATE(B984,""en"",""it"")"),"rivista")</f>
        <v>rivista</v>
      </c>
      <c r="G984" s="2" t="str">
        <f ca="1">IFERROR(__xludf.DUMMYFUNCTION("GOOGLETRANSLATE(B984,""en"",""de"")"),"Zeitschrift")</f>
        <v>Zeitschrift</v>
      </c>
      <c r="H984" s="2" t="str">
        <f ca="1">IFERROR(__xludf.DUMMYFUNCTION("GOOGLETRANSLATE(B984,""en"",""zh"")"),"杂志")</f>
        <v>杂志</v>
      </c>
      <c r="I984" s="2" t="str">
        <f ca="1">IFERROR(__xludf.DUMMYFUNCTION("GOOGLETRANSLATE(B984,""en"",""gd"")"),"iris")</f>
        <v>iris</v>
      </c>
    </row>
    <row r="985" spans="1:9" ht="14.25" customHeight="1" x14ac:dyDescent="0.3">
      <c r="A985" s="2">
        <v>984</v>
      </c>
      <c r="B985" s="3" t="s">
        <v>992</v>
      </c>
      <c r="C985" s="2" t="str">
        <f ca="1">IFERROR(__xludf.DUMMYFUNCTION("GOOGLETRANSLATE(B985, ""en"",""es"")"),"forma")</f>
        <v>forma</v>
      </c>
      <c r="D985" s="2" t="str">
        <f ca="1">IFERROR(__xludf.DUMMYFUNCTION("GOOGLETRANSLATE(B985,""en"",""ig"")"),"udi")</f>
        <v>udi</v>
      </c>
      <c r="E985" s="2" t="str">
        <f ca="1">IFERROR(__xludf.DUMMYFUNCTION("GOOGLETRANSLATE(B985,""en"",""fr"")"),"forme")</f>
        <v>forme</v>
      </c>
      <c r="F985" s="2" t="str">
        <f ca="1">IFERROR(__xludf.DUMMYFUNCTION("GOOGLETRANSLATE(B985,""en"",""it"")"),"forma")</f>
        <v>forma</v>
      </c>
      <c r="G985" s="2" t="str">
        <f ca="1">IFERROR(__xludf.DUMMYFUNCTION("GOOGLETRANSLATE(B985,""en"",""de"")"),"Form")</f>
        <v>Form</v>
      </c>
      <c r="H985" s="2" t="str">
        <f ca="1">IFERROR(__xludf.DUMMYFUNCTION("GOOGLETRANSLATE(B985,""en"",""zh"")"),"形状")</f>
        <v>形状</v>
      </c>
      <c r="I985" s="2" t="str">
        <f ca="1">IFERROR(__xludf.DUMMYFUNCTION("GOOGLETRANSLATE(B985,""en"",""gd"")"),"cumadh")</f>
        <v>cumadh</v>
      </c>
    </row>
    <row r="986" spans="1:9" ht="14.25" customHeight="1" x14ac:dyDescent="0.3">
      <c r="A986" s="2">
        <v>985</v>
      </c>
      <c r="B986" s="3" t="s">
        <v>993</v>
      </c>
      <c r="C986" s="2" t="str">
        <f ca="1">IFERROR(__xludf.DUMMYFUNCTION("GOOGLETRANSLATE(B986, ""en"",""es"")"),"mar")</f>
        <v>mar</v>
      </c>
      <c r="D986" s="2" t="str">
        <f ca="1">IFERROR(__xludf.DUMMYFUNCTION("GOOGLETRANSLATE(B986,""en"",""ig"")"),"osimiri")</f>
        <v>osimiri</v>
      </c>
      <c r="E986" s="2" t="str">
        <f ca="1">IFERROR(__xludf.DUMMYFUNCTION("GOOGLETRANSLATE(B986,""en"",""fr"")"),"mer")</f>
        <v>mer</v>
      </c>
      <c r="F986" s="2" t="str">
        <f ca="1">IFERROR(__xludf.DUMMYFUNCTION("GOOGLETRANSLATE(B986,""en"",""it"")"),"mare")</f>
        <v>mare</v>
      </c>
      <c r="G986" s="2" t="str">
        <f ca="1">IFERROR(__xludf.DUMMYFUNCTION("GOOGLETRANSLATE(B986,""en"",""de"")"),"Meer")</f>
        <v>Meer</v>
      </c>
      <c r="H986" s="2" t="str">
        <f ca="1">IFERROR(__xludf.DUMMYFUNCTION("GOOGLETRANSLATE(B986,""en"",""zh"")"),"海")</f>
        <v>海</v>
      </c>
      <c r="I986" s="2" t="str">
        <f ca="1">IFERROR(__xludf.DUMMYFUNCTION("GOOGLETRANSLATE(B986,""en"",""gd"")"),"muir")</f>
        <v>muir</v>
      </c>
    </row>
    <row r="987" spans="1:9" ht="14.25" customHeight="1" x14ac:dyDescent="0.3">
      <c r="A987" s="2">
        <v>986</v>
      </c>
      <c r="B987" s="3" t="s">
        <v>994</v>
      </c>
      <c r="C987" s="2" t="str">
        <f ca="1">IFERROR(__xludf.DUMMYFUNCTION("GOOGLETRANSLATE(B987, ""en"",""es"")"),"inmediatamente")</f>
        <v>inmediatamente</v>
      </c>
      <c r="D987" s="2" t="str">
        <f ca="1">IFERROR(__xludf.DUMMYFUNCTION("GOOGLETRANSLATE(B987,""en"",""ig"")"),"ozugbo")</f>
        <v>ozugbo</v>
      </c>
      <c r="E987" s="2" t="str">
        <f ca="1">IFERROR(__xludf.DUMMYFUNCTION("GOOGLETRANSLATE(B987,""en"",""fr"")"),"immédiatement")</f>
        <v>immédiatement</v>
      </c>
      <c r="F987" s="2" t="str">
        <f ca="1">IFERROR(__xludf.DUMMYFUNCTION("GOOGLETRANSLATE(B987,""en"",""it"")"),"subito")</f>
        <v>subito</v>
      </c>
      <c r="G987" s="2" t="str">
        <f ca="1">IFERROR(__xludf.DUMMYFUNCTION("GOOGLETRANSLATE(B987,""en"",""de"")"),"sofort")</f>
        <v>sofort</v>
      </c>
      <c r="H987" s="2" t="str">
        <f ca="1">IFERROR(__xludf.DUMMYFUNCTION("GOOGLETRANSLATE(B987,""en"",""zh"")"),"立即地")</f>
        <v>立即地</v>
      </c>
      <c r="I987" s="2" t="str">
        <f ca="1">IFERROR(__xludf.DUMMYFUNCTION("GOOGLETRANSLATE(B987,""en"",""gd"")"),"Sa bhad")</f>
        <v>Sa bhad</v>
      </c>
    </row>
    <row r="988" spans="1:9" ht="14.25" customHeight="1" x14ac:dyDescent="0.3">
      <c r="A988" s="2">
        <v>987</v>
      </c>
      <c r="B988" s="3" t="s">
        <v>995</v>
      </c>
      <c r="C988" s="2" t="str">
        <f ca="1">IFERROR(__xludf.DUMMYFUNCTION("GOOGLETRANSLATE(B988, ""en"",""es"")"),"bienvenido")</f>
        <v>bienvenido</v>
      </c>
      <c r="D988" s="2" t="str">
        <f ca="1">IFERROR(__xludf.DUMMYFUNCTION("GOOGLETRANSLATE(B988,""en"",""ig"")"),"nnabata")</f>
        <v>nnabata</v>
      </c>
      <c r="E988" s="2" t="str">
        <f ca="1">IFERROR(__xludf.DUMMYFUNCTION("GOOGLETRANSLATE(B988,""en"",""fr"")"),"accueillir")</f>
        <v>accueillir</v>
      </c>
      <c r="F988" s="2" t="str">
        <f ca="1">IFERROR(__xludf.DUMMYFUNCTION("GOOGLETRANSLATE(B988,""en"",""it"")"),"Benvenuto")</f>
        <v>Benvenuto</v>
      </c>
      <c r="G988" s="2" t="str">
        <f ca="1">IFERROR(__xludf.DUMMYFUNCTION("GOOGLETRANSLATE(B988,""en"",""de"")"),"Willkommen")</f>
        <v>Willkommen</v>
      </c>
      <c r="H988" s="2" t="str">
        <f ca="1">IFERROR(__xludf.DUMMYFUNCTION("GOOGLETRANSLATE(B988,""en"",""zh"")"),"欢迎")</f>
        <v>欢迎</v>
      </c>
      <c r="I988" s="2" t="str">
        <f ca="1">IFERROR(__xludf.DUMMYFUNCTION("GOOGLETRANSLATE(B988,""en"",""gd"")"),"Fàilte")</f>
        <v>Fàilte</v>
      </c>
    </row>
    <row r="989" spans="1:9" ht="14.25" customHeight="1" x14ac:dyDescent="0.3">
      <c r="A989" s="2">
        <v>988</v>
      </c>
      <c r="B989" s="3" t="s">
        <v>996</v>
      </c>
      <c r="C989" s="2" t="str">
        <f ca="1">IFERROR(__xludf.DUMMYFUNCTION("GOOGLETRANSLATE(B989, ""en"",""es"")"),"sonrisa")</f>
        <v>sonrisa</v>
      </c>
      <c r="D989" s="2" t="str">
        <f ca="1">IFERROR(__xludf.DUMMYFUNCTION("GOOGLETRANSLATE(B989,""en"",""ig"")"),"ichi")</f>
        <v>ichi</v>
      </c>
      <c r="E989" s="2" t="str">
        <f ca="1">IFERROR(__xludf.DUMMYFUNCTION("GOOGLETRANSLATE(B989,""en"",""fr"")"),"sourire")</f>
        <v>sourire</v>
      </c>
      <c r="F989" s="2" t="str">
        <f ca="1">IFERROR(__xludf.DUMMYFUNCTION("GOOGLETRANSLATE(B989,""en"",""it"")"),"sorriso")</f>
        <v>sorriso</v>
      </c>
      <c r="G989" s="2" t="str">
        <f ca="1">IFERROR(__xludf.DUMMYFUNCTION("GOOGLETRANSLATE(B989,""en"",""de"")"),"lächeln")</f>
        <v>lächeln</v>
      </c>
      <c r="H989" s="2" t="str">
        <f ca="1">IFERROR(__xludf.DUMMYFUNCTION("GOOGLETRANSLATE(B989,""en"",""zh"")"),"微笑")</f>
        <v>微笑</v>
      </c>
      <c r="I989" s="2" t="str">
        <f ca="1">IFERROR(__xludf.DUMMYFUNCTION("GOOGLETRANSLATE(B989,""en"",""gd"")"),"gàire")</f>
        <v>gàire</v>
      </c>
    </row>
    <row r="990" spans="1:9" ht="14.25" customHeight="1" x14ac:dyDescent="0.3">
      <c r="A990" s="2">
        <v>989</v>
      </c>
      <c r="B990" s="3" t="s">
        <v>997</v>
      </c>
      <c r="C990" s="2" t="str">
        <f ca="1">IFERROR(__xludf.DUMMYFUNCTION("GOOGLETRANSLATE(B990, ""en"",""es"")"),"comunicación")</f>
        <v>comunicación</v>
      </c>
      <c r="D990" s="2" t="str">
        <f ca="1">IFERROR(__xludf.DUMMYFUNCTION("GOOGLETRANSLATE(B990,""en"",""ig"")"),"nzikorita ozi")</f>
        <v>nzikorita ozi</v>
      </c>
      <c r="E990" s="2" t="str">
        <f ca="1">IFERROR(__xludf.DUMMYFUNCTION("GOOGLETRANSLATE(B990,""en"",""fr"")"),"communication")</f>
        <v>communication</v>
      </c>
      <c r="F990" s="2" t="str">
        <f ca="1">IFERROR(__xludf.DUMMYFUNCTION("GOOGLETRANSLATE(B990,""en"",""it"")"),"comunicazione")</f>
        <v>comunicazione</v>
      </c>
      <c r="G990" s="2" t="str">
        <f ca="1">IFERROR(__xludf.DUMMYFUNCTION("GOOGLETRANSLATE(B990,""en"",""de"")"),"Kommunikation")</f>
        <v>Kommunikation</v>
      </c>
      <c r="H990" s="2" t="str">
        <f ca="1">IFERROR(__xludf.DUMMYFUNCTION("GOOGLETRANSLATE(B990,""en"",""zh"")"),"沟通")</f>
        <v>沟通</v>
      </c>
      <c r="I990" s="2" t="str">
        <f ca="1">IFERROR(__xludf.DUMMYFUNCTION("GOOGLETRANSLATE(B990,""en"",""gd"")"),"Conaltradh")</f>
        <v>Conaltradh</v>
      </c>
    </row>
    <row r="991" spans="1:9" ht="14.25" customHeight="1" x14ac:dyDescent="0.3">
      <c r="A991" s="2">
        <v>990</v>
      </c>
      <c r="B991" s="3" t="s">
        <v>998</v>
      </c>
      <c r="C991" s="2" t="str">
        <f ca="1">IFERROR(__xludf.DUMMYFUNCTION("GOOGLETRANSLATE(B991, ""en"",""es"")"),"agente")</f>
        <v>agente</v>
      </c>
      <c r="D991" s="2" t="str">
        <f ca="1">IFERROR(__xludf.DUMMYFUNCTION("GOOGLETRANSLATE(B991,""en"",""ig"")"),"ejenti")</f>
        <v>ejenti</v>
      </c>
      <c r="E991" s="2" t="str">
        <f ca="1">IFERROR(__xludf.DUMMYFUNCTION("GOOGLETRANSLATE(B991,""en"",""fr"")"),"agent")</f>
        <v>agent</v>
      </c>
      <c r="F991" s="2" t="str">
        <f ca="1">IFERROR(__xludf.DUMMYFUNCTION("GOOGLETRANSLATE(B991,""en"",""it"")"),"agente")</f>
        <v>agente</v>
      </c>
      <c r="G991" s="2" t="str">
        <f ca="1">IFERROR(__xludf.DUMMYFUNCTION("GOOGLETRANSLATE(B991,""en"",""de"")"),"Agent")</f>
        <v>Agent</v>
      </c>
      <c r="H991" s="2" t="str">
        <f ca="1">IFERROR(__xludf.DUMMYFUNCTION("GOOGLETRANSLATE(B991,""en"",""zh"")"),"代理人")</f>
        <v>代理人</v>
      </c>
      <c r="I991" s="2" t="str">
        <f ca="1">IFERROR(__xludf.DUMMYFUNCTION("GOOGLETRANSLATE(B991,""en"",""gd"")"),"Neach-ionaid")</f>
        <v>Neach-ionaid</v>
      </c>
    </row>
    <row r="992" spans="1:9" ht="14.25" customHeight="1" x14ac:dyDescent="0.3">
      <c r="A992" s="2">
        <v>991</v>
      </c>
      <c r="B992" s="3" t="s">
        <v>999</v>
      </c>
      <c r="C992" s="2" t="str">
        <f ca="1">IFERROR(__xludf.DUMMYFUNCTION("GOOGLETRANSLATE(B992, ""en"",""es"")"),"tradicional")</f>
        <v>tradicional</v>
      </c>
      <c r="D992" s="2" t="str">
        <f ca="1">IFERROR(__xludf.DUMMYFUNCTION("GOOGLETRANSLATE(B992,""en"",""ig"")"),"keodinaala")</f>
        <v>keodinaala</v>
      </c>
      <c r="E992" s="2" t="str">
        <f ca="1">IFERROR(__xludf.DUMMYFUNCTION("GOOGLETRANSLATE(B992,""en"",""fr"")"),"traditionnel")</f>
        <v>traditionnel</v>
      </c>
      <c r="F992" s="2" t="str">
        <f ca="1">IFERROR(__xludf.DUMMYFUNCTION("GOOGLETRANSLATE(B992,""en"",""it"")"),"tradizionale")</f>
        <v>tradizionale</v>
      </c>
      <c r="G992" s="2" t="str">
        <f ca="1">IFERROR(__xludf.DUMMYFUNCTION("GOOGLETRANSLATE(B992,""en"",""de"")"),"traditionell")</f>
        <v>traditionell</v>
      </c>
      <c r="H992" s="2" t="str">
        <f ca="1">IFERROR(__xludf.DUMMYFUNCTION("GOOGLETRANSLATE(B992,""en"",""zh"")"),"传统的")</f>
        <v>传统的</v>
      </c>
      <c r="I992" s="2" t="str">
        <f ca="1">IFERROR(__xludf.DUMMYFUNCTION("GOOGLETRANSLATE(B992,""en"",""gd"")"),"Traidiseanta")</f>
        <v>Traidiseanta</v>
      </c>
    </row>
    <row r="993" spans="1:9" ht="14.25" customHeight="1" x14ac:dyDescent="0.3">
      <c r="A993" s="2">
        <v>992</v>
      </c>
      <c r="B993" s="3" t="s">
        <v>1000</v>
      </c>
      <c r="C993" s="2" t="str">
        <f ca="1">IFERROR(__xludf.DUMMYFUNCTION("GOOGLETRANSLATE(B993, ""en"",""es"")"),"reemplazar")</f>
        <v>reemplazar</v>
      </c>
      <c r="D993" s="2" t="str">
        <f ca="1">IFERROR(__xludf.DUMMYFUNCTION("GOOGLETRANSLATE(B993,""en"",""ig"")"),"idochi")</f>
        <v>idochi</v>
      </c>
      <c r="E993" s="2" t="str">
        <f ca="1">IFERROR(__xludf.DUMMYFUNCTION("GOOGLETRANSLATE(B993,""en"",""fr"")"),"remplacer")</f>
        <v>remplacer</v>
      </c>
      <c r="F993" s="2" t="str">
        <f ca="1">IFERROR(__xludf.DUMMYFUNCTION("GOOGLETRANSLATE(B993,""en"",""it"")"),"sostituire")</f>
        <v>sostituire</v>
      </c>
      <c r="G993" s="2" t="str">
        <f ca="1">IFERROR(__xludf.DUMMYFUNCTION("GOOGLETRANSLATE(B993,""en"",""de"")"),"ersetzen")</f>
        <v>ersetzen</v>
      </c>
      <c r="H993" s="2" t="str">
        <f ca="1">IFERROR(__xludf.DUMMYFUNCTION("GOOGLETRANSLATE(B993,""en"",""zh"")"),"代替")</f>
        <v>代替</v>
      </c>
      <c r="I993" s="2" t="str">
        <f ca="1">IFERROR(__xludf.DUMMYFUNCTION("GOOGLETRANSLATE(B993,""en"",""gd"")"),"cuir an àite")</f>
        <v>cuir an àite</v>
      </c>
    </row>
    <row r="994" spans="1:9" ht="14.25" customHeight="1" x14ac:dyDescent="0.3">
      <c r="A994" s="2">
        <v>993</v>
      </c>
      <c r="B994" s="3" t="s">
        <v>1001</v>
      </c>
      <c r="C994" s="2" t="str">
        <f ca="1">IFERROR(__xludf.DUMMYFUNCTION("GOOGLETRANSLATE(B994, ""en"",""es"")"),"juez")</f>
        <v>juez</v>
      </c>
      <c r="D994" s="2" t="str">
        <f ca="1">IFERROR(__xludf.DUMMYFUNCTION("GOOGLETRANSLATE(B994,""en"",""ig"")"),"ikpezi")</f>
        <v>ikpezi</v>
      </c>
      <c r="E994" s="2" t="str">
        <f ca="1">IFERROR(__xludf.DUMMYFUNCTION("GOOGLETRANSLATE(B994,""en"",""fr"")"),"juge")</f>
        <v>juge</v>
      </c>
      <c r="F994" s="2" t="str">
        <f ca="1">IFERROR(__xludf.DUMMYFUNCTION("GOOGLETRANSLATE(B994,""en"",""it"")"),"giudice")</f>
        <v>giudice</v>
      </c>
      <c r="G994" s="2" t="str">
        <f ca="1">IFERROR(__xludf.DUMMYFUNCTION("GOOGLETRANSLATE(B994,""en"",""de"")"),"Richter")</f>
        <v>Richter</v>
      </c>
      <c r="H994" s="2" t="str">
        <f ca="1">IFERROR(__xludf.DUMMYFUNCTION("GOOGLETRANSLATE(B994,""en"",""zh"")"),"法官")</f>
        <v>法官</v>
      </c>
      <c r="I994" s="2" t="str">
        <f ca="1">IFERROR(__xludf.DUMMYFUNCTION("GOOGLETRANSLATE(B994,""en"",""gd"")"),"Breitheamh")</f>
        <v>Breitheamh</v>
      </c>
    </row>
    <row r="995" spans="1:9" ht="14.25" customHeight="1" x14ac:dyDescent="0.3">
      <c r="A995" s="2">
        <v>994</v>
      </c>
      <c r="B995" s="3" t="s">
        <v>1002</v>
      </c>
      <c r="C995" s="2" t="str">
        <f ca="1">IFERROR(__xludf.DUMMYFUNCTION("GOOGLETRANSLATE(B995, ""en"",""es"")"),"sí misma")</f>
        <v>sí misma</v>
      </c>
      <c r="D995" s="2" t="str">
        <f ca="1">IFERROR(__xludf.DUMMYFUNCTION("GOOGLETRANSLATE(B995,""en"",""ig"")"),"onwe ya")</f>
        <v>onwe ya</v>
      </c>
      <c r="E995" s="2" t="str">
        <f ca="1">IFERROR(__xludf.DUMMYFUNCTION("GOOGLETRANSLATE(B995,""en"",""fr"")"),"se")</f>
        <v>se</v>
      </c>
      <c r="F995" s="2" t="str">
        <f ca="1">IFERROR(__xludf.DUMMYFUNCTION("GOOGLETRANSLATE(B995,""en"",""it"")"),"se stessa")</f>
        <v>se stessa</v>
      </c>
      <c r="G995" s="2" t="str">
        <f ca="1">IFERROR(__xludf.DUMMYFUNCTION("GOOGLETRANSLATE(B995,""en"",""de"")"),"Sie selber")</f>
        <v>Sie selber</v>
      </c>
      <c r="H995" s="2" t="str">
        <f ca="1">IFERROR(__xludf.DUMMYFUNCTION("GOOGLETRANSLATE(B995,""en"",""zh"")"),"她自己")</f>
        <v>她自己</v>
      </c>
      <c r="I995" s="2" t="str">
        <f ca="1">IFERROR(__xludf.DUMMYFUNCTION("GOOGLETRANSLATE(B995,""en"",""gd"")"),"i fhèin")</f>
        <v>i fhèin</v>
      </c>
    </row>
    <row r="996" spans="1:9" ht="14.25" customHeight="1" x14ac:dyDescent="0.3">
      <c r="A996" s="2">
        <v>995</v>
      </c>
      <c r="B996" s="3" t="s">
        <v>1003</v>
      </c>
      <c r="C996" s="2" t="str">
        <f ca="1">IFERROR(__xludf.DUMMYFUNCTION("GOOGLETRANSLATE(B996, ""en"",""es"")"),"de repente")</f>
        <v>de repente</v>
      </c>
      <c r="D996" s="2" t="str">
        <f ca="1">IFERROR(__xludf.DUMMYFUNCTION("GOOGLETRANSLATE(B996,""en"",""ig"")"),"na mberede")</f>
        <v>na mberede</v>
      </c>
      <c r="E996" s="2" t="str">
        <f ca="1">IFERROR(__xludf.DUMMYFUNCTION("GOOGLETRANSLATE(B996,""en"",""fr"")"),"soudainement")</f>
        <v>soudainement</v>
      </c>
      <c r="F996" s="2" t="str">
        <f ca="1">IFERROR(__xludf.DUMMYFUNCTION("GOOGLETRANSLATE(B996,""en"",""it"")"),"All'improvviso")</f>
        <v>All'improvviso</v>
      </c>
      <c r="G996" s="2" t="str">
        <f ca="1">IFERROR(__xludf.DUMMYFUNCTION("GOOGLETRANSLATE(B996,""en"",""de"")"),"plötzlich")</f>
        <v>plötzlich</v>
      </c>
      <c r="H996" s="2" t="str">
        <f ca="1">IFERROR(__xludf.DUMMYFUNCTION("GOOGLETRANSLATE(B996,""en"",""zh"")"),"突然")</f>
        <v>突然</v>
      </c>
      <c r="I996" s="2" t="str">
        <f ca="1">IFERROR(__xludf.DUMMYFUNCTION("GOOGLETRANSLATE(B996,""en"",""gd"")"),"gu h-obann")</f>
        <v>gu h-obann</v>
      </c>
    </row>
    <row r="997" spans="1:9" ht="14.25" customHeight="1" x14ac:dyDescent="0.3">
      <c r="A997" s="2">
        <v>996</v>
      </c>
      <c r="B997" s="3" t="s">
        <v>1004</v>
      </c>
      <c r="C997" s="2" t="str">
        <f ca="1">IFERROR(__xludf.DUMMYFUNCTION("GOOGLETRANSLATE(B997, ""en"",""es"")"),"generación")</f>
        <v>generación</v>
      </c>
      <c r="D997" s="2" t="str">
        <f ca="1">IFERROR(__xludf.DUMMYFUNCTION("GOOGLETRANSLATE(B997,""en"",""ig"")"),"ndudugandu")</f>
        <v>ndudugandu</v>
      </c>
      <c r="E997" s="2" t="str">
        <f ca="1">IFERROR(__xludf.DUMMYFUNCTION("GOOGLETRANSLATE(B997,""en"",""fr"")"),"génération")</f>
        <v>génération</v>
      </c>
      <c r="F997" s="2" t="str">
        <f ca="1">IFERROR(__xludf.DUMMYFUNCTION("GOOGLETRANSLATE(B997,""en"",""it"")"),"generazione")</f>
        <v>generazione</v>
      </c>
      <c r="G997" s="2" t="str">
        <f ca="1">IFERROR(__xludf.DUMMYFUNCTION("GOOGLETRANSLATE(B997,""en"",""de"")"),"Generation")</f>
        <v>Generation</v>
      </c>
      <c r="H997" s="2" t="str">
        <f ca="1">IFERROR(__xludf.DUMMYFUNCTION("GOOGLETRANSLATE(B997,""en"",""zh"")"),"一代")</f>
        <v>一代</v>
      </c>
      <c r="I997" s="2" t="str">
        <f ca="1">IFERROR(__xludf.DUMMYFUNCTION("GOOGLETRANSLATE(B997,""en"",""gd"")"),"ginealach")</f>
        <v>ginealach</v>
      </c>
    </row>
    <row r="998" spans="1:9" ht="14.25" customHeight="1" x14ac:dyDescent="0.3">
      <c r="A998" s="2">
        <v>997</v>
      </c>
      <c r="B998" s="3" t="s">
        <v>1005</v>
      </c>
      <c r="C998" s="2" t="str">
        <f ca="1">IFERROR(__xludf.DUMMYFUNCTION("GOOGLETRANSLATE(B998, ""en"",""es"")"),"estimar")</f>
        <v>estimar</v>
      </c>
      <c r="D998" s="2" t="str">
        <f ca="1">IFERROR(__xludf.DUMMYFUNCTION("GOOGLETRANSLATE(B998,""en"",""ig"")"),"iru eru")</f>
        <v>iru eru</v>
      </c>
      <c r="E998" s="2" t="str">
        <f ca="1">IFERROR(__xludf.DUMMYFUNCTION("GOOGLETRANSLATE(B998,""en"",""fr"")"),"estimation")</f>
        <v>estimation</v>
      </c>
      <c r="F998" s="2" t="str">
        <f ca="1">IFERROR(__xludf.DUMMYFUNCTION("GOOGLETRANSLATE(B998,""en"",""it"")"),"stima")</f>
        <v>stima</v>
      </c>
      <c r="G998" s="2" t="str">
        <f ca="1">IFERROR(__xludf.DUMMYFUNCTION("GOOGLETRANSLATE(B998,""en"",""de"")"),"schätzen")</f>
        <v>schätzen</v>
      </c>
      <c r="H998" s="2" t="str">
        <f ca="1">IFERROR(__xludf.DUMMYFUNCTION("GOOGLETRANSLATE(B998,""en"",""zh"")"),"估计")</f>
        <v>估计</v>
      </c>
      <c r="I998" s="2" t="str">
        <f ca="1">IFERROR(__xludf.DUMMYFUNCTION("GOOGLETRANSLATE(B998,""en"",""gd"")"),"dèan tuairmse")</f>
        <v>dèan tuairmse</v>
      </c>
    </row>
    <row r="999" spans="1:9" ht="14.25" customHeight="1" x14ac:dyDescent="0.3">
      <c r="A999" s="2">
        <v>998</v>
      </c>
      <c r="B999" s="3" t="s">
        <v>1006</v>
      </c>
      <c r="C999" s="2" t="str">
        <f ca="1">IFERROR(__xludf.DUMMYFUNCTION("GOOGLETRANSLATE(B999, ""en"",""es"")"),"favorito")</f>
        <v>favorito</v>
      </c>
      <c r="D999" s="2" t="str">
        <f ca="1">IFERROR(__xludf.DUMMYFUNCTION("GOOGLETRANSLATE(B999,""en"",""ig"")"),"nhuru n'anya")</f>
        <v>nhuru n'anya</v>
      </c>
      <c r="E999" s="2" t="str">
        <f ca="1">IFERROR(__xludf.DUMMYFUNCTION("GOOGLETRANSLATE(B999,""en"",""fr"")"),"préféré")</f>
        <v>préféré</v>
      </c>
      <c r="F999" s="2" t="str">
        <f ca="1">IFERROR(__xludf.DUMMYFUNCTION("GOOGLETRANSLATE(B999,""en"",""it"")"),"preferito")</f>
        <v>preferito</v>
      </c>
      <c r="G999" s="2" t="str">
        <f ca="1">IFERROR(__xludf.DUMMYFUNCTION("GOOGLETRANSLATE(B999,""en"",""de"")"),"Favorit")</f>
        <v>Favorit</v>
      </c>
      <c r="H999" s="2" t="str">
        <f ca="1">IFERROR(__xludf.DUMMYFUNCTION("GOOGLETRANSLATE(B999,""en"",""zh"")"),"最喜欢的")</f>
        <v>最喜欢的</v>
      </c>
      <c r="I999" s="2" t="str">
        <f ca="1">IFERROR(__xludf.DUMMYFUNCTION("GOOGLETRANSLATE(B999,""en"",""gd"")"),"as fheàrr leat")</f>
        <v>as fheàrr leat</v>
      </c>
    </row>
    <row r="1000" spans="1:9" ht="14.25" customHeight="1" x14ac:dyDescent="0.3">
      <c r="A1000" s="2">
        <v>999</v>
      </c>
      <c r="B1000" s="3" t="s">
        <v>1007</v>
      </c>
      <c r="C1000" s="2" t="str">
        <f ca="1">IFERROR(__xludf.DUMMYFUNCTION("GOOGLETRANSLATE(B1000, ""en"",""es"")"),"dificultad")</f>
        <v>dificultad</v>
      </c>
      <c r="D1000" s="2" t="str">
        <f ca="1">IFERROR(__xludf.DUMMYFUNCTION("GOOGLETRANSLATE(B1000,""en"",""ig"")"),"nsiike")</f>
        <v>nsiike</v>
      </c>
      <c r="E1000" s="2" t="str">
        <f ca="1">IFERROR(__xludf.DUMMYFUNCTION("GOOGLETRANSLATE(B1000,""en"",""fr"")"),"difficulté")</f>
        <v>difficulté</v>
      </c>
      <c r="F1000" s="2" t="str">
        <f ca="1">IFERROR(__xludf.DUMMYFUNCTION("GOOGLETRANSLATE(B1000,""en"",""it"")"),"difficoltà")</f>
        <v>difficoltà</v>
      </c>
      <c r="G1000" s="2" t="str">
        <f ca="1">IFERROR(__xludf.DUMMYFUNCTION("GOOGLETRANSLATE(B1000,""en"",""de"")"),"Schwierigkeit")</f>
        <v>Schwierigkeit</v>
      </c>
      <c r="H1000" s="2" t="str">
        <f ca="1">IFERROR(__xludf.DUMMYFUNCTION("GOOGLETRANSLATE(B1000,""en"",""zh"")"),"困难")</f>
        <v>困难</v>
      </c>
      <c r="I1000" s="2" t="str">
        <f ca="1">IFERROR(__xludf.DUMMYFUNCTION("GOOGLETRANSLATE(B1000,""en"",""gd"")"),"Duilgheadas")</f>
        <v>Duilgheadas</v>
      </c>
    </row>
    <row r="1001" spans="1:9" ht="14.25" customHeight="1" x14ac:dyDescent="0.3">
      <c r="A1001" s="2">
        <v>1000</v>
      </c>
      <c r="B1001" s="3" t="s">
        <v>1008</v>
      </c>
      <c r="C1001" s="2" t="str">
        <f ca="1">IFERROR(__xludf.DUMMYFUNCTION("GOOGLETRANSLATE(B1001, ""en"",""es"")"),"compra")</f>
        <v>compra</v>
      </c>
      <c r="D1001" s="2" t="str">
        <f ca="1">IFERROR(__xludf.DUMMYFUNCTION("GOOGLETRANSLATE(B1001,""en"",""ig"")"),"zuo")</f>
        <v>zuo</v>
      </c>
      <c r="E1001" s="2" t="str">
        <f ca="1">IFERROR(__xludf.DUMMYFUNCTION("GOOGLETRANSLATE(B1001,""en"",""fr"")"),"achat")</f>
        <v>achat</v>
      </c>
      <c r="F1001" s="2" t="str">
        <f ca="1">IFERROR(__xludf.DUMMYFUNCTION("GOOGLETRANSLATE(B1001,""en"",""it"")"),"acquistare")</f>
        <v>acquistare</v>
      </c>
      <c r="G1001" s="2" t="str">
        <f ca="1">IFERROR(__xludf.DUMMYFUNCTION("GOOGLETRANSLATE(B1001,""en"",""de"")"),"kaufen")</f>
        <v>kaufen</v>
      </c>
      <c r="H1001" s="2" t="str">
        <f ca="1">IFERROR(__xludf.DUMMYFUNCTION("GOOGLETRANSLATE(B1001,""en"",""zh"")"),"购买")</f>
        <v>购买</v>
      </c>
      <c r="I1001" s="2" t="str">
        <f ca="1">IFERROR(__xludf.DUMMYFUNCTION("GOOGLETRANSLATE(B1001,""en"",""gd"")"),"Ceannach")</f>
        <v>Ceannach</v>
      </c>
    </row>
    <row r="1002" spans="1:9" ht="14.25" customHeight="1" x14ac:dyDescent="0.3">
      <c r="A1002" s="2">
        <v>1001</v>
      </c>
      <c r="B1002" s="3" t="s">
        <v>1009</v>
      </c>
      <c r="C1002" s="2" t="str">
        <f ca="1">IFERROR(__xludf.DUMMYFUNCTION("GOOGLETRANSLATE(B1002, ""en"",""es"")"),"disparar")</f>
        <v>disparar</v>
      </c>
      <c r="D1002" s="2" t="str">
        <f ca="1">IFERROR(__xludf.DUMMYFUNCTION("GOOGLETRANSLATE(B1002,""en"",""ig"")"),"gbaa")</f>
        <v>gbaa</v>
      </c>
      <c r="E1002" s="2" t="str">
        <f ca="1">IFERROR(__xludf.DUMMYFUNCTION("GOOGLETRANSLATE(B1002,""en"",""fr"")"),"tirer")</f>
        <v>tirer</v>
      </c>
      <c r="F1002" s="2" t="str">
        <f ca="1">IFERROR(__xludf.DUMMYFUNCTION("GOOGLETRANSLATE(B1002,""en"",""it"")"),"sparare")</f>
        <v>sparare</v>
      </c>
      <c r="G1002" s="2" t="str">
        <f ca="1">IFERROR(__xludf.DUMMYFUNCTION("GOOGLETRANSLATE(B1002,""en"",""de"")"),"schießen")</f>
        <v>schießen</v>
      </c>
      <c r="H1002" s="2" t="str">
        <f ca="1">IFERROR(__xludf.DUMMYFUNCTION("GOOGLETRANSLATE(B1002,""en"",""zh"")"),"射击")</f>
        <v>射击</v>
      </c>
      <c r="I1002" s="2" t="str">
        <f ca="1">IFERROR(__xludf.DUMMYFUNCTION("GOOGLETRANSLATE(B1002,""en"",""gd"")"),"losgadh")</f>
        <v>losgadh</v>
      </c>
    </row>
    <row r="1003" spans="1:9" ht="14.25" customHeight="1" x14ac:dyDescent="0.3">
      <c r="A1003" s="2">
        <v>1002</v>
      </c>
      <c r="B1003" s="3" t="s">
        <v>1010</v>
      </c>
      <c r="C1003" s="2" t="str">
        <f ca="1">IFERROR(__xludf.DUMMYFUNCTION("GOOGLETRANSLATE(B1003, ""en"",""es"")"),"anunciar")</f>
        <v>anunciar</v>
      </c>
      <c r="D1003" s="2" t="str">
        <f ca="1">IFERROR(__xludf.DUMMYFUNCTION("GOOGLETRANSLATE(B1003,""en"",""ig"")"),"igwa")</f>
        <v>igwa</v>
      </c>
      <c r="E1003" s="2" t="str">
        <f ca="1">IFERROR(__xludf.DUMMYFUNCTION("GOOGLETRANSLATE(B1003,""en"",""fr"")"),"annoncer")</f>
        <v>annoncer</v>
      </c>
      <c r="F1003" s="2" t="str">
        <f ca="1">IFERROR(__xludf.DUMMYFUNCTION("GOOGLETRANSLATE(B1003,""en"",""it"")"),"annunciare")</f>
        <v>annunciare</v>
      </c>
      <c r="G1003" s="2" t="str">
        <f ca="1">IFERROR(__xludf.DUMMYFUNCTION("GOOGLETRANSLATE(B1003,""en"",""de"")"),"bekannt geben")</f>
        <v>bekannt geben</v>
      </c>
      <c r="H1003" s="2" t="str">
        <f ca="1">IFERROR(__xludf.DUMMYFUNCTION("GOOGLETRANSLATE(B1003,""en"",""zh"")"),"宣布")</f>
        <v>宣布</v>
      </c>
      <c r="I1003" s="2" t="str">
        <f ca="1">IFERROR(__xludf.DUMMYFUNCTION("GOOGLETRANSLATE(B1003,""en"",""gd"")"),"ainmeachadh")</f>
        <v>ainmeachadh</v>
      </c>
    </row>
    <row r="1004" spans="1:9" ht="14.25" customHeight="1" x14ac:dyDescent="0.3">
      <c r="A1004" s="2">
        <v>1003</v>
      </c>
      <c r="B1004" s="3" t="s">
        <v>1011</v>
      </c>
      <c r="C1004" s="2" t="str">
        <f ca="1">IFERROR(__xludf.DUMMYFUNCTION("GOOGLETRANSLATE(B1004, ""en"",""es"")"),"a menos que")</f>
        <v>a menos que</v>
      </c>
      <c r="D1004" s="2" t="str">
        <f ca="1">IFERROR(__xludf.DUMMYFUNCTION("GOOGLETRANSLATE(B1004,""en"",""ig"")"),"ma")</f>
        <v>ma</v>
      </c>
      <c r="E1004" s="2" t="str">
        <f ca="1">IFERROR(__xludf.DUMMYFUNCTION("GOOGLETRANSLATE(B1004,""en"",""fr"")"),"sauf si")</f>
        <v>sauf si</v>
      </c>
      <c r="F1004" s="2" t="str">
        <f ca="1">IFERROR(__xludf.DUMMYFUNCTION("GOOGLETRANSLATE(B1004,""en"",""it"")"),"salvo che")</f>
        <v>salvo che</v>
      </c>
      <c r="G1004" s="2" t="str">
        <f ca="1">IFERROR(__xludf.DUMMYFUNCTION("GOOGLETRANSLATE(B1004,""en"",""de"")"),"es sei denn")</f>
        <v>es sei denn</v>
      </c>
      <c r="H1004" s="2" t="str">
        <f ca="1">IFERROR(__xludf.DUMMYFUNCTION("GOOGLETRANSLATE(B1004,""en"",""zh"")"),"除非")</f>
        <v>除非</v>
      </c>
      <c r="I1004" s="2" t="str">
        <f ca="1">IFERROR(__xludf.DUMMYFUNCTION("GOOGLETRANSLATE(B1004,""en"",""gd"")"),"Mura h-eil")</f>
        <v>Mura h-eil</v>
      </c>
    </row>
    <row r="1005" spans="1:9" ht="14.25" customHeight="1" x14ac:dyDescent="0.3">
      <c r="A1005" s="2">
        <v>1004</v>
      </c>
      <c r="B1005" s="3" t="s">
        <v>1012</v>
      </c>
      <c r="C1005" s="2" t="str">
        <f ca="1">IFERROR(__xludf.DUMMYFUNCTION("GOOGLETRANSLATE(B1005, ""en"",""es"")"),"independiente")</f>
        <v>independiente</v>
      </c>
      <c r="D1005" s="2" t="str">
        <f ca="1">IFERROR(__xludf.DUMMYFUNCTION("GOOGLETRANSLATE(B1005,""en"",""ig"")"),"kennoroonwe")</f>
        <v>kennoroonwe</v>
      </c>
      <c r="E1005" s="2" t="str">
        <f ca="1">IFERROR(__xludf.DUMMYFUNCTION("GOOGLETRANSLATE(B1005,""en"",""fr"")"),"indépendant")</f>
        <v>indépendant</v>
      </c>
      <c r="F1005" s="2" t="str">
        <f ca="1">IFERROR(__xludf.DUMMYFUNCTION("GOOGLETRANSLATE(B1005,""en"",""it"")"),"indipendente")</f>
        <v>indipendente</v>
      </c>
      <c r="G1005" s="2" t="str">
        <f ca="1">IFERROR(__xludf.DUMMYFUNCTION("GOOGLETRANSLATE(B1005,""en"",""de"")"),"unabhängig")</f>
        <v>unabhängig</v>
      </c>
      <c r="H1005" s="2" t="str">
        <f ca="1">IFERROR(__xludf.DUMMYFUNCTION("GOOGLETRANSLATE(B1005,""en"",""zh"")"),"独立的")</f>
        <v>独立的</v>
      </c>
      <c r="I1005" s="2" t="str">
        <f ca="1">IFERROR(__xludf.DUMMYFUNCTION("GOOGLETRANSLATE(B1005,""en"",""gd"")"),"Neo-eisimeileach")</f>
        <v>Neo-eisimeileach</v>
      </c>
    </row>
    <row r="1006" spans="1:9" ht="14.25" customHeight="1" x14ac:dyDescent="0.3">
      <c r="A1006" s="2">
        <v>1005</v>
      </c>
      <c r="B1006" s="3" t="s">
        <v>1013</v>
      </c>
      <c r="C1006" s="2" t="str">
        <f ca="1">IFERROR(__xludf.DUMMYFUNCTION("GOOGLETRANSLATE(B1006, ""en"",""es"")"),"recomendar")</f>
        <v>recomendar</v>
      </c>
      <c r="D1006" s="2" t="str">
        <f ca="1">IFERROR(__xludf.DUMMYFUNCTION("GOOGLETRANSLATE(B1006,""en"",""ig"")"),"kwanye")</f>
        <v>kwanye</v>
      </c>
      <c r="E1006" s="2" t="str">
        <f ca="1">IFERROR(__xludf.DUMMYFUNCTION("GOOGLETRANSLATE(B1006,""en"",""fr"")"),"recommander")</f>
        <v>recommander</v>
      </c>
      <c r="F1006" s="2" t="str">
        <f ca="1">IFERROR(__xludf.DUMMYFUNCTION("GOOGLETRANSLATE(B1006,""en"",""it"")"),"consiglio")</f>
        <v>consiglio</v>
      </c>
      <c r="G1006" s="2" t="str">
        <f ca="1">IFERROR(__xludf.DUMMYFUNCTION("GOOGLETRANSLATE(B1006,""en"",""de"")"),"empfehlen")</f>
        <v>empfehlen</v>
      </c>
      <c r="H1006" s="2" t="str">
        <f ca="1">IFERROR(__xludf.DUMMYFUNCTION("GOOGLETRANSLATE(B1006,""en"",""zh"")"),"推荐")</f>
        <v>推荐</v>
      </c>
      <c r="I1006" s="2" t="str">
        <f ca="1">IFERROR(__xludf.DUMMYFUNCTION("GOOGLETRANSLATE(B1006,""en"",""gd"")"),"moladh")</f>
        <v>moladh</v>
      </c>
    </row>
    <row r="1007" spans="1:9" ht="14.25" customHeight="1" x14ac:dyDescent="0.3">
      <c r="A1007" s="2">
        <v>1006</v>
      </c>
      <c r="B1007" s="3" t="s">
        <v>1014</v>
      </c>
      <c r="C1007" s="2" t="str">
        <f ca="1">IFERROR(__xludf.DUMMYFUNCTION("GOOGLETRANSLATE(B1007, ""en"",""es"")"),"encuesta")</f>
        <v>encuesta</v>
      </c>
      <c r="D1007" s="2" t="str">
        <f ca="1">IFERROR(__xludf.DUMMYFUNCTION("GOOGLETRANSLATE(B1007,""en"",""ig"")"),"sofia")</f>
        <v>sofia</v>
      </c>
      <c r="E1007" s="2" t="str">
        <f ca="1">IFERROR(__xludf.DUMMYFUNCTION("GOOGLETRANSLATE(B1007,""en"",""fr"")"),"enquête")</f>
        <v>enquête</v>
      </c>
      <c r="F1007" s="2" t="str">
        <f ca="1">IFERROR(__xludf.DUMMYFUNCTION("GOOGLETRANSLATE(B1007,""en"",""it"")"),"sondaggio")</f>
        <v>sondaggio</v>
      </c>
      <c r="G1007" s="2" t="str">
        <f ca="1">IFERROR(__xludf.DUMMYFUNCTION("GOOGLETRANSLATE(B1007,""en"",""de"")"),"Umfrage")</f>
        <v>Umfrage</v>
      </c>
      <c r="H1007" s="2" t="str">
        <f ca="1">IFERROR(__xludf.DUMMYFUNCTION("GOOGLETRANSLATE(B1007,""en"",""zh"")"),"民意调查")</f>
        <v>民意调查</v>
      </c>
      <c r="I1007" s="2" t="str">
        <f ca="1">IFERROR(__xludf.DUMMYFUNCTION("GOOGLETRANSLATE(B1007,""en"",""gd"")"),"Sgrùdadh")</f>
        <v>Sgrùdadh</v>
      </c>
    </row>
    <row r="1008" spans="1:9" ht="14.25" customHeight="1" x14ac:dyDescent="0.3">
      <c r="A1008" s="2">
        <v>1007</v>
      </c>
      <c r="B1008" s="3" t="s">
        <v>1015</v>
      </c>
      <c r="C1008" s="2" t="str">
        <f ca="1">IFERROR(__xludf.DUMMYFUNCTION("GOOGLETRANSLATE(B1008, ""en"",""es"")"),"mayoría")</f>
        <v>mayoría</v>
      </c>
      <c r="D1008" s="2" t="str">
        <f ca="1">IFERROR(__xludf.DUMMYFUNCTION("GOOGLETRANSLATE(B1008,""en"",""ig"")"),"otutu")</f>
        <v>otutu</v>
      </c>
      <c r="E1008" s="2" t="str">
        <f ca="1">IFERROR(__xludf.DUMMYFUNCTION("GOOGLETRANSLATE(B1008,""en"",""fr"")"),"majorité")</f>
        <v>majorité</v>
      </c>
      <c r="F1008" s="2" t="str">
        <f ca="1">IFERROR(__xludf.DUMMYFUNCTION("GOOGLETRANSLATE(B1008,""en"",""it"")"),"maggioranza")</f>
        <v>maggioranza</v>
      </c>
      <c r="G1008" s="2" t="str">
        <f ca="1">IFERROR(__xludf.DUMMYFUNCTION("GOOGLETRANSLATE(B1008,""en"",""de"")"),"mehrheitlich")</f>
        <v>mehrheitlich</v>
      </c>
      <c r="H1008" s="2" t="str">
        <f ca="1">IFERROR(__xludf.DUMMYFUNCTION("GOOGLETRANSLATE(B1008,""en"",""zh"")"),"多数")</f>
        <v>多数</v>
      </c>
      <c r="I1008" s="2" t="str">
        <f ca="1">IFERROR(__xludf.DUMMYFUNCTION("GOOGLETRANSLATE(B1008,""en"",""gd"")"),"mòr-chuid")</f>
        <v>mòr-chuid</v>
      </c>
    </row>
    <row r="1009" spans="1:9" ht="14.25" customHeight="1" x14ac:dyDescent="0.3">
      <c r="A1009" s="2">
        <v>1008</v>
      </c>
      <c r="B1009" s="3" t="s">
        <v>1016</v>
      </c>
      <c r="C1009" s="2" t="str">
        <f ca="1">IFERROR(__xludf.DUMMYFUNCTION("GOOGLETRANSLATE(B1009, ""en"",""es"")"),"palo")</f>
        <v>palo</v>
      </c>
      <c r="D1009" s="2" t="str">
        <f ca="1">IFERROR(__xludf.DUMMYFUNCTION("GOOGLETRANSLATE(B1009,""en"",""ig"")"),"mkpisi")</f>
        <v>mkpisi</v>
      </c>
      <c r="E1009" s="2" t="str">
        <f ca="1">IFERROR(__xludf.DUMMYFUNCTION("GOOGLETRANSLATE(B1009,""en"",""fr"")"),"bâton")</f>
        <v>bâton</v>
      </c>
      <c r="F1009" s="2" t="str">
        <f ca="1">IFERROR(__xludf.DUMMYFUNCTION("GOOGLETRANSLATE(B1009,""en"",""it"")"),"bastone")</f>
        <v>bastone</v>
      </c>
      <c r="G1009" s="2" t="str">
        <f ca="1">IFERROR(__xludf.DUMMYFUNCTION("GOOGLETRANSLATE(B1009,""en"",""de"")"),"Stock")</f>
        <v>Stock</v>
      </c>
      <c r="H1009" s="2" t="str">
        <f ca="1">IFERROR(__xludf.DUMMYFUNCTION("GOOGLETRANSLATE(B1009,""en"",""zh"")"),"戳")</f>
        <v>戳</v>
      </c>
      <c r="I1009" s="2" t="str">
        <f ca="1">IFERROR(__xludf.DUMMYFUNCTION("GOOGLETRANSLATE(B1009,""en"",""gd"")"),"bata")</f>
        <v>bata</v>
      </c>
    </row>
    <row r="1010" spans="1:9" ht="14.25" customHeight="1" x14ac:dyDescent="0.3">
      <c r="A1010" s="2">
        <v>1009</v>
      </c>
      <c r="B1010" s="3" t="s">
        <v>1017</v>
      </c>
      <c r="C1010" s="2" t="str">
        <f ca="1">IFERROR(__xludf.DUMMYFUNCTION("GOOGLETRANSLATE(B1010, ""en"",""es"")"),"pedido")</f>
        <v>pedido</v>
      </c>
      <c r="D1010" s="2" t="str">
        <f ca="1">IFERROR(__xludf.DUMMYFUNCTION("GOOGLETRANSLATE(B1010,""en"",""ig"")"),"aririo")</f>
        <v>aririo</v>
      </c>
      <c r="E1010" s="2" t="str">
        <f ca="1">IFERROR(__xludf.DUMMYFUNCTION("GOOGLETRANSLATE(B1010,""en"",""fr"")"),"demande")</f>
        <v>demande</v>
      </c>
      <c r="F1010" s="2" t="str">
        <f ca="1">IFERROR(__xludf.DUMMYFUNCTION("GOOGLETRANSLATE(B1010,""en"",""it"")"),"richiesta")</f>
        <v>richiesta</v>
      </c>
      <c r="G1010" s="2" t="str">
        <f ca="1">IFERROR(__xludf.DUMMYFUNCTION("GOOGLETRANSLATE(B1010,""en"",""de"")"),"Anfrage")</f>
        <v>Anfrage</v>
      </c>
      <c r="H1010" s="2" t="str">
        <f ca="1">IFERROR(__xludf.DUMMYFUNCTION("GOOGLETRANSLATE(B1010,""en"",""zh"")"),"要求")</f>
        <v>要求</v>
      </c>
      <c r="I1010" s="2" t="str">
        <f ca="1">IFERROR(__xludf.DUMMYFUNCTION("GOOGLETRANSLATE(B1010,""en"",""gd"")"),"Iarrtas")</f>
        <v>Iarrtas</v>
      </c>
    </row>
    <row r="1011" spans="1:9" ht="14.25" customHeight="1" x14ac:dyDescent="0.3">
      <c r="A1011" s="2">
        <v>1010</v>
      </c>
      <c r="B1011" s="3" t="s">
        <v>1018</v>
      </c>
      <c r="C1011" s="2" t="str">
        <f ca="1">IFERROR(__xludf.DUMMYFUNCTION("GOOGLETRANSLATE(B1011, ""en"",""es"")"),"rico")</f>
        <v>rico</v>
      </c>
      <c r="D1011" s="2" t="str">
        <f ca="1">IFERROR(__xludf.DUMMYFUNCTION("GOOGLETRANSLATE(B1011,""en"",""ig"")"),"uba")</f>
        <v>uba</v>
      </c>
      <c r="E1011" s="2" t="str">
        <f ca="1">IFERROR(__xludf.DUMMYFUNCTION("GOOGLETRANSLATE(B1011,""en"",""fr"")"),"riche")</f>
        <v>riche</v>
      </c>
      <c r="F1011" s="2" t="str">
        <f ca="1">IFERROR(__xludf.DUMMYFUNCTION("GOOGLETRANSLATE(B1011,""en"",""it"")"),"ricco")</f>
        <v>ricco</v>
      </c>
      <c r="G1011" s="2" t="str">
        <f ca="1">IFERROR(__xludf.DUMMYFUNCTION("GOOGLETRANSLATE(B1011,""en"",""de"")"),"reich")</f>
        <v>reich</v>
      </c>
      <c r="H1011" s="2" t="str">
        <f ca="1">IFERROR(__xludf.DUMMYFUNCTION("GOOGLETRANSLATE(B1011,""en"",""zh"")"),"富有的")</f>
        <v>富有的</v>
      </c>
      <c r="I1011" s="2" t="str">
        <f ca="1">IFERROR(__xludf.DUMMYFUNCTION("GOOGLETRANSLATE(B1011,""en"",""gd"")"),"beairteach")</f>
        <v>beairteach</v>
      </c>
    </row>
    <row r="1012" spans="1:9" ht="14.25" customHeight="1" x14ac:dyDescent="0.3">
      <c r="A1012" s="2">
        <v>1011</v>
      </c>
      <c r="B1012" s="3" t="s">
        <v>1019</v>
      </c>
      <c r="C1012" s="2" t="str">
        <f ca="1">IFERROR(__xludf.DUMMYFUNCTION("GOOGLETRANSLATE(B1012, ""en"",""es"")"),"viento")</f>
        <v>viento</v>
      </c>
      <c r="D1012" s="2" t="str">
        <f ca="1">IFERROR(__xludf.DUMMYFUNCTION("GOOGLETRANSLATE(B1012,""en"",""ig"")"),"ufereoyi")</f>
        <v>ufereoyi</v>
      </c>
      <c r="E1012" s="2" t="str">
        <f ca="1">IFERROR(__xludf.DUMMYFUNCTION("GOOGLETRANSLATE(B1012,""en"",""fr"")"),"vent")</f>
        <v>vent</v>
      </c>
      <c r="F1012" s="2" t="str">
        <f ca="1">IFERROR(__xludf.DUMMYFUNCTION("GOOGLETRANSLATE(B1012,""en"",""it"")"),"vento")</f>
        <v>vento</v>
      </c>
      <c r="G1012" s="2" t="str">
        <f ca="1">IFERROR(__xludf.DUMMYFUNCTION("GOOGLETRANSLATE(B1012,""en"",""de"")"),"Wind")</f>
        <v>Wind</v>
      </c>
      <c r="H1012" s="2" t="str">
        <f ca="1">IFERROR(__xludf.DUMMYFUNCTION("GOOGLETRANSLATE(B1012,""en"",""zh"")"),"风")</f>
        <v>风</v>
      </c>
      <c r="I1012" s="2" t="str">
        <f ca="1">IFERROR(__xludf.DUMMYFUNCTION("GOOGLETRANSLATE(B1012,""en"",""gd"")"),"gaoth")</f>
        <v>gaoth</v>
      </c>
    </row>
    <row r="1013" spans="1:9" ht="14.25" customHeight="1" x14ac:dyDescent="0.3">
      <c r="A1013" s="2">
        <v>1012</v>
      </c>
      <c r="B1013" s="3" t="s">
        <v>1020</v>
      </c>
      <c r="C1013" s="2" t="str">
        <f ca="1">IFERROR(__xludf.DUMMYFUNCTION("GOOGLETRANSLATE(B1013, ""en"",""es"")"),"ninguno")</f>
        <v>ninguno</v>
      </c>
      <c r="D1013" s="2" t="str">
        <f ca="1">IFERROR(__xludf.DUMMYFUNCTION("GOOGLETRANSLATE(B1013,""en"",""ig"")"),"onweghi")</f>
        <v>onweghi</v>
      </c>
      <c r="E1013" s="2" t="str">
        <f ca="1">IFERROR(__xludf.DUMMYFUNCTION("GOOGLETRANSLATE(B1013,""en"",""fr"")"),"aucun")</f>
        <v>aucun</v>
      </c>
      <c r="F1013" s="2" t="str">
        <f ca="1">IFERROR(__xludf.DUMMYFUNCTION("GOOGLETRANSLATE(B1013,""en"",""it"")"),"nessuno")</f>
        <v>nessuno</v>
      </c>
      <c r="G1013" s="2" t="str">
        <f ca="1">IFERROR(__xludf.DUMMYFUNCTION("GOOGLETRANSLATE(B1013,""en"",""de"")"),"keiner")</f>
        <v>keiner</v>
      </c>
      <c r="H1013" s="2" t="str">
        <f ca="1">IFERROR(__xludf.DUMMYFUNCTION("GOOGLETRANSLATE(B1013,""en"",""zh"")"),"没有任何")</f>
        <v>没有任何</v>
      </c>
      <c r="I1013" s="2" t="str">
        <f ca="1">IFERROR(__xludf.DUMMYFUNCTION("GOOGLETRANSLATE(B1013,""en"",""gd"")"),"Chan eil gin")</f>
        <v>Chan eil gin</v>
      </c>
    </row>
    <row r="1014" spans="1:9" ht="14.25" customHeight="1" x14ac:dyDescent="0.3">
      <c r="A1014" s="2">
        <v>1013</v>
      </c>
      <c r="B1014" s="3" t="s">
        <v>1021</v>
      </c>
      <c r="C1014" s="2" t="str">
        <f ca="1">IFERROR(__xludf.DUMMYFUNCTION("GOOGLETRANSLATE(B1014, ""en"",""es"")"),"intercambio")</f>
        <v>intercambio</v>
      </c>
      <c r="D1014" s="2" t="str">
        <f ca="1">IFERROR(__xludf.DUMMYFUNCTION("GOOGLETRANSLATE(B1014,""en"",""ig"")"),"mgbanwe")</f>
        <v>mgbanwe</v>
      </c>
      <c r="E1014" s="2" t="str">
        <f ca="1">IFERROR(__xludf.DUMMYFUNCTION("GOOGLETRANSLATE(B1014,""en"",""fr"")"),"échange")</f>
        <v>échange</v>
      </c>
      <c r="F1014" s="2" t="str">
        <f ca="1">IFERROR(__xludf.DUMMYFUNCTION("GOOGLETRANSLATE(B1014,""en"",""it"")"),"scambio")</f>
        <v>scambio</v>
      </c>
      <c r="G1014" s="2" t="str">
        <f ca="1">IFERROR(__xludf.DUMMYFUNCTION("GOOGLETRANSLATE(B1014,""en"",""de"")"),"Austausch")</f>
        <v>Austausch</v>
      </c>
      <c r="H1014" s="2" t="str">
        <f ca="1">IFERROR(__xludf.DUMMYFUNCTION("GOOGLETRANSLATE(B1014,""en"",""zh"")"),"交换")</f>
        <v>交换</v>
      </c>
      <c r="I1014" s="2" t="str">
        <f ca="1">IFERROR(__xludf.DUMMYFUNCTION("GOOGLETRANSLATE(B1014,""en"",""gd"")"),"iomlaid")</f>
        <v>iomlaid</v>
      </c>
    </row>
    <row r="1015" spans="1:9" ht="14.25" customHeight="1" x14ac:dyDescent="0.3">
      <c r="A1015" s="2">
        <v>1014</v>
      </c>
      <c r="B1015" s="3" t="s">
        <v>1022</v>
      </c>
      <c r="C1015" s="2" t="str">
        <f ca="1">IFERROR(__xludf.DUMMYFUNCTION("GOOGLETRANSLATE(B1015, ""en"",""es"")"),"presupuesto")</f>
        <v>presupuesto</v>
      </c>
      <c r="D1015" s="2" t="str">
        <f ca="1">IFERROR(__xludf.DUMMYFUNCTION("GOOGLETRANSLATE(B1015,""en"",""ig"")"),"ihe ozuzu")</f>
        <v>ihe ozuzu</v>
      </c>
      <c r="E1015" s="2" t="str">
        <f ca="1">IFERROR(__xludf.DUMMYFUNCTION("GOOGLETRANSLATE(B1015,""en"",""fr"")"),"budget")</f>
        <v>budget</v>
      </c>
      <c r="F1015" s="2" t="str">
        <f ca="1">IFERROR(__xludf.DUMMYFUNCTION("GOOGLETRANSLATE(B1015,""en"",""it"")"),"budget")</f>
        <v>budget</v>
      </c>
      <c r="G1015" s="2" t="str">
        <f ca="1">IFERROR(__xludf.DUMMYFUNCTION("GOOGLETRANSLATE(B1015,""en"",""de"")"),"Budget")</f>
        <v>Budget</v>
      </c>
      <c r="H1015" s="2" t="str">
        <f ca="1">IFERROR(__xludf.DUMMYFUNCTION("GOOGLETRANSLATE(B1015,""en"",""zh"")"),"预算")</f>
        <v>预算</v>
      </c>
      <c r="I1015" s="2" t="str">
        <f ca="1">IFERROR(__xludf.DUMMYFUNCTION("GOOGLETRANSLATE(B1015,""en"",""gd"")"),"Buidseat")</f>
        <v>Buidseat</v>
      </c>
    </row>
    <row r="1016" spans="1:9" ht="14.25" customHeight="1" x14ac:dyDescent="0.3">
      <c r="A1016" s="2">
        <v>1015</v>
      </c>
      <c r="B1016" s="3" t="s">
        <v>1023</v>
      </c>
      <c r="C1016" s="2" t="str">
        <f ca="1">IFERROR(__xludf.DUMMYFUNCTION("GOOGLETRANSLATE(B1016, ""en"",""es"")"),"famoso")</f>
        <v>famoso</v>
      </c>
      <c r="D1016" s="2" t="str">
        <f ca="1">IFERROR(__xludf.DUMMYFUNCTION("GOOGLETRANSLATE(B1016,""en"",""ig"")"),"keomuma")</f>
        <v>keomuma</v>
      </c>
      <c r="E1016" s="2" t="str">
        <f ca="1">IFERROR(__xludf.DUMMYFUNCTION("GOOGLETRANSLATE(B1016,""en"",""fr"")"),"célèbre")</f>
        <v>célèbre</v>
      </c>
      <c r="F1016" s="2" t="str">
        <f ca="1">IFERROR(__xludf.DUMMYFUNCTION("GOOGLETRANSLATE(B1016,""en"",""it"")"),"famoso")</f>
        <v>famoso</v>
      </c>
      <c r="G1016" s="2" t="str">
        <f ca="1">IFERROR(__xludf.DUMMYFUNCTION("GOOGLETRANSLATE(B1016,""en"",""de"")"),"berühmt")</f>
        <v>berühmt</v>
      </c>
      <c r="H1016" s="2" t="str">
        <f ca="1">IFERROR(__xludf.DUMMYFUNCTION("GOOGLETRANSLATE(B1016,""en"",""zh"")"),"著名的")</f>
        <v>著名的</v>
      </c>
      <c r="I1016" s="2" t="str">
        <f ca="1">IFERROR(__xludf.DUMMYFUNCTION("GOOGLETRANSLATE(B1016,""en"",""gd"")"),"ainmeil")</f>
        <v>ainmeil</v>
      </c>
    </row>
    <row r="1017" spans="1:9" ht="14.25" customHeight="1" x14ac:dyDescent="0.3">
      <c r="A1017" s="2">
        <v>1016</v>
      </c>
      <c r="B1017" s="3" t="s">
        <v>1024</v>
      </c>
      <c r="C1017" s="2" t="str">
        <f ca="1">IFERROR(__xludf.DUMMYFUNCTION("GOOGLETRANSLATE(B1017, ""en"",""es"")"),"sangre")</f>
        <v>sangre</v>
      </c>
      <c r="D1017" s="2" t="str">
        <f ca="1">IFERROR(__xludf.DUMMYFUNCTION("GOOGLETRANSLATE(B1017,""en"",""ig"")"),"obara")</f>
        <v>obara</v>
      </c>
      <c r="E1017" s="2" t="str">
        <f ca="1">IFERROR(__xludf.DUMMYFUNCTION("GOOGLETRANSLATE(B1017,""en"",""fr"")"),"sang")</f>
        <v>sang</v>
      </c>
      <c r="F1017" s="2" t="str">
        <f ca="1">IFERROR(__xludf.DUMMYFUNCTION("GOOGLETRANSLATE(B1017,""en"",""it"")"),"sangue")</f>
        <v>sangue</v>
      </c>
      <c r="G1017" s="2" t="str">
        <f ca="1">IFERROR(__xludf.DUMMYFUNCTION("GOOGLETRANSLATE(B1017,""en"",""de"")"),"Blut")</f>
        <v>Blut</v>
      </c>
      <c r="H1017" s="2" t="str">
        <f ca="1">IFERROR(__xludf.DUMMYFUNCTION("GOOGLETRANSLATE(B1017,""en"",""zh"")"),"血")</f>
        <v>血</v>
      </c>
      <c r="I1017" s="2" t="str">
        <f ca="1">IFERROR(__xludf.DUMMYFUNCTION("GOOGLETRANSLATE(B1017,""en"",""gd"")"),"fuil")</f>
        <v>fuil</v>
      </c>
    </row>
    <row r="1018" spans="1:9" ht="14.25" customHeight="1" x14ac:dyDescent="0.3">
      <c r="A1018" s="2">
        <v>1017</v>
      </c>
      <c r="B1018" s="3" t="s">
        <v>1025</v>
      </c>
      <c r="C1018" s="2" t="str">
        <f ca="1">IFERROR(__xludf.DUMMYFUNCTION("GOOGLETRANSLATE(B1018, ""en"",""es"")"),"adecuado")</f>
        <v>adecuado</v>
      </c>
      <c r="D1018" s="2" t="str">
        <f ca="1">IFERROR(__xludf.DUMMYFUNCTION("GOOGLETRANSLATE(B1018,""en"",""ig"")"),"kendabanye")</f>
        <v>kendabanye</v>
      </c>
      <c r="E1018" s="2" t="str">
        <f ca="1">IFERROR(__xludf.DUMMYFUNCTION("GOOGLETRANSLATE(B1018,""en"",""fr"")"),"approprié")</f>
        <v>approprié</v>
      </c>
      <c r="F1018" s="2" t="str">
        <f ca="1">IFERROR(__xludf.DUMMYFUNCTION("GOOGLETRANSLATE(B1018,""en"",""it"")"),"adeguata")</f>
        <v>adeguata</v>
      </c>
      <c r="G1018" s="2" t="str">
        <f ca="1">IFERROR(__xludf.DUMMYFUNCTION("GOOGLETRANSLATE(B1018,""en"",""de"")"),"geeignet")</f>
        <v>geeignet</v>
      </c>
      <c r="H1018" s="2" t="str">
        <f ca="1">IFERROR(__xludf.DUMMYFUNCTION("GOOGLETRANSLATE(B1018,""en"",""zh"")"),"合适的")</f>
        <v>合适的</v>
      </c>
      <c r="I1018" s="2" t="str">
        <f ca="1">IFERROR(__xludf.DUMMYFUNCTION("GOOGLETRANSLATE(B1018,""en"",""gd"")"),"iomchaidh")</f>
        <v>iomchaidh</v>
      </c>
    </row>
    <row r="1019" spans="1:9" ht="14.25" customHeight="1" x14ac:dyDescent="0.3">
      <c r="A1019" s="2">
        <v>1018</v>
      </c>
      <c r="B1019" s="3" t="s">
        <v>1026</v>
      </c>
      <c r="C1019" s="2" t="str">
        <f ca="1">IFERROR(__xludf.DUMMYFUNCTION("GOOGLETRANSLATE(B1019, ""en"",""es"")"),"bloquear")</f>
        <v>bloquear</v>
      </c>
      <c r="D1019" s="2" t="str">
        <f ca="1">IFERROR(__xludf.DUMMYFUNCTION("GOOGLETRANSLATE(B1019,""en"",""ig"")"),"mgbochi")</f>
        <v>mgbochi</v>
      </c>
      <c r="E1019" s="2" t="str">
        <f ca="1">IFERROR(__xludf.DUMMYFUNCTION("GOOGLETRANSLATE(B1019,""en"",""fr"")"),"bloc")</f>
        <v>bloc</v>
      </c>
      <c r="F1019" s="2" t="str">
        <f ca="1">IFERROR(__xludf.DUMMYFUNCTION("GOOGLETRANSLATE(B1019,""en"",""it"")"),"bloccare")</f>
        <v>bloccare</v>
      </c>
      <c r="G1019" s="2" t="str">
        <f ca="1">IFERROR(__xludf.DUMMYFUNCTION("GOOGLETRANSLATE(B1019,""en"",""de"")"),"Block")</f>
        <v>Block</v>
      </c>
      <c r="H1019" s="2" t="str">
        <f ca="1">IFERROR(__xludf.DUMMYFUNCTION("GOOGLETRANSLATE(B1019,""en"",""zh"")"),"堵塞")</f>
        <v>堵塞</v>
      </c>
      <c r="I1019" s="2" t="str">
        <f ca="1">IFERROR(__xludf.DUMMYFUNCTION("GOOGLETRANSLATE(B1019,""en"",""gd"")"),"bloc")</f>
        <v>bloc</v>
      </c>
    </row>
    <row r="1020" spans="1:9" ht="14.25" customHeight="1" x14ac:dyDescent="0.3">
      <c r="A1020" s="2">
        <v>1019</v>
      </c>
      <c r="B1020" s="3" t="s">
        <v>1027</v>
      </c>
      <c r="C1020" s="2" t="str">
        <f ca="1">IFERROR(__xludf.DUMMYFUNCTION("GOOGLETRANSLATE(B1020, ""en"",""es"")"),"cálido")</f>
        <v>cálido</v>
      </c>
      <c r="D1020" s="2" t="str">
        <f ca="1">IFERROR(__xludf.DUMMYFUNCTION("GOOGLETRANSLATE(B1020,""en"",""ig"")"),"keikpo oku")</f>
        <v>keikpo oku</v>
      </c>
      <c r="E1020" s="2" t="str">
        <f ca="1">IFERROR(__xludf.DUMMYFUNCTION("GOOGLETRANSLATE(B1020,""en"",""fr"")"),"chaud")</f>
        <v>chaud</v>
      </c>
      <c r="F1020" s="2" t="str">
        <f ca="1">IFERROR(__xludf.DUMMYFUNCTION("GOOGLETRANSLATE(B1020,""en"",""it"")"),"Caldo")</f>
        <v>Caldo</v>
      </c>
      <c r="G1020" s="2" t="str">
        <f ca="1">IFERROR(__xludf.DUMMYFUNCTION("GOOGLETRANSLATE(B1020,""en"",""de"")"),"warm")</f>
        <v>warm</v>
      </c>
      <c r="H1020" s="2" t="str">
        <f ca="1">IFERROR(__xludf.DUMMYFUNCTION("GOOGLETRANSLATE(B1020,""en"",""zh"")"),"温暖的")</f>
        <v>温暖的</v>
      </c>
      <c r="I1020" s="2" t="str">
        <f ca="1">IFERROR(__xludf.DUMMYFUNCTION("GOOGLETRANSLATE(B1020,""en"",""gd"")"),"blàth")</f>
        <v>blàth</v>
      </c>
    </row>
    <row r="1021" spans="1:9" ht="14.25" customHeight="1" x14ac:dyDescent="0.3">
      <c r="A1021" s="2">
        <v>1020</v>
      </c>
      <c r="B1021" s="3" t="s">
        <v>1028</v>
      </c>
      <c r="C1021" s="2" t="str">
        <f ca="1">IFERROR(__xludf.DUMMYFUNCTION("GOOGLETRANSLATE(B1021, ""en"",""es"")"),"contar")</f>
        <v>contar</v>
      </c>
      <c r="D1021" s="2" t="str">
        <f ca="1">IFERROR(__xludf.DUMMYFUNCTION("GOOGLETRANSLATE(B1021,""en"",""ig"")"),"igu onu")</f>
        <v>igu onu</v>
      </c>
      <c r="E1021" s="2" t="str">
        <f ca="1">IFERROR(__xludf.DUMMYFUNCTION("GOOGLETRANSLATE(B1021,""en"",""fr"")"),"compter")</f>
        <v>compter</v>
      </c>
      <c r="F1021" s="2" t="str">
        <f ca="1">IFERROR(__xludf.DUMMYFUNCTION("GOOGLETRANSLATE(B1021,""en"",""it"")"),"contare")</f>
        <v>contare</v>
      </c>
      <c r="G1021" s="2" t="str">
        <f ca="1">IFERROR(__xludf.DUMMYFUNCTION("GOOGLETRANSLATE(B1021,""en"",""de"")"),"zählen")</f>
        <v>zählen</v>
      </c>
      <c r="H1021" s="2" t="str">
        <f ca="1">IFERROR(__xludf.DUMMYFUNCTION("GOOGLETRANSLATE(B1021,""en"",""zh"")"),"数数")</f>
        <v>数数</v>
      </c>
      <c r="I1021" s="2" t="str">
        <f ca="1">IFERROR(__xludf.DUMMYFUNCTION("GOOGLETRANSLATE(B1021,""en"",""gd"")"),"Cunnt")</f>
        <v>Cunnt</v>
      </c>
    </row>
    <row r="1022" spans="1:9" ht="14.25" customHeight="1" x14ac:dyDescent="0.3">
      <c r="A1022" s="2">
        <v>1021</v>
      </c>
      <c r="B1022" s="3" t="s">
        <v>1029</v>
      </c>
      <c r="C1022" s="2" t="str">
        <f ca="1">IFERROR(__xludf.DUMMYFUNCTION("GOOGLETRANSLATE(B1022, ""en"",""es"")"),"escena")</f>
        <v>escena</v>
      </c>
      <c r="D1022" s="2" t="str">
        <f ca="1">IFERROR(__xludf.DUMMYFUNCTION("GOOGLETRANSLATE(B1022,""en"",""ig"")"),"n'ebe anya")</f>
        <v>n'ebe anya</v>
      </c>
      <c r="E1022" s="2" t="str">
        <f ca="1">IFERROR(__xludf.DUMMYFUNCTION("GOOGLETRANSLATE(B1022,""en"",""fr"")"),"scène")</f>
        <v>scène</v>
      </c>
      <c r="F1022" s="2" t="str">
        <f ca="1">IFERROR(__xludf.DUMMYFUNCTION("GOOGLETRANSLATE(B1022,""en"",""it"")"),"scena")</f>
        <v>scena</v>
      </c>
      <c r="G1022" s="2" t="str">
        <f ca="1">IFERROR(__xludf.DUMMYFUNCTION("GOOGLETRANSLATE(B1022,""en"",""de"")"),"Szene")</f>
        <v>Szene</v>
      </c>
      <c r="H1022" s="2" t="str">
        <f ca="1">IFERROR(__xludf.DUMMYFUNCTION("GOOGLETRANSLATE(B1022,""en"",""zh"")"),"场景")</f>
        <v>场景</v>
      </c>
      <c r="I1022" s="2" t="str">
        <f ca="1">IFERROR(__xludf.DUMMYFUNCTION("GOOGLETRANSLATE(B1022,""en"",""gd"")"),"Sealladh")</f>
        <v>Sealladh</v>
      </c>
    </row>
    <row r="1023" spans="1:9" ht="14.25" customHeight="1" x14ac:dyDescent="0.3">
      <c r="A1023" s="2">
        <v>1022</v>
      </c>
      <c r="B1023" s="3" t="s">
        <v>1030</v>
      </c>
      <c r="C1023" s="2" t="str">
        <f ca="1">IFERROR(__xludf.DUMMYFUNCTION("GOOGLETRANSLATE(B1023, ""en"",""es"")"),"escritor")</f>
        <v>escritor</v>
      </c>
      <c r="D1023" s="2" t="str">
        <f ca="1">IFERROR(__xludf.DUMMYFUNCTION("GOOGLETRANSLATE(B1023,""en"",""ig"")"),"odee nwoke")</f>
        <v>odee nwoke</v>
      </c>
      <c r="E1023" s="2" t="str">
        <f ca="1">IFERROR(__xludf.DUMMYFUNCTION("GOOGLETRANSLATE(B1023,""en"",""fr"")"),"écrivain")</f>
        <v>écrivain</v>
      </c>
      <c r="F1023" s="2" t="str">
        <f ca="1">IFERROR(__xludf.DUMMYFUNCTION("GOOGLETRANSLATE(B1023,""en"",""it"")"),"scrittore")</f>
        <v>scrittore</v>
      </c>
      <c r="G1023" s="2" t="str">
        <f ca="1">IFERROR(__xludf.DUMMYFUNCTION("GOOGLETRANSLATE(B1023,""en"",""de"")"),"Schriftsteller")</f>
        <v>Schriftsteller</v>
      </c>
      <c r="H1023" s="2" t="str">
        <f ca="1">IFERROR(__xludf.DUMMYFUNCTION("GOOGLETRANSLATE(B1023,""en"",""zh"")"),"作家")</f>
        <v>作家</v>
      </c>
      <c r="I1023" s="2" t="str">
        <f ca="1">IFERROR(__xludf.DUMMYFUNCTION("GOOGLETRANSLATE(B1023,""en"",""gd"")"),"sgrìobhadair")</f>
        <v>sgrìobhadair</v>
      </c>
    </row>
    <row r="1024" spans="1:9" ht="14.25" customHeight="1" x14ac:dyDescent="0.3">
      <c r="A1024" s="2">
        <v>1023</v>
      </c>
      <c r="B1024" s="3" t="s">
        <v>1031</v>
      </c>
      <c r="C1024" s="2" t="str">
        <f ca="1">IFERROR(__xludf.DUMMYFUNCTION("GOOGLETRANSLATE(B1024, ""en"",""es"")"),"contenido")</f>
        <v>contenido</v>
      </c>
      <c r="D1024" s="2" t="str">
        <f ca="1">IFERROR(__xludf.DUMMYFUNCTION("GOOGLETRANSLATE(B1024,""en"",""ig"")"),"ndinaya")</f>
        <v>ndinaya</v>
      </c>
      <c r="E1024" s="2" t="str">
        <f ca="1">IFERROR(__xludf.DUMMYFUNCTION("GOOGLETRANSLATE(B1024,""en"",""fr"")"),"contenu")</f>
        <v>contenu</v>
      </c>
      <c r="F1024" s="2" t="str">
        <f ca="1">IFERROR(__xludf.DUMMYFUNCTION("GOOGLETRANSLATE(B1024,""en"",""it"")"),"contenuto")</f>
        <v>contenuto</v>
      </c>
      <c r="G1024" s="2" t="str">
        <f ca="1">IFERROR(__xludf.DUMMYFUNCTION("GOOGLETRANSLATE(B1024,""en"",""de"")"),"Inhalt")</f>
        <v>Inhalt</v>
      </c>
      <c r="H1024" s="2" t="str">
        <f ca="1">IFERROR(__xludf.DUMMYFUNCTION("GOOGLETRANSLATE(B1024,""en"",""zh"")"),"内容")</f>
        <v>内容</v>
      </c>
      <c r="I1024" s="2" t="str">
        <f ca="1">IFERROR(__xludf.DUMMYFUNCTION("GOOGLETRANSLATE(B1024,""en"",""gd"")"),"Susbaint")</f>
        <v>Susbaint</v>
      </c>
    </row>
    <row r="1025" spans="1:9" ht="14.25" customHeight="1" x14ac:dyDescent="0.3">
      <c r="A1025" s="2">
        <v>1024</v>
      </c>
      <c r="B1025" s="3" t="s">
        <v>1032</v>
      </c>
      <c r="C1025" s="2" t="str">
        <f ca="1">IFERROR(__xludf.DUMMYFUNCTION("GOOGLETRANSLATE(B1025, ""en"",""es"")"),"prevenir")</f>
        <v>prevenir</v>
      </c>
      <c r="D1025" s="2" t="str">
        <f ca="1">IFERROR(__xludf.DUMMYFUNCTION("GOOGLETRANSLATE(B1025,""en"",""ig"")"),"gbochie")</f>
        <v>gbochie</v>
      </c>
      <c r="E1025" s="2" t="str">
        <f ca="1">IFERROR(__xludf.DUMMYFUNCTION("GOOGLETRANSLATE(B1025,""en"",""fr"")"),"prévenir")</f>
        <v>prévenir</v>
      </c>
      <c r="F1025" s="2" t="str">
        <f ca="1">IFERROR(__xludf.DUMMYFUNCTION("GOOGLETRANSLATE(B1025,""en"",""it"")"),"impedire")</f>
        <v>impedire</v>
      </c>
      <c r="G1025" s="2" t="str">
        <f ca="1">IFERROR(__xludf.DUMMYFUNCTION("GOOGLETRANSLATE(B1025,""en"",""de"")"),"verhindern")</f>
        <v>verhindern</v>
      </c>
      <c r="H1025" s="2" t="str">
        <f ca="1">IFERROR(__xludf.DUMMYFUNCTION("GOOGLETRANSLATE(B1025,""en"",""zh"")"),"防止")</f>
        <v>防止</v>
      </c>
      <c r="I1025" s="2" t="str">
        <f ca="1">IFERROR(__xludf.DUMMYFUNCTION("GOOGLETRANSLATE(B1025,""en"",""gd"")"),"casg")</f>
        <v>casg</v>
      </c>
    </row>
    <row r="1026" spans="1:9" ht="14.25" customHeight="1" x14ac:dyDescent="0.3">
      <c r="A1026" s="2">
        <v>1025</v>
      </c>
      <c r="B1026" s="3" t="s">
        <v>1033</v>
      </c>
      <c r="C1026" s="2" t="str">
        <f ca="1">IFERROR(__xludf.DUMMYFUNCTION("GOOGLETRANSLATE(B1026, ""en"",""es"")"),"seguro")</f>
        <v>seguro</v>
      </c>
      <c r="D1026" s="2" t="str">
        <f ca="1">IFERROR(__xludf.DUMMYFUNCTION("GOOGLETRANSLATE(B1026,""en"",""ig"")"),"nkeenweghinsogbu")</f>
        <v>nkeenweghinsogbu</v>
      </c>
      <c r="E1026" s="2" t="str">
        <f ca="1">IFERROR(__xludf.DUMMYFUNCTION("GOOGLETRANSLATE(B1026,""en"",""fr"")"),"sûr")</f>
        <v>sûr</v>
      </c>
      <c r="F1026" s="2" t="str">
        <f ca="1">IFERROR(__xludf.DUMMYFUNCTION("GOOGLETRANSLATE(B1026,""en"",""it"")"),"sicuro")</f>
        <v>sicuro</v>
      </c>
      <c r="G1026" s="2" t="str">
        <f ca="1">IFERROR(__xludf.DUMMYFUNCTION("GOOGLETRANSLATE(B1026,""en"",""de"")"),"sicher")</f>
        <v>sicher</v>
      </c>
      <c r="H1026" s="2" t="str">
        <f ca="1">IFERROR(__xludf.DUMMYFUNCTION("GOOGLETRANSLATE(B1026,""en"",""zh"")"),"安全的")</f>
        <v>安全的</v>
      </c>
      <c r="I1026" s="2" t="str">
        <f ca="1">IFERROR(__xludf.DUMMYFUNCTION("GOOGLETRANSLATE(B1026,""en"",""gd"")"),"sàbhailte")</f>
        <v>sàbhailte</v>
      </c>
    </row>
    <row r="1027" spans="1:9" ht="14.25" customHeight="1" x14ac:dyDescent="0.3">
      <c r="A1027" s="2">
        <v>1026</v>
      </c>
      <c r="B1027" s="3" t="s">
        <v>1034</v>
      </c>
      <c r="C1027" s="2" t="str">
        <f ca="1">IFERROR(__xludf.DUMMYFUNCTION("GOOGLETRANSLATE(B1027, ""en"",""es"")"),"invitar")</f>
        <v>invitar</v>
      </c>
      <c r="D1027" s="2" t="str">
        <f ca="1">IFERROR(__xludf.DUMMYFUNCTION("GOOGLETRANSLATE(B1027,""en"",""ig"")"),"ikpo oku")</f>
        <v>ikpo oku</v>
      </c>
      <c r="E1027" s="2" t="str">
        <f ca="1">IFERROR(__xludf.DUMMYFUNCTION("GOOGLETRANSLATE(B1027,""en"",""fr"")"),"inviter")</f>
        <v>inviter</v>
      </c>
      <c r="F1027" s="2" t="str">
        <f ca="1">IFERROR(__xludf.DUMMYFUNCTION("GOOGLETRANSLATE(B1027,""en"",""it"")"),"invitare")</f>
        <v>invitare</v>
      </c>
      <c r="G1027" s="2" t="str">
        <f ca="1">IFERROR(__xludf.DUMMYFUNCTION("GOOGLETRANSLATE(B1027,""en"",""de"")"),"einladen")</f>
        <v>einladen</v>
      </c>
      <c r="H1027" s="2" t="str">
        <f ca="1">IFERROR(__xludf.DUMMYFUNCTION("GOOGLETRANSLATE(B1027,""en"",""zh"")"),"邀请")</f>
        <v>邀请</v>
      </c>
      <c r="I1027" s="2" t="str">
        <f ca="1">IFERROR(__xludf.DUMMYFUNCTION("GOOGLETRANSLATE(B1027,""en"",""gd"")"),"Thoir cuireadh")</f>
        <v>Thoir cuireadh</v>
      </c>
    </row>
    <row r="1028" spans="1:9" ht="14.25" customHeight="1" x14ac:dyDescent="0.3">
      <c r="A1028" s="2">
        <v>1027</v>
      </c>
      <c r="B1028" s="3" t="s">
        <v>1035</v>
      </c>
      <c r="C1028" s="2" t="str">
        <f ca="1">IFERROR(__xludf.DUMMYFUNCTION("GOOGLETRANSLATE(B1028, ""en"",""es"")"),"mezcla")</f>
        <v>mezcla</v>
      </c>
      <c r="D1028" s="2" t="str">
        <f ca="1">IFERROR(__xludf.DUMMYFUNCTION("GOOGLETRANSLATE(B1028,""en"",""ig"")"),"gwakota")</f>
        <v>gwakota</v>
      </c>
      <c r="E1028" s="2" t="str">
        <f ca="1">IFERROR(__xludf.DUMMYFUNCTION("GOOGLETRANSLATE(B1028,""en"",""fr"")"),"mélanger")</f>
        <v>mélanger</v>
      </c>
      <c r="F1028" s="2" t="str">
        <f ca="1">IFERROR(__xludf.DUMMYFUNCTION("GOOGLETRANSLATE(B1028,""en"",""it"")"),"mescolare")</f>
        <v>mescolare</v>
      </c>
      <c r="G1028" s="2" t="str">
        <f ca="1">IFERROR(__xludf.DUMMYFUNCTION("GOOGLETRANSLATE(B1028,""en"",""de"")"),"mischen")</f>
        <v>mischen</v>
      </c>
      <c r="H1028" s="2" t="str">
        <f ca="1">IFERROR(__xludf.DUMMYFUNCTION("GOOGLETRANSLATE(B1028,""en"",""zh"")"),"混合")</f>
        <v>混合</v>
      </c>
      <c r="I1028" s="2" t="str">
        <f ca="1">IFERROR(__xludf.DUMMYFUNCTION("GOOGLETRANSLATE(B1028,""en"",""gd"")"),"measgachadh")</f>
        <v>measgachadh</v>
      </c>
    </row>
    <row r="1029" spans="1:9" ht="14.25" customHeight="1" x14ac:dyDescent="0.3">
      <c r="A1029" s="2">
        <v>1028</v>
      </c>
      <c r="B1029" s="3" t="s">
        <v>1036</v>
      </c>
      <c r="C1029" s="2" t="str">
        <f ca="1">IFERROR(__xludf.DUMMYFUNCTION("GOOGLETRANSLATE(B1029, ""en"",""es"")"),"elemento")</f>
        <v>elemento</v>
      </c>
      <c r="D1029" s="2" t="str">
        <f ca="1">IFERROR(__xludf.DUMMYFUNCTION("GOOGLETRANSLATE(B1029,""en"",""ig"")"),"mmewere")</f>
        <v>mmewere</v>
      </c>
      <c r="E1029" s="2" t="str">
        <f ca="1">IFERROR(__xludf.DUMMYFUNCTION("GOOGLETRANSLATE(B1029,""en"",""fr"")"),"élément")</f>
        <v>élément</v>
      </c>
      <c r="F1029" s="2" t="str">
        <f ca="1">IFERROR(__xludf.DUMMYFUNCTION("GOOGLETRANSLATE(B1029,""en"",""it"")"),"elemento")</f>
        <v>elemento</v>
      </c>
      <c r="G1029" s="2" t="str">
        <f ca="1">IFERROR(__xludf.DUMMYFUNCTION("GOOGLETRANSLATE(B1029,""en"",""de"")"),"Element")</f>
        <v>Element</v>
      </c>
      <c r="H1029" s="2" t="str">
        <f ca="1">IFERROR(__xludf.DUMMYFUNCTION("GOOGLETRANSLATE(B1029,""en"",""zh"")"),"元素")</f>
        <v>元素</v>
      </c>
      <c r="I1029" s="2" t="str">
        <f ca="1">IFERROR(__xludf.DUMMYFUNCTION("GOOGLETRANSLATE(B1029,""en"",""gd"")"),"eileamaid")</f>
        <v>eileamaid</v>
      </c>
    </row>
    <row r="1030" spans="1:9" ht="14.25" customHeight="1" x14ac:dyDescent="0.3">
      <c r="A1030" s="2">
        <v>1029</v>
      </c>
      <c r="B1030" s="3" t="s">
        <v>1037</v>
      </c>
      <c r="C1030" s="2" t="str">
        <f ca="1">IFERROR(__xludf.DUMMYFUNCTION("GOOGLETRANSLATE(B1030, ""en"",""es"")"),"eficaz")</f>
        <v>eficaz</v>
      </c>
      <c r="D1030" s="2" t="str">
        <f ca="1">IFERROR(__xludf.DUMMYFUNCTION("GOOGLETRANSLATE(B1030,""en"",""ig"")"),"keoru oma")</f>
        <v>keoru oma</v>
      </c>
      <c r="E1030" s="2" t="str">
        <f ca="1">IFERROR(__xludf.DUMMYFUNCTION("GOOGLETRANSLATE(B1030,""en"",""fr"")"),"efficace")</f>
        <v>efficace</v>
      </c>
      <c r="F1030" s="2" t="str">
        <f ca="1">IFERROR(__xludf.DUMMYFUNCTION("GOOGLETRANSLATE(B1030,""en"",""it"")"),"efficace")</f>
        <v>efficace</v>
      </c>
      <c r="G1030" s="2" t="str">
        <f ca="1">IFERROR(__xludf.DUMMYFUNCTION("GOOGLETRANSLATE(B1030,""en"",""de"")"),"Wirksam")</f>
        <v>Wirksam</v>
      </c>
      <c r="H1030" s="2" t="str">
        <f ca="1">IFERROR(__xludf.DUMMYFUNCTION("GOOGLETRANSLATE(B1030,""en"",""zh"")"),"有效的")</f>
        <v>有效的</v>
      </c>
      <c r="I1030" s="2" t="str">
        <f ca="1">IFERROR(__xludf.DUMMYFUNCTION("GOOGLETRANSLATE(B1030,""en"",""gd"")"),"Èifeachdach")</f>
        <v>Èifeachdach</v>
      </c>
    </row>
    <row r="1031" spans="1:9" ht="14.25" customHeight="1" x14ac:dyDescent="0.3">
      <c r="A1031" s="2">
        <v>1030</v>
      </c>
      <c r="B1031" s="3" t="s">
        <v>1038</v>
      </c>
      <c r="C1031" s="2" t="str">
        <f ca="1">IFERROR(__xludf.DUMMYFUNCTION("GOOGLETRANSLATE(B1031, ""en"",""es"")"),"correcto")</f>
        <v>correcto</v>
      </c>
      <c r="D1031" s="2" t="str">
        <f ca="1">IFERROR(__xludf.DUMMYFUNCTION("GOOGLETRANSLATE(B1031,""en"",""ig"")"),"imaaki")</f>
        <v>imaaki</v>
      </c>
      <c r="E1031" s="2" t="str">
        <f ca="1">IFERROR(__xludf.DUMMYFUNCTION("GOOGLETRANSLATE(B1031,""en"",""fr"")"),"correct")</f>
        <v>correct</v>
      </c>
      <c r="F1031" s="2" t="str">
        <f ca="1">IFERROR(__xludf.DUMMYFUNCTION("GOOGLETRANSLATE(B1031,""en"",""it"")"),"corretto")</f>
        <v>corretto</v>
      </c>
      <c r="G1031" s="2" t="str">
        <f ca="1">IFERROR(__xludf.DUMMYFUNCTION("GOOGLETRANSLATE(B1031,""en"",""de"")"),"richtig")</f>
        <v>richtig</v>
      </c>
      <c r="H1031" s="2" t="str">
        <f ca="1">IFERROR(__xludf.DUMMYFUNCTION("GOOGLETRANSLATE(B1031,""en"",""zh"")"),"正确的")</f>
        <v>正确的</v>
      </c>
      <c r="I1031" s="2" t="str">
        <f ca="1">IFERROR(__xludf.DUMMYFUNCTION("GOOGLETRANSLATE(B1031,""en"",""gd"")"),"ceart")</f>
        <v>ceart</v>
      </c>
    </row>
    <row r="1032" spans="1:9" ht="14.25" customHeight="1" x14ac:dyDescent="0.3">
      <c r="A1032" s="2">
        <v>1031</v>
      </c>
      <c r="B1032" s="3" t="s">
        <v>1039</v>
      </c>
      <c r="C1032" s="2" t="str">
        <f ca="1">IFERROR(__xludf.DUMMYFUNCTION("GOOGLETRANSLATE(B1032, ""en"",""es"")"),"médico")</f>
        <v>médico</v>
      </c>
      <c r="D1032" s="2" t="str">
        <f ca="1">IFERROR(__xludf.DUMMYFUNCTION("GOOGLETRANSLATE(B1032,""en"",""ig"")"),"keogwu")</f>
        <v>keogwu</v>
      </c>
      <c r="E1032" s="2" t="str">
        <f ca="1">IFERROR(__xludf.DUMMYFUNCTION("GOOGLETRANSLATE(B1032,""en"",""fr"")"),"médical")</f>
        <v>médical</v>
      </c>
      <c r="F1032" s="2" t="str">
        <f ca="1">IFERROR(__xludf.DUMMYFUNCTION("GOOGLETRANSLATE(B1032,""en"",""it"")"),"medico")</f>
        <v>medico</v>
      </c>
      <c r="G1032" s="2" t="str">
        <f ca="1">IFERROR(__xludf.DUMMYFUNCTION("GOOGLETRANSLATE(B1032,""en"",""de"")"),"medizinisch")</f>
        <v>medizinisch</v>
      </c>
      <c r="H1032" s="2" t="str">
        <f ca="1">IFERROR(__xludf.DUMMYFUNCTION("GOOGLETRANSLATE(B1032,""en"",""zh"")"),"医疗的")</f>
        <v>医疗的</v>
      </c>
      <c r="I1032" s="2" t="str">
        <f ca="1">IFERROR(__xludf.DUMMYFUNCTION("GOOGLETRANSLATE(B1032,""en"",""gd"")"),"Meidigeach")</f>
        <v>Meidigeach</v>
      </c>
    </row>
    <row r="1033" spans="1:9" ht="14.25" customHeight="1" x14ac:dyDescent="0.3">
      <c r="A1033" s="2">
        <v>1032</v>
      </c>
      <c r="B1033" s="3" t="s">
        <v>1040</v>
      </c>
      <c r="C1033" s="2" t="str">
        <f ca="1">IFERROR(__xludf.DUMMYFUNCTION("GOOGLETRANSLATE(B1033, ""en"",""es"")"),"admitir")</f>
        <v>admitir</v>
      </c>
      <c r="D1033" s="2" t="str">
        <f ca="1">IFERROR(__xludf.DUMMYFUNCTION("GOOGLETRANSLATE(B1033,""en"",""ig"")"),"inabata")</f>
        <v>inabata</v>
      </c>
      <c r="E1033" s="2" t="str">
        <f ca="1">IFERROR(__xludf.DUMMYFUNCTION("GOOGLETRANSLATE(B1033,""en"",""fr"")"),"admettre")</f>
        <v>admettre</v>
      </c>
      <c r="F1033" s="2" t="str">
        <f ca="1">IFERROR(__xludf.DUMMYFUNCTION("GOOGLETRANSLATE(B1033,""en"",""it"")"),"ammettere")</f>
        <v>ammettere</v>
      </c>
      <c r="G1033" s="2" t="str">
        <f ca="1">IFERROR(__xludf.DUMMYFUNCTION("GOOGLETRANSLATE(B1033,""en"",""de"")"),"zugeben")</f>
        <v>zugeben</v>
      </c>
      <c r="H1033" s="2" t="str">
        <f ca="1">IFERROR(__xludf.DUMMYFUNCTION("GOOGLETRANSLATE(B1033,""en"",""zh"")"),"承认")</f>
        <v>承认</v>
      </c>
      <c r="I1033" s="2" t="str">
        <f ca="1">IFERROR(__xludf.DUMMYFUNCTION("GOOGLETRANSLATE(B1033,""en"",""gd"")"),"aideachadh")</f>
        <v>aideachadh</v>
      </c>
    </row>
    <row r="1034" spans="1:9" ht="14.25" customHeight="1" x14ac:dyDescent="0.3">
      <c r="A1034" s="2">
        <v>1033</v>
      </c>
      <c r="B1034" s="3" t="s">
        <v>1041</v>
      </c>
      <c r="C1034" s="2" t="str">
        <f ca="1">IFERROR(__xludf.DUMMYFUNCTION("GOOGLETRANSLATE(B1034, ""en"",""es"")"),"derrotar")</f>
        <v>derrotar</v>
      </c>
      <c r="D1034" s="2" t="str">
        <f ca="1">IFERROR(__xludf.DUMMYFUNCTION("GOOGLETRANSLATE(B1034,""en"",""ig"")"),"uda")</f>
        <v>uda</v>
      </c>
      <c r="E1034" s="2" t="str">
        <f ca="1">IFERROR(__xludf.DUMMYFUNCTION("GOOGLETRANSLATE(B1034,""en"",""fr"")"),"battre")</f>
        <v>battre</v>
      </c>
      <c r="F1034" s="2" t="str">
        <f ca="1">IFERROR(__xludf.DUMMYFUNCTION("GOOGLETRANSLATE(B1034,""en"",""it"")"),"colpo")</f>
        <v>colpo</v>
      </c>
      <c r="G1034" s="2" t="str">
        <f ca="1">IFERROR(__xludf.DUMMYFUNCTION("GOOGLETRANSLATE(B1034,""en"",""de"")"),"schlagen")</f>
        <v>schlagen</v>
      </c>
      <c r="H1034" s="2" t="str">
        <f ca="1">IFERROR(__xludf.DUMMYFUNCTION("GOOGLETRANSLATE(B1034,""en"",""zh"")"),"打")</f>
        <v>打</v>
      </c>
      <c r="I1034" s="2" t="str">
        <f ca="1">IFERROR(__xludf.DUMMYFUNCTION("GOOGLETRANSLATE(B1034,""en"",""gd"")"),"buille")</f>
        <v>buille</v>
      </c>
    </row>
    <row r="1035" spans="1:9" ht="14.25" customHeight="1" x14ac:dyDescent="0.3">
      <c r="A1035" s="2">
        <v>1034</v>
      </c>
      <c r="B1035" s="3" t="s">
        <v>1042</v>
      </c>
      <c r="C1035" s="2" t="str">
        <f ca="1">IFERROR(__xludf.DUMMYFUNCTION("GOOGLETRANSLATE(B1035, ""en"",""es"")"),"teléfono")</f>
        <v>teléfono</v>
      </c>
      <c r="D1035" s="2" t="str">
        <f ca="1">IFERROR(__xludf.DUMMYFUNCTION("GOOGLETRANSLATE(B1035,""en"",""ig"")"),"telifon")</f>
        <v>telifon</v>
      </c>
      <c r="E1035" s="2" t="str">
        <f ca="1">IFERROR(__xludf.DUMMYFUNCTION("GOOGLETRANSLATE(B1035,""en"",""fr"")"),"Téléphone")</f>
        <v>Téléphone</v>
      </c>
      <c r="F1035" s="2" t="str">
        <f ca="1">IFERROR(__xludf.DUMMYFUNCTION("GOOGLETRANSLATE(B1035,""en"",""it"")"),"telefono")</f>
        <v>telefono</v>
      </c>
      <c r="G1035" s="2" t="str">
        <f ca="1">IFERROR(__xludf.DUMMYFUNCTION("GOOGLETRANSLATE(B1035,""en"",""de"")"),"Telefon")</f>
        <v>Telefon</v>
      </c>
      <c r="H1035" s="2" t="str">
        <f ca="1">IFERROR(__xludf.DUMMYFUNCTION("GOOGLETRANSLATE(B1035,""en"",""zh"")"),"电话")</f>
        <v>电话</v>
      </c>
      <c r="I1035" s="2" t="str">
        <f ca="1">IFERROR(__xludf.DUMMYFUNCTION("GOOGLETRANSLATE(B1035,""en"",""gd"")"),"Fòn")</f>
        <v>Fòn</v>
      </c>
    </row>
    <row r="1036" spans="1:9" ht="14.25" customHeight="1" x14ac:dyDescent="0.3">
      <c r="A1036" s="2">
        <v>1035</v>
      </c>
      <c r="B1036" s="3" t="s">
        <v>1043</v>
      </c>
      <c r="C1036" s="2" t="str">
        <f ca="1">IFERROR(__xludf.DUMMYFUNCTION("GOOGLETRANSLATE(B1036, ""en"",""es"")"),"Copiar")</f>
        <v>Copiar</v>
      </c>
      <c r="D1036" s="2" t="str">
        <f ca="1">IFERROR(__xludf.DUMMYFUNCTION("GOOGLETRANSLATE(B1036,""en"",""ig"")"),"kopi")</f>
        <v>kopi</v>
      </c>
      <c r="E1036" s="2" t="str">
        <f ca="1">IFERROR(__xludf.DUMMYFUNCTION("GOOGLETRANSLATE(B1036,""en"",""fr"")"),"copie")</f>
        <v>copie</v>
      </c>
      <c r="F1036" s="2" t="str">
        <f ca="1">IFERROR(__xludf.DUMMYFUNCTION("GOOGLETRANSLATE(B1036,""en"",""it"")"),"copia")</f>
        <v>copia</v>
      </c>
      <c r="G1036" s="2" t="str">
        <f ca="1">IFERROR(__xludf.DUMMYFUNCTION("GOOGLETRANSLATE(B1036,""en"",""de"")"),"Kopieren")</f>
        <v>Kopieren</v>
      </c>
      <c r="H1036" s="2" t="str">
        <f ca="1">IFERROR(__xludf.DUMMYFUNCTION("GOOGLETRANSLATE(B1036,""en"",""zh"")"),"复制")</f>
        <v>复制</v>
      </c>
      <c r="I1036" s="2" t="str">
        <f ca="1">IFERROR(__xludf.DUMMYFUNCTION("GOOGLETRANSLATE(B1036,""en"",""gd"")"),"leth-bhreac")</f>
        <v>leth-bhreac</v>
      </c>
    </row>
    <row r="1037" spans="1:9" ht="14.25" customHeight="1" x14ac:dyDescent="0.3">
      <c r="A1037" s="2">
        <v>1036</v>
      </c>
      <c r="B1037" s="3" t="s">
        <v>1044</v>
      </c>
      <c r="C1037" s="2" t="str">
        <f ca="1">IFERROR(__xludf.DUMMYFUNCTION("GOOGLETRANSLATE(B1037, ""en"",""es"")"),"comité")</f>
        <v>comité</v>
      </c>
      <c r="D1037" s="2" t="str">
        <f ca="1">IFERROR(__xludf.DUMMYFUNCTION("GOOGLETRANSLATE(B1037,""en"",""ig"")"),"komitii")</f>
        <v>komitii</v>
      </c>
      <c r="E1037" s="2" t="str">
        <f ca="1">IFERROR(__xludf.DUMMYFUNCTION("GOOGLETRANSLATE(B1037,""en"",""fr"")"),"Comité")</f>
        <v>Comité</v>
      </c>
      <c r="F1037" s="2" t="str">
        <f ca="1">IFERROR(__xludf.DUMMYFUNCTION("GOOGLETRANSLATE(B1037,""en"",""it"")"),"Comitato")</f>
        <v>Comitato</v>
      </c>
      <c r="G1037" s="2" t="str">
        <f ca="1">IFERROR(__xludf.DUMMYFUNCTION("GOOGLETRANSLATE(B1037,""en"",""de"")"),"Ausschuss")</f>
        <v>Ausschuss</v>
      </c>
      <c r="H1037" s="2" t="str">
        <f ca="1">IFERROR(__xludf.DUMMYFUNCTION("GOOGLETRANSLATE(B1037,""en"",""zh"")"),"委员会")</f>
        <v>委员会</v>
      </c>
      <c r="I1037" s="2" t="str">
        <f ca="1">IFERROR(__xludf.DUMMYFUNCTION("GOOGLETRANSLATE(B1037,""en"",""gd"")"),"Comataidh")</f>
        <v>Comataidh</v>
      </c>
    </row>
    <row r="1038" spans="1:9" ht="14.25" customHeight="1" x14ac:dyDescent="0.3">
      <c r="A1038" s="2">
        <v>1037</v>
      </c>
      <c r="B1038" s="3" t="s">
        <v>1045</v>
      </c>
      <c r="C1038" s="2" t="str">
        <f ca="1">IFERROR(__xludf.DUMMYFUNCTION("GOOGLETRANSLATE(B1038, ""en"",""es"")"),"consciente")</f>
        <v>consciente</v>
      </c>
      <c r="D1038" s="2" t="str">
        <f ca="1">IFERROR(__xludf.DUMMYFUNCTION("GOOGLETRANSLATE(B1038,""en"",""ig"")"),"ke mmata")</f>
        <v>ke mmata</v>
      </c>
      <c r="E1038" s="2" t="str">
        <f ca="1">IFERROR(__xludf.DUMMYFUNCTION("GOOGLETRANSLATE(B1038,""en"",""fr"")"),"conscient")</f>
        <v>conscient</v>
      </c>
      <c r="F1038" s="2" t="str">
        <f ca="1">IFERROR(__xludf.DUMMYFUNCTION("GOOGLETRANSLATE(B1038,""en"",""it"")"),"consapevole")</f>
        <v>consapevole</v>
      </c>
      <c r="G1038" s="2" t="str">
        <f ca="1">IFERROR(__xludf.DUMMYFUNCTION("GOOGLETRANSLATE(B1038,""en"",""de"")"),"bewusst")</f>
        <v>bewusst</v>
      </c>
      <c r="H1038" s="2" t="str">
        <f ca="1">IFERROR(__xludf.DUMMYFUNCTION("GOOGLETRANSLATE(B1038,""en"",""zh"")"),"意识到的")</f>
        <v>意识到的</v>
      </c>
      <c r="I1038" s="2" t="str">
        <f ca="1">IFERROR(__xludf.DUMMYFUNCTION("GOOGLETRANSLATE(B1038,""en"",""gd"")"),"mothachail")</f>
        <v>mothachail</v>
      </c>
    </row>
    <row r="1039" spans="1:9" ht="14.25" customHeight="1" x14ac:dyDescent="0.3">
      <c r="A1039" s="2">
        <v>1038</v>
      </c>
      <c r="B1039" s="3" t="s">
        <v>1046</v>
      </c>
      <c r="C1039" s="2" t="str">
        <f ca="1">IFERROR(__xludf.DUMMYFUNCTION("GOOGLETRANSLATE(B1039, ""en"",""es"")"),"consejo")</f>
        <v>consejo</v>
      </c>
      <c r="D1039" s="2" t="str">
        <f ca="1">IFERROR(__xludf.DUMMYFUNCTION("GOOGLETRANSLATE(B1039,""en"",""ig"")"),"ndumodu")</f>
        <v>ndumodu</v>
      </c>
      <c r="E1039" s="2" t="str">
        <f ca="1">IFERROR(__xludf.DUMMYFUNCTION("GOOGLETRANSLATE(B1039,""en"",""fr"")"),"conseil")</f>
        <v>conseil</v>
      </c>
      <c r="F1039" s="2" t="str">
        <f ca="1">IFERROR(__xludf.DUMMYFUNCTION("GOOGLETRANSLATE(B1039,""en"",""it"")"),"consiglio")</f>
        <v>consiglio</v>
      </c>
      <c r="G1039" s="2" t="str">
        <f ca="1">IFERROR(__xludf.DUMMYFUNCTION("GOOGLETRANSLATE(B1039,""en"",""de"")"),"Beratung")</f>
        <v>Beratung</v>
      </c>
      <c r="H1039" s="2" t="str">
        <f ca="1">IFERROR(__xludf.DUMMYFUNCTION("GOOGLETRANSLATE(B1039,""en"",""zh"")"),"建议")</f>
        <v>建议</v>
      </c>
      <c r="I1039" s="2" t="str">
        <f ca="1">IFERROR(__xludf.DUMMYFUNCTION("GOOGLETRANSLATE(B1039,""en"",""gd"")"),"Comhairle")</f>
        <v>Comhairle</v>
      </c>
    </row>
    <row r="1040" spans="1:9" ht="14.25" customHeight="1" x14ac:dyDescent="0.3">
      <c r="A1040" s="2">
        <v>1039</v>
      </c>
      <c r="B1040" s="3" t="s">
        <v>1047</v>
      </c>
      <c r="C1040" s="2" t="str">
        <f ca="1">IFERROR(__xludf.DUMMYFUNCTION("GOOGLETRANSLATE(B1040, ""en"",""es"")"),"manejar")</f>
        <v>manejar</v>
      </c>
      <c r="D1040" s="2" t="str">
        <f ca="1">IFERROR(__xludf.DUMMYFUNCTION("GOOGLETRANSLATE(B1040,""en"",""ig"")"),"aka")</f>
        <v>aka</v>
      </c>
      <c r="E1040" s="2" t="str">
        <f ca="1">IFERROR(__xludf.DUMMYFUNCTION("GOOGLETRANSLATE(B1040,""en"",""fr"")"),"poignée")</f>
        <v>poignée</v>
      </c>
      <c r="F1040" s="2" t="str">
        <f ca="1">IFERROR(__xludf.DUMMYFUNCTION("GOOGLETRANSLATE(B1040,""en"",""it"")"),"maniglia")</f>
        <v>maniglia</v>
      </c>
      <c r="G1040" s="2" t="str">
        <f ca="1">IFERROR(__xludf.DUMMYFUNCTION("GOOGLETRANSLATE(B1040,""en"",""de"")"),"handhaben")</f>
        <v>handhaben</v>
      </c>
      <c r="H1040" s="2" t="str">
        <f ca="1">IFERROR(__xludf.DUMMYFUNCTION("GOOGLETRANSLATE(B1040,""en"",""zh"")"),"处理")</f>
        <v>处理</v>
      </c>
      <c r="I1040" s="2" t="str">
        <f ca="1">IFERROR(__xludf.DUMMYFUNCTION("GOOGLETRANSLATE(B1040,""en"",""gd"")"),"làimhseachadh")</f>
        <v>làimhseachadh</v>
      </c>
    </row>
    <row r="1041" spans="1:9" ht="14.25" customHeight="1" x14ac:dyDescent="0.3">
      <c r="A1041" s="2">
        <v>1040</v>
      </c>
      <c r="B1041" s="3" t="s">
        <v>1048</v>
      </c>
      <c r="C1041" s="2" t="str">
        <f ca="1">IFERROR(__xludf.DUMMYFUNCTION("GOOGLETRANSLATE(B1041, ""en"",""es"")"),"vaso")</f>
        <v>vaso</v>
      </c>
      <c r="D1041" s="2" t="str">
        <f ca="1">IFERROR(__xludf.DUMMYFUNCTION("GOOGLETRANSLATE(B1041,""en"",""ig"")"),"glaasi")</f>
        <v>glaasi</v>
      </c>
      <c r="E1041" s="2" t="str">
        <f ca="1">IFERROR(__xludf.DUMMYFUNCTION("GOOGLETRANSLATE(B1041,""en"",""fr"")"),"verre")</f>
        <v>verre</v>
      </c>
      <c r="F1041" s="2" t="str">
        <f ca="1">IFERROR(__xludf.DUMMYFUNCTION("GOOGLETRANSLATE(B1041,""en"",""it"")"),"bicchiere")</f>
        <v>bicchiere</v>
      </c>
      <c r="G1041" s="2" t="str">
        <f ca="1">IFERROR(__xludf.DUMMYFUNCTION("GOOGLETRANSLATE(B1041,""en"",""de"")"),"Glas")</f>
        <v>Glas</v>
      </c>
      <c r="H1041" s="2" t="str">
        <f ca="1">IFERROR(__xludf.DUMMYFUNCTION("GOOGLETRANSLATE(B1041,""en"",""zh"")"),"玻璃")</f>
        <v>玻璃</v>
      </c>
      <c r="I1041" s="2" t="str">
        <f ca="1">IFERROR(__xludf.DUMMYFUNCTION("GOOGLETRANSLATE(B1041,""en"",""gd"")"),"glainne")</f>
        <v>glainne</v>
      </c>
    </row>
    <row r="1042" spans="1:9" ht="14.25" customHeight="1" x14ac:dyDescent="0.3">
      <c r="A1042" s="2">
        <v>1041</v>
      </c>
      <c r="B1042" s="3" t="s">
        <v>1049</v>
      </c>
      <c r="C1042" s="2" t="str">
        <f ca="1">IFERROR(__xludf.DUMMYFUNCTION("GOOGLETRANSLATE(B1042, ""en"",""es"")"),"ensayo")</f>
        <v>ensayo</v>
      </c>
      <c r="D1042" s="2" t="str">
        <f ca="1">IFERROR(__xludf.DUMMYFUNCTION("GOOGLETRANSLATE(B1042,""en"",""ig"")"),"ikpe")</f>
        <v>ikpe</v>
      </c>
      <c r="E1042" s="2" t="str">
        <f ca="1">IFERROR(__xludf.DUMMYFUNCTION("GOOGLETRANSLATE(B1042,""en"",""fr"")"),"procès")</f>
        <v>procès</v>
      </c>
      <c r="F1042" s="2" t="str">
        <f ca="1">IFERROR(__xludf.DUMMYFUNCTION("GOOGLETRANSLATE(B1042,""en"",""it"")"),"prova")</f>
        <v>prova</v>
      </c>
      <c r="G1042" s="2" t="str">
        <f ca="1">IFERROR(__xludf.DUMMYFUNCTION("GOOGLETRANSLATE(B1042,""en"",""de"")"),"Versuch")</f>
        <v>Versuch</v>
      </c>
      <c r="H1042" s="2" t="str">
        <f ca="1">IFERROR(__xludf.DUMMYFUNCTION("GOOGLETRANSLATE(B1042,""en"",""zh"")"),"审判")</f>
        <v>审判</v>
      </c>
      <c r="I1042" s="2" t="str">
        <f ca="1">IFERROR(__xludf.DUMMYFUNCTION("GOOGLETRANSLATE(B1042,""en"",""gd"")"),"deuchainn")</f>
        <v>deuchainn</v>
      </c>
    </row>
    <row r="1043" spans="1:9" ht="14.25" customHeight="1" x14ac:dyDescent="0.3">
      <c r="A1043" s="2">
        <v>1042</v>
      </c>
      <c r="B1043" s="3" t="s">
        <v>1050</v>
      </c>
      <c r="C1043" s="2" t="str">
        <f ca="1">IFERROR(__xludf.DUMMYFUNCTION("GOOGLETRANSLATE(B1043, ""en"",""es"")"),"estrés")</f>
        <v>estrés</v>
      </c>
      <c r="D1043" s="2" t="str">
        <f ca="1">IFERROR(__xludf.DUMMYFUNCTION("GOOGLETRANSLATE(B1043,""en"",""ig"")"),"nsunoobi")</f>
        <v>nsunoobi</v>
      </c>
      <c r="E1043" s="2" t="str">
        <f ca="1">IFERROR(__xludf.DUMMYFUNCTION("GOOGLETRANSLATE(B1043,""en"",""fr"")"),"stresser")</f>
        <v>stresser</v>
      </c>
      <c r="F1043" s="2" t="str">
        <f ca="1">IFERROR(__xludf.DUMMYFUNCTION("GOOGLETRANSLATE(B1043,""en"",""it"")"),"fatica")</f>
        <v>fatica</v>
      </c>
      <c r="G1043" s="2" t="str">
        <f ca="1">IFERROR(__xludf.DUMMYFUNCTION("GOOGLETRANSLATE(B1043,""en"",""de"")"),"Stress")</f>
        <v>Stress</v>
      </c>
      <c r="H1043" s="2" t="str">
        <f ca="1">IFERROR(__xludf.DUMMYFUNCTION("GOOGLETRANSLATE(B1043,""en"",""zh"")"),"压力")</f>
        <v>压力</v>
      </c>
      <c r="I1043" s="2" t="str">
        <f ca="1">IFERROR(__xludf.DUMMYFUNCTION("GOOGLETRANSLATE(B1043,""en"",""gd"")"),"cuideam")</f>
        <v>cuideam</v>
      </c>
    </row>
    <row r="1044" spans="1:9" ht="14.25" customHeight="1" x14ac:dyDescent="0.3">
      <c r="A1044" s="2">
        <v>1043</v>
      </c>
      <c r="B1044" s="3" t="s">
        <v>1051</v>
      </c>
      <c r="C1044" s="2" t="str">
        <f ca="1">IFERROR(__xludf.DUMMYFUNCTION("GOOGLETRANSLATE(B1044, ""en"",""es"")"),"radio")</f>
        <v>radio</v>
      </c>
      <c r="D1044" s="2" t="str">
        <f ca="1">IFERROR(__xludf.DUMMYFUNCTION("GOOGLETRANSLATE(B1044,""en"",""ig"")"),"redio")</f>
        <v>redio</v>
      </c>
      <c r="E1044" s="2" t="str">
        <f ca="1">IFERROR(__xludf.DUMMYFUNCTION("GOOGLETRANSLATE(B1044,""en"",""fr"")"),"radio")</f>
        <v>radio</v>
      </c>
      <c r="F1044" s="2" t="str">
        <f ca="1">IFERROR(__xludf.DUMMYFUNCTION("GOOGLETRANSLATE(B1044,""en"",""it"")"),"Radio")</f>
        <v>Radio</v>
      </c>
      <c r="G1044" s="2" t="str">
        <f ca="1">IFERROR(__xludf.DUMMYFUNCTION("GOOGLETRANSLATE(B1044,""en"",""de"")"),"Radio")</f>
        <v>Radio</v>
      </c>
      <c r="H1044" s="2" t="str">
        <f ca="1">IFERROR(__xludf.DUMMYFUNCTION("GOOGLETRANSLATE(B1044,""en"",""zh"")"),"收音机")</f>
        <v>收音机</v>
      </c>
      <c r="I1044" s="2" t="str">
        <f ca="1">IFERROR(__xludf.DUMMYFUNCTION("GOOGLETRANSLATE(B1044,""en"",""gd"")"),"Rèidio")</f>
        <v>Rèidio</v>
      </c>
    </row>
    <row r="1045" spans="1:9" ht="14.25" customHeight="1" x14ac:dyDescent="0.3">
      <c r="A1045" s="2">
        <v>1044</v>
      </c>
      <c r="B1045" s="3" t="s">
        <v>1052</v>
      </c>
      <c r="C1045" s="2" t="str">
        <f ca="1">IFERROR(__xludf.DUMMYFUNCTION("GOOGLETRANSLATE(B1045, ""en"",""es"")"),"administración")</f>
        <v>administración</v>
      </c>
      <c r="D1045" s="2" t="str">
        <f ca="1">IFERROR(__xludf.DUMMYFUNCTION("GOOGLETRANSLATE(B1045,""en"",""ig"")"),"ochichi")</f>
        <v>ochichi</v>
      </c>
      <c r="E1045" s="2" t="str">
        <f ca="1">IFERROR(__xludf.DUMMYFUNCTION("GOOGLETRANSLATE(B1045,""en"",""fr"")"),"administration")</f>
        <v>administration</v>
      </c>
      <c r="F1045" s="2" t="str">
        <f ca="1">IFERROR(__xludf.DUMMYFUNCTION("GOOGLETRANSLATE(B1045,""en"",""it"")"),"amministrazione")</f>
        <v>amministrazione</v>
      </c>
      <c r="G1045" s="2" t="str">
        <f ca="1">IFERROR(__xludf.DUMMYFUNCTION("GOOGLETRANSLATE(B1045,""en"",""de"")"),"Verwaltung")</f>
        <v>Verwaltung</v>
      </c>
      <c r="H1045" s="2" t="str">
        <f ca="1">IFERROR(__xludf.DUMMYFUNCTION("GOOGLETRANSLATE(B1045,""en"",""zh"")"),"行政")</f>
        <v>行政</v>
      </c>
      <c r="I1045" s="2" t="str">
        <f ca="1">IFERROR(__xludf.DUMMYFUNCTION("GOOGLETRANSLATE(B1045,""en"",""gd"")"),"Rianachd")</f>
        <v>Rianachd</v>
      </c>
    </row>
    <row r="1046" spans="1:9" ht="14.25" customHeight="1" x14ac:dyDescent="0.3">
      <c r="A1046" s="2">
        <v>1045</v>
      </c>
      <c r="B1046" s="3" t="s">
        <v>1053</v>
      </c>
      <c r="C1046" s="2" t="str">
        <f ca="1">IFERROR(__xludf.DUMMYFUNCTION("GOOGLETRANSLATE(B1046, ""en"",""es"")"),"complejo")</f>
        <v>complejo</v>
      </c>
      <c r="D1046" s="2" t="str">
        <f ca="1">IFERROR(__xludf.DUMMYFUNCTION("GOOGLETRANSLATE(B1046,""en"",""ig"")"),"dinuche")</f>
        <v>dinuche</v>
      </c>
      <c r="E1046" s="2" t="str">
        <f ca="1">IFERROR(__xludf.DUMMYFUNCTION("GOOGLETRANSLATE(B1046,""en"",""fr"")"),"complexe")</f>
        <v>complexe</v>
      </c>
      <c r="F1046" s="2" t="str">
        <f ca="1">IFERROR(__xludf.DUMMYFUNCTION("GOOGLETRANSLATE(B1046,""en"",""it"")"),"complesso")</f>
        <v>complesso</v>
      </c>
      <c r="G1046" s="2" t="str">
        <f ca="1">IFERROR(__xludf.DUMMYFUNCTION("GOOGLETRANSLATE(B1046,""en"",""de"")"),"Komplex")</f>
        <v>Komplex</v>
      </c>
      <c r="H1046" s="2" t="str">
        <f ca="1">IFERROR(__xludf.DUMMYFUNCTION("GOOGLETRANSLATE(B1046,""en"",""zh"")"),"复杂的")</f>
        <v>复杂的</v>
      </c>
      <c r="I1046" s="2" t="str">
        <f ca="1">IFERROR(__xludf.DUMMYFUNCTION("GOOGLETRANSLATE(B1046,""en"",""gd"")"),"iom-fhillte")</f>
        <v>iom-fhillte</v>
      </c>
    </row>
    <row r="1047" spans="1:9" ht="14.25" customHeight="1" x14ac:dyDescent="0.3">
      <c r="A1047" s="2">
        <v>1046</v>
      </c>
      <c r="B1047" s="3" t="s">
        <v>1054</v>
      </c>
      <c r="C1047" s="2" t="str">
        <f ca="1">IFERROR(__xludf.DUMMYFUNCTION("GOOGLETRANSLATE(B1047, ""en"",""es"")"),"texto")</f>
        <v>texto</v>
      </c>
      <c r="D1047" s="2" t="str">
        <f ca="1">IFERROR(__xludf.DUMMYFUNCTION("GOOGLETRANSLATE(B1047,""en"",""ig"")"),"nsiride")</f>
        <v>nsiride</v>
      </c>
      <c r="E1047" s="2" t="str">
        <f ca="1">IFERROR(__xludf.DUMMYFUNCTION("GOOGLETRANSLATE(B1047,""en"",""fr"")"),"texte")</f>
        <v>texte</v>
      </c>
      <c r="F1047" s="2" t="str">
        <f ca="1">IFERROR(__xludf.DUMMYFUNCTION("GOOGLETRANSLATE(B1047,""en"",""it"")"),"testo")</f>
        <v>testo</v>
      </c>
      <c r="G1047" s="2" t="str">
        <f ca="1">IFERROR(__xludf.DUMMYFUNCTION("GOOGLETRANSLATE(B1047,""en"",""de"")"),"Text")</f>
        <v>Text</v>
      </c>
      <c r="H1047" s="2" t="str">
        <f ca="1">IFERROR(__xludf.DUMMYFUNCTION("GOOGLETRANSLATE(B1047,""en"",""zh"")"),"文本")</f>
        <v>文本</v>
      </c>
      <c r="I1047" s="2" t="str">
        <f ca="1">IFERROR(__xludf.DUMMYFUNCTION("GOOGLETRANSLATE(B1047,""en"",""gd"")"),"Teacs")</f>
        <v>Teacs</v>
      </c>
    </row>
    <row r="1048" spans="1:9" ht="14.25" customHeight="1" x14ac:dyDescent="0.3">
      <c r="A1048" s="2">
        <v>1047</v>
      </c>
      <c r="B1048" s="3" t="s">
        <v>1055</v>
      </c>
      <c r="C1048" s="2" t="str">
        <f ca="1">IFERROR(__xludf.DUMMYFUNCTION("GOOGLETRANSLATE(B1048, ""en"",""es"")"),"contexto")</f>
        <v>contexto</v>
      </c>
      <c r="D1048" s="2" t="str">
        <f ca="1">IFERROR(__xludf.DUMMYFUNCTION("GOOGLETRANSLATE(B1048,""en"",""ig"")"),"onodu")</f>
        <v>onodu</v>
      </c>
      <c r="E1048" s="2" t="str">
        <f ca="1">IFERROR(__xludf.DUMMYFUNCTION("GOOGLETRANSLATE(B1048,""en"",""fr"")"),"contexte")</f>
        <v>contexte</v>
      </c>
      <c r="F1048" s="2" t="str">
        <f ca="1">IFERROR(__xludf.DUMMYFUNCTION("GOOGLETRANSLATE(B1048,""en"",""it"")"),"contesto")</f>
        <v>contesto</v>
      </c>
      <c r="G1048" s="2" t="str">
        <f ca="1">IFERROR(__xludf.DUMMYFUNCTION("GOOGLETRANSLATE(B1048,""en"",""de"")"),"Kontext")</f>
        <v>Kontext</v>
      </c>
      <c r="H1048" s="2" t="str">
        <f ca="1">IFERROR(__xludf.DUMMYFUNCTION("GOOGLETRANSLATE(B1048,""en"",""zh"")"),"语境")</f>
        <v>语境</v>
      </c>
      <c r="I1048" s="2" t="str">
        <f ca="1">IFERROR(__xludf.DUMMYFUNCTION("GOOGLETRANSLATE(B1048,""en"",""gd"")"),"CO-THEACSA")</f>
        <v>CO-THEACSA</v>
      </c>
    </row>
    <row r="1049" spans="1:9" ht="14.25" customHeight="1" x14ac:dyDescent="0.3">
      <c r="A1049" s="2">
        <v>1048</v>
      </c>
      <c r="B1049" s="3" t="s">
        <v>1056</v>
      </c>
      <c r="C1049" s="2" t="str">
        <f ca="1">IFERROR(__xludf.DUMMYFUNCTION("GOOGLETRANSLATE(B1049, ""en"",""es"")"),"conducir")</f>
        <v>conducir</v>
      </c>
      <c r="D1049" s="2" t="str">
        <f ca="1">IFERROR(__xludf.DUMMYFUNCTION("GOOGLETRANSLATE(B1049,""en"",""ig"")"),"okwukwo moto")</f>
        <v>okwukwo moto</v>
      </c>
      <c r="E1049" s="2" t="str">
        <f ca="1">IFERROR(__xludf.DUMMYFUNCTION("GOOGLETRANSLATE(B1049,""en"",""fr"")"),"monter")</f>
        <v>monter</v>
      </c>
      <c r="F1049" s="2" t="str">
        <f ca="1">IFERROR(__xludf.DUMMYFUNCTION("GOOGLETRANSLATE(B1049,""en"",""it"")"),"passeggiata")</f>
        <v>passeggiata</v>
      </c>
      <c r="G1049" s="2" t="str">
        <f ca="1">IFERROR(__xludf.DUMMYFUNCTION("GOOGLETRANSLATE(B1049,""en"",""de"")"),"Fahrt")</f>
        <v>Fahrt</v>
      </c>
      <c r="H1049" s="2" t="str">
        <f ca="1">IFERROR(__xludf.DUMMYFUNCTION("GOOGLETRANSLATE(B1049,""en"",""zh"")"),"骑")</f>
        <v>骑</v>
      </c>
      <c r="I1049" s="2" t="str">
        <f ca="1">IFERROR(__xludf.DUMMYFUNCTION("GOOGLETRANSLATE(B1049,""en"",""gd"")"),"Rothairich")</f>
        <v>Rothairich</v>
      </c>
    </row>
    <row r="1050" spans="1:9" ht="14.25" customHeight="1" x14ac:dyDescent="0.3">
      <c r="A1050" s="2">
        <v>1049</v>
      </c>
      <c r="B1050" s="3" t="s">
        <v>1057</v>
      </c>
      <c r="C1050" s="2" t="str">
        <f ca="1">IFERROR(__xludf.DUMMYFUNCTION("GOOGLETRANSLATE(B1050, ""en"",""es"")"),"directamente")</f>
        <v>directamente</v>
      </c>
      <c r="D1050" s="2" t="str">
        <f ca="1">IFERROR(__xludf.DUMMYFUNCTION("GOOGLETRANSLATE(B1050,""en"",""ig"")"),"kpọmkwem")</f>
        <v>kpọmkwem</v>
      </c>
      <c r="E1050" s="2" t="str">
        <f ca="1">IFERROR(__xludf.DUMMYFUNCTION("GOOGLETRANSLATE(B1050,""en"",""fr"")"),"directement")</f>
        <v>directement</v>
      </c>
      <c r="F1050" s="2" t="str">
        <f ca="1">IFERROR(__xludf.DUMMYFUNCTION("GOOGLETRANSLATE(B1050,""en"",""it"")"),"direttamente")</f>
        <v>direttamente</v>
      </c>
      <c r="G1050" s="2" t="str">
        <f ca="1">IFERROR(__xludf.DUMMYFUNCTION("GOOGLETRANSLATE(B1050,""en"",""de"")"),"direkt")</f>
        <v>direkt</v>
      </c>
      <c r="H1050" s="2" t="str">
        <f ca="1">IFERROR(__xludf.DUMMYFUNCTION("GOOGLETRANSLATE(B1050,""en"",""zh"")"),"直接地")</f>
        <v>直接地</v>
      </c>
      <c r="I1050" s="2" t="str">
        <f ca="1">IFERROR(__xludf.DUMMYFUNCTION("GOOGLETRANSLATE(B1050,""en"",""gd"")"),"gu dìreach")</f>
        <v>gu dìreach</v>
      </c>
    </row>
    <row r="1051" spans="1:9" ht="14.25" customHeight="1" x14ac:dyDescent="0.3">
      <c r="A1051" s="2">
        <v>1050</v>
      </c>
      <c r="B1051" s="3" t="s">
        <v>1058</v>
      </c>
      <c r="C1051" s="2" t="str">
        <f ca="1">IFERROR(__xludf.DUMMYFUNCTION("GOOGLETRANSLATE(B1051, ""en"",""es"")"),"pesado")</f>
        <v>pesado</v>
      </c>
      <c r="D1051" s="2" t="str">
        <f ca="1">IFERROR(__xludf.DUMMYFUNCTION("GOOGLETRANSLATE(B1051,""en"",""ig"")"),"kedi aru")</f>
        <v>kedi aru</v>
      </c>
      <c r="E1051" s="2" t="str">
        <f ca="1">IFERROR(__xludf.DUMMYFUNCTION("GOOGLETRANSLATE(B1051,""en"",""fr"")"),"lourd")</f>
        <v>lourd</v>
      </c>
      <c r="F1051" s="2" t="str">
        <f ca="1">IFERROR(__xludf.DUMMYFUNCTION("GOOGLETRANSLATE(B1051,""en"",""it"")"),"pesante")</f>
        <v>pesante</v>
      </c>
      <c r="G1051" s="2" t="str">
        <f ca="1">IFERROR(__xludf.DUMMYFUNCTION("GOOGLETRANSLATE(B1051,""en"",""de"")"),"schwer")</f>
        <v>schwer</v>
      </c>
      <c r="H1051" s="2" t="str">
        <f ca="1">IFERROR(__xludf.DUMMYFUNCTION("GOOGLETRANSLATE(B1051,""en"",""zh"")"),"重的")</f>
        <v>重的</v>
      </c>
      <c r="I1051" s="2" t="str">
        <f ca="1">IFERROR(__xludf.DUMMYFUNCTION("GOOGLETRANSLATE(B1051,""en"",""gd"")"),"trom")</f>
        <v>trom</v>
      </c>
    </row>
    <row r="1052" spans="1:9" ht="14.25" customHeight="1" x14ac:dyDescent="0.3">
      <c r="A1052" s="2">
        <v>1051</v>
      </c>
      <c r="B1052" s="3" t="s">
        <v>1059</v>
      </c>
      <c r="C1052" s="2" t="str">
        <f ca="1">IFERROR(__xludf.DUMMYFUNCTION("GOOGLETRANSLATE(B1052, ""en"",""es"")"),"eliminar")</f>
        <v>eliminar</v>
      </c>
      <c r="D1052" s="2" t="str">
        <f ca="1">IFERROR(__xludf.DUMMYFUNCTION("GOOGLETRANSLATE(B1052,""en"",""ig"")"),"iwepu")</f>
        <v>iwepu</v>
      </c>
      <c r="E1052" s="2" t="str">
        <f ca="1">IFERROR(__xludf.DUMMYFUNCTION("GOOGLETRANSLATE(B1052,""en"",""fr"")"),"retirer")</f>
        <v>retirer</v>
      </c>
      <c r="F1052" s="2" t="str">
        <f ca="1">IFERROR(__xludf.DUMMYFUNCTION("GOOGLETRANSLATE(B1052,""en"",""it"")"),"rimuovere")</f>
        <v>rimuovere</v>
      </c>
      <c r="G1052" s="2" t="str">
        <f ca="1">IFERROR(__xludf.DUMMYFUNCTION("GOOGLETRANSLATE(B1052,""en"",""de"")"),"entfernen")</f>
        <v>entfernen</v>
      </c>
      <c r="H1052" s="2" t="str">
        <f ca="1">IFERROR(__xludf.DUMMYFUNCTION("GOOGLETRANSLATE(B1052,""en"",""zh"")"),"消除")</f>
        <v>消除</v>
      </c>
      <c r="I1052" s="2" t="str">
        <f ca="1">IFERROR(__xludf.DUMMYFUNCTION("GOOGLETRANSLATE(B1052,""en"",""gd"")"),"Thoir air falbh")</f>
        <v>Thoir air falbh</v>
      </c>
    </row>
    <row r="1053" spans="1:9" ht="14.25" customHeight="1" x14ac:dyDescent="0.3">
      <c r="A1053" s="2">
        <v>1052</v>
      </c>
      <c r="B1053" s="3" t="s">
        <v>1060</v>
      </c>
      <c r="C1053" s="2" t="str">
        <f ca="1">IFERROR(__xludf.DUMMYFUNCTION("GOOGLETRANSLATE(B1053, ""en"",""es"")"),"conducta")</f>
        <v>conducta</v>
      </c>
      <c r="D1053" s="2" t="str">
        <f ca="1">IFERROR(__xludf.DUMMYFUNCTION("GOOGLETRANSLATE(B1053,""en"",""ig"")"),"izi uzo")</f>
        <v>izi uzo</v>
      </c>
      <c r="E1053" s="2" t="str">
        <f ca="1">IFERROR(__xludf.DUMMYFUNCTION("GOOGLETRANSLATE(B1053,""en"",""fr"")"),"conduire")</f>
        <v>conduire</v>
      </c>
      <c r="F1053" s="2" t="str">
        <f ca="1">IFERROR(__xludf.DUMMYFUNCTION("GOOGLETRANSLATE(B1053,""en"",""it"")"),"condotta")</f>
        <v>condotta</v>
      </c>
      <c r="G1053" s="2" t="str">
        <f ca="1">IFERROR(__xludf.DUMMYFUNCTION("GOOGLETRANSLATE(B1053,""en"",""de"")"),"Benehmen")</f>
        <v>Benehmen</v>
      </c>
      <c r="H1053" s="2" t="str">
        <f ca="1">IFERROR(__xludf.DUMMYFUNCTION("GOOGLETRANSLATE(B1053,""en"",""zh"")"),"执行")</f>
        <v>执行</v>
      </c>
      <c r="I1053" s="2" t="str">
        <f ca="1">IFERROR(__xludf.DUMMYFUNCTION("GOOGLETRANSLATE(B1053,""en"",""gd"")"),"giùlan")</f>
        <v>giùlan</v>
      </c>
    </row>
    <row r="1054" spans="1:9" ht="14.25" customHeight="1" x14ac:dyDescent="0.3">
      <c r="A1054" s="2">
        <v>1053</v>
      </c>
      <c r="B1054" s="3" t="s">
        <v>1061</v>
      </c>
      <c r="C1054" s="2" t="str">
        <f ca="1">IFERROR(__xludf.DUMMYFUNCTION("GOOGLETRANSLATE(B1054, ""en"",""es"")"),"equipo")</f>
        <v>equipo</v>
      </c>
      <c r="D1054" s="2" t="str">
        <f ca="1">IFERROR(__xludf.DUMMYFUNCTION("GOOGLETRANSLATE(B1054,""en"",""ig"")"),"ntinyere")</f>
        <v>ntinyere</v>
      </c>
      <c r="E1054" s="2" t="str">
        <f ca="1">IFERROR(__xludf.DUMMYFUNCTION("GOOGLETRANSLATE(B1054,""en"",""fr"")"),"équipement")</f>
        <v>équipement</v>
      </c>
      <c r="F1054" s="2" t="str">
        <f ca="1">IFERROR(__xludf.DUMMYFUNCTION("GOOGLETRANSLATE(B1054,""en"",""it"")"),"attrezzatura")</f>
        <v>attrezzatura</v>
      </c>
      <c r="G1054" s="2" t="str">
        <f ca="1">IFERROR(__xludf.DUMMYFUNCTION("GOOGLETRANSLATE(B1054,""en"",""de"")"),"Ausrüstung")</f>
        <v>Ausrüstung</v>
      </c>
      <c r="H1054" s="2" t="str">
        <f ca="1">IFERROR(__xludf.DUMMYFUNCTION("GOOGLETRANSLATE(B1054,""en"",""zh"")"),"设备")</f>
        <v>设备</v>
      </c>
      <c r="I1054" s="2" t="str">
        <f ca="1">IFERROR(__xludf.DUMMYFUNCTION("GOOGLETRANSLATE(B1054,""en"",""gd"")"),"uidheamachd")</f>
        <v>uidheamachd</v>
      </c>
    </row>
    <row r="1055" spans="1:9" ht="14.25" customHeight="1" x14ac:dyDescent="0.3">
      <c r="A1055" s="2">
        <v>1054</v>
      </c>
      <c r="B1055" s="3" t="s">
        <v>1062</v>
      </c>
      <c r="C1055" s="2" t="str">
        <f ca="1">IFERROR(__xludf.DUMMYFUNCTION("GOOGLETRANSLATE(B1055, ""en"",""es"")"),"de lo contrario")</f>
        <v>de lo contrario</v>
      </c>
      <c r="D1055" s="2" t="str">
        <f ca="1">IFERROR(__xludf.DUMMYFUNCTION("GOOGLETRANSLATE(B1055,""en"",""ig"")"),"ma obughi otua")</f>
        <v>ma obughi otua</v>
      </c>
      <c r="E1055" s="2" t="str">
        <f ca="1">IFERROR(__xludf.DUMMYFUNCTION("GOOGLETRANSLATE(B1055,""en"",""fr"")"),"sinon")</f>
        <v>sinon</v>
      </c>
      <c r="F1055" s="2" t="str">
        <f ca="1">IFERROR(__xludf.DUMMYFUNCTION("GOOGLETRANSLATE(B1055,""en"",""it"")"),"Altrimenti")</f>
        <v>Altrimenti</v>
      </c>
      <c r="G1055" s="2" t="str">
        <f ca="1">IFERROR(__xludf.DUMMYFUNCTION("GOOGLETRANSLATE(B1055,""en"",""de"")"),"ansonsten")</f>
        <v>ansonsten</v>
      </c>
      <c r="H1055" s="2" t="str">
        <f ca="1">IFERROR(__xludf.DUMMYFUNCTION("GOOGLETRANSLATE(B1055,""en"",""zh"")"),"否则")</f>
        <v>否则</v>
      </c>
      <c r="I1055" s="2" t="str">
        <f ca="1">IFERROR(__xludf.DUMMYFUNCTION("GOOGLETRANSLATE(B1055,""en"",""gd"")"),"air dhòigh eile")</f>
        <v>air dhòigh eile</v>
      </c>
    </row>
    <row r="1056" spans="1:9" ht="14.25" customHeight="1" x14ac:dyDescent="0.3">
      <c r="A1056" s="2">
        <v>1055</v>
      </c>
      <c r="B1056" s="3" t="s">
        <v>1063</v>
      </c>
      <c r="C1056" s="2" t="str">
        <f ca="1">IFERROR(__xludf.DUMMYFUNCTION("GOOGLETRANSLATE(B1056, ""en"",""es"")"),"título")</f>
        <v>título</v>
      </c>
      <c r="D1056" s="2" t="str">
        <f ca="1">IFERROR(__xludf.DUMMYFUNCTION("GOOGLETRANSLATE(B1056,""en"",""ig"")"),"aha")</f>
        <v>aha</v>
      </c>
      <c r="E1056" s="2" t="str">
        <f ca="1">IFERROR(__xludf.DUMMYFUNCTION("GOOGLETRANSLATE(B1056,""en"",""fr"")"),"titre")</f>
        <v>titre</v>
      </c>
      <c r="F1056" s="2" t="str">
        <f ca="1">IFERROR(__xludf.DUMMYFUNCTION("GOOGLETRANSLATE(B1056,""en"",""it"")"),"titolo")</f>
        <v>titolo</v>
      </c>
      <c r="G1056" s="2" t="str">
        <f ca="1">IFERROR(__xludf.DUMMYFUNCTION("GOOGLETRANSLATE(B1056,""en"",""de"")"),"Titel")</f>
        <v>Titel</v>
      </c>
      <c r="H1056" s="2" t="str">
        <f ca="1">IFERROR(__xludf.DUMMYFUNCTION("GOOGLETRANSLATE(B1056,""en"",""zh"")"),"标题")</f>
        <v>标题</v>
      </c>
      <c r="I1056" s="2" t="str">
        <f ca="1">IFERROR(__xludf.DUMMYFUNCTION("GOOGLETRANSLATE(B1056,""en"",""gd"")"),"Tiotal")</f>
        <v>Tiotal</v>
      </c>
    </row>
    <row r="1057" spans="1:9" ht="14.25" customHeight="1" x14ac:dyDescent="0.3">
      <c r="A1057" s="2">
        <v>1056</v>
      </c>
      <c r="B1057" s="3" t="s">
        <v>1064</v>
      </c>
      <c r="C1057" s="2" t="str">
        <f ca="1">IFERROR(__xludf.DUMMYFUNCTION("GOOGLETRANSLATE(B1057, ""en"",""es"")"),"extra")</f>
        <v>extra</v>
      </c>
      <c r="D1057" s="2" t="str">
        <f ca="1">IFERROR(__xludf.DUMMYFUNCTION("GOOGLETRANSLATE(B1057,""en"",""ig"")"),"mmezi")</f>
        <v>mmezi</v>
      </c>
      <c r="E1057" s="2" t="str">
        <f ca="1">IFERROR(__xludf.DUMMYFUNCTION("GOOGLETRANSLATE(B1057,""en"",""fr"")"),"supplémentaire")</f>
        <v>supplémentaire</v>
      </c>
      <c r="F1057" s="2" t="str">
        <f ca="1">IFERROR(__xludf.DUMMYFUNCTION("GOOGLETRANSLATE(B1057,""en"",""it"")"),"extra")</f>
        <v>extra</v>
      </c>
      <c r="G1057" s="2" t="str">
        <f ca="1">IFERROR(__xludf.DUMMYFUNCTION("GOOGLETRANSLATE(B1057,""en"",""de"")"),"extra")</f>
        <v>extra</v>
      </c>
      <c r="H1057" s="2" t="str">
        <f ca="1">IFERROR(__xludf.DUMMYFUNCTION("GOOGLETRANSLATE(B1057,""en"",""zh"")"),"额外的")</f>
        <v>额外的</v>
      </c>
      <c r="I1057" s="2" t="str">
        <f ca="1">IFERROR(__xludf.DUMMYFUNCTION("GOOGLETRANSLATE(B1057,""en"",""gd"")"),"a bharrachd")</f>
        <v>a bharrachd</v>
      </c>
    </row>
    <row r="1058" spans="1:9" ht="14.25" customHeight="1" x14ac:dyDescent="0.3">
      <c r="A1058" s="2">
        <v>1057</v>
      </c>
      <c r="B1058" s="3" t="s">
        <v>1065</v>
      </c>
      <c r="C1058" s="2" t="str">
        <f ca="1">IFERROR(__xludf.DUMMYFUNCTION("GOOGLETRANSLATE(B1058, ""en"",""es"")"),"ejecutivo")</f>
        <v>ejecutivo</v>
      </c>
      <c r="D1058" s="2" t="str">
        <f ca="1">IFERROR(__xludf.DUMMYFUNCTION("GOOGLETRANSLATE(B1058,""en"",""ig"")"),"ezekutiv")</f>
        <v>ezekutiv</v>
      </c>
      <c r="E1058" s="2" t="str">
        <f ca="1">IFERROR(__xludf.DUMMYFUNCTION("GOOGLETRANSLATE(B1058,""en"",""fr"")"),"exécutif")</f>
        <v>exécutif</v>
      </c>
      <c r="F1058" s="2" t="str">
        <f ca="1">IFERROR(__xludf.DUMMYFUNCTION("GOOGLETRANSLATE(B1058,""en"",""it"")"),"esecutivo")</f>
        <v>esecutivo</v>
      </c>
      <c r="G1058" s="2" t="str">
        <f ca="1">IFERROR(__xludf.DUMMYFUNCTION("GOOGLETRANSLATE(B1058,""en"",""de"")"),"Executive")</f>
        <v>Executive</v>
      </c>
      <c r="H1058" s="2" t="str">
        <f ca="1">IFERROR(__xludf.DUMMYFUNCTION("GOOGLETRANSLATE(B1058,""en"",""zh"")"),"管理人员")</f>
        <v>管理人员</v>
      </c>
      <c r="I1058" s="2" t="str">
        <f ca="1">IFERROR(__xludf.DUMMYFUNCTION("GOOGLETRANSLATE(B1058,""en"",""gd"")"),"Riaghaltas")</f>
        <v>Riaghaltas</v>
      </c>
    </row>
    <row r="1059" spans="1:9" ht="14.25" customHeight="1" x14ac:dyDescent="0.3">
      <c r="A1059" s="2">
        <v>1058</v>
      </c>
      <c r="B1059" s="3" t="s">
        <v>1066</v>
      </c>
      <c r="C1059" s="2" t="str">
        <f ca="1">IFERROR(__xludf.DUMMYFUNCTION("GOOGLETRANSLATE(B1059, ""en"",""es"")"),"silla")</f>
        <v>silla</v>
      </c>
      <c r="D1059" s="2" t="str">
        <f ca="1">IFERROR(__xludf.DUMMYFUNCTION("GOOGLETRANSLATE(B1059,""en"",""ig"")"),"oche")</f>
        <v>oche</v>
      </c>
      <c r="E1059" s="2" t="str">
        <f ca="1">IFERROR(__xludf.DUMMYFUNCTION("GOOGLETRANSLATE(B1059,""en"",""fr"")"),"chaise")</f>
        <v>chaise</v>
      </c>
      <c r="F1059" s="2" t="str">
        <f ca="1">IFERROR(__xludf.DUMMYFUNCTION("GOOGLETRANSLATE(B1059,""en"",""it"")"),"sedia")</f>
        <v>sedia</v>
      </c>
      <c r="G1059" s="2" t="str">
        <f ca="1">IFERROR(__xludf.DUMMYFUNCTION("GOOGLETRANSLATE(B1059,""en"",""de"")"),"Stuhl")</f>
        <v>Stuhl</v>
      </c>
      <c r="H1059" s="2" t="str">
        <f ca="1">IFERROR(__xludf.DUMMYFUNCTION("GOOGLETRANSLATE(B1059,""en"",""zh"")"),"椅子")</f>
        <v>椅子</v>
      </c>
      <c r="I1059" s="2" t="str">
        <f ca="1">IFERROR(__xludf.DUMMYFUNCTION("GOOGLETRANSLATE(B1059,""en"",""gd"")"),"cathair")</f>
        <v>cathair</v>
      </c>
    </row>
    <row r="1060" spans="1:9" ht="14.25" customHeight="1" x14ac:dyDescent="0.3">
      <c r="A1060" s="2">
        <v>1059</v>
      </c>
      <c r="B1060" s="3" t="s">
        <v>1067</v>
      </c>
      <c r="C1060" s="2" t="str">
        <f ca="1">IFERROR(__xludf.DUMMYFUNCTION("GOOGLETRANSLATE(B1060, ""en"",""es"")"),"caro")</f>
        <v>caro</v>
      </c>
      <c r="D1060" s="2" t="str">
        <f ca="1">IFERROR(__xludf.DUMMYFUNCTION("GOOGLETRANSLATE(B1060,""en"",""ig"")"),"kedionu")</f>
        <v>kedionu</v>
      </c>
      <c r="E1060" s="2" t="str">
        <f ca="1">IFERROR(__xludf.DUMMYFUNCTION("GOOGLETRANSLATE(B1060,""en"",""fr"")"),"cher")</f>
        <v>cher</v>
      </c>
      <c r="F1060" s="2" t="str">
        <f ca="1">IFERROR(__xludf.DUMMYFUNCTION("GOOGLETRANSLATE(B1060,""en"",""it"")"),"costoso")</f>
        <v>costoso</v>
      </c>
      <c r="G1060" s="2" t="str">
        <f ca="1">IFERROR(__xludf.DUMMYFUNCTION("GOOGLETRANSLATE(B1060,""en"",""de"")"),"teuer")</f>
        <v>teuer</v>
      </c>
      <c r="H1060" s="2" t="str">
        <f ca="1">IFERROR(__xludf.DUMMYFUNCTION("GOOGLETRANSLATE(B1060,""en"",""zh"")"),"昂贵的")</f>
        <v>昂贵的</v>
      </c>
      <c r="I1060" s="2" t="str">
        <f ca="1">IFERROR(__xludf.DUMMYFUNCTION("GOOGLETRANSLATE(B1060,""en"",""gd"")"),"daor")</f>
        <v>daor</v>
      </c>
    </row>
    <row r="1061" spans="1:9" ht="14.25" customHeight="1" x14ac:dyDescent="0.3">
      <c r="A1061" s="2">
        <v>1060</v>
      </c>
      <c r="B1061" s="3" t="s">
        <v>1068</v>
      </c>
      <c r="C1061" s="2" t="str">
        <f ca="1">IFERROR(__xludf.DUMMYFUNCTION("GOOGLETRANSLATE(B1061, ""en"",""es"")"),"muestra")</f>
        <v>muestra</v>
      </c>
      <c r="D1061" s="2" t="str">
        <f ca="1">IFERROR(__xludf.DUMMYFUNCTION("GOOGLETRANSLATE(B1061,""en"",""ig"")"),"sampul")</f>
        <v>sampul</v>
      </c>
      <c r="E1061" s="2" t="str">
        <f ca="1">IFERROR(__xludf.DUMMYFUNCTION("GOOGLETRANSLATE(B1061,""en"",""fr"")"),"échantillon")</f>
        <v>échantillon</v>
      </c>
      <c r="F1061" s="2" t="str">
        <f ca="1">IFERROR(__xludf.DUMMYFUNCTION("GOOGLETRANSLATE(B1061,""en"",""it"")"),"campione")</f>
        <v>campione</v>
      </c>
      <c r="G1061" s="2" t="str">
        <f ca="1">IFERROR(__xludf.DUMMYFUNCTION("GOOGLETRANSLATE(B1061,""en"",""de"")"),"Probe")</f>
        <v>Probe</v>
      </c>
      <c r="H1061" s="2" t="str">
        <f ca="1">IFERROR(__xludf.DUMMYFUNCTION("GOOGLETRANSLATE(B1061,""en"",""zh"")"),"样本")</f>
        <v>样本</v>
      </c>
      <c r="I1061" s="2" t="str">
        <f ca="1">IFERROR(__xludf.DUMMYFUNCTION("GOOGLETRANSLATE(B1061,""en"",""gd"")"),"Eisimpleir")</f>
        <v>Eisimpleir</v>
      </c>
    </row>
    <row r="1062" spans="1:9" ht="14.25" customHeight="1" x14ac:dyDescent="0.3">
      <c r="A1062" s="2">
        <v>1061</v>
      </c>
      <c r="B1062" s="3" t="s">
        <v>1069</v>
      </c>
      <c r="C1062" s="2" t="str">
        <f ca="1">IFERROR(__xludf.DUMMYFUNCTION("GOOGLETRANSLATE(B1062, ""en"",""es"")"),"sexo")</f>
        <v>sexo</v>
      </c>
      <c r="D1062" s="2" t="str">
        <f ca="1">IFERROR(__xludf.DUMMYFUNCTION("GOOGLETRANSLATE(B1062,""en"",""ig"")"),"seks")</f>
        <v>seks</v>
      </c>
      <c r="E1062" s="2" t="str">
        <f ca="1">IFERROR(__xludf.DUMMYFUNCTION("GOOGLETRANSLATE(B1062,""en"",""fr"")"),"sexe")</f>
        <v>sexe</v>
      </c>
      <c r="F1062" s="2" t="str">
        <f ca="1">IFERROR(__xludf.DUMMYFUNCTION("GOOGLETRANSLATE(B1062,""en"",""it"")"),"sesso")</f>
        <v>sesso</v>
      </c>
      <c r="G1062" s="2" t="str">
        <f ca="1">IFERROR(__xludf.DUMMYFUNCTION("GOOGLETRANSLATE(B1062,""en"",""de"")"),"Sex")</f>
        <v>Sex</v>
      </c>
      <c r="H1062" s="2" t="str">
        <f ca="1">IFERROR(__xludf.DUMMYFUNCTION("GOOGLETRANSLATE(B1062,""en"",""zh"")"),"性别")</f>
        <v>性别</v>
      </c>
      <c r="I1062" s="2" t="str">
        <f ca="1">IFERROR(__xludf.DUMMYFUNCTION("GOOGLETRANSLATE(B1062,""en"",""gd"")"),"gnè")</f>
        <v>gnè</v>
      </c>
    </row>
    <row r="1063" spans="1:9" ht="14.25" customHeight="1" x14ac:dyDescent="0.3">
      <c r="A1063" s="2">
        <v>1062</v>
      </c>
      <c r="B1063" s="3" t="s">
        <v>1070</v>
      </c>
      <c r="C1063" s="2" t="str">
        <f ca="1">IFERROR(__xludf.DUMMYFUNCTION("GOOGLETRANSLATE(B1063, ""en"",""es"")"),"entregar")</f>
        <v>entregar</v>
      </c>
      <c r="D1063" s="2" t="str">
        <f ca="1">IFERROR(__xludf.DUMMYFUNCTION("GOOGLETRANSLATE(B1063,""en"",""ig"")"),"iwegara")</f>
        <v>iwegara</v>
      </c>
      <c r="E1063" s="2" t="str">
        <f ca="1">IFERROR(__xludf.DUMMYFUNCTION("GOOGLETRANSLATE(B1063,""en"",""fr"")"),"livrer")</f>
        <v>livrer</v>
      </c>
      <c r="F1063" s="2" t="str">
        <f ca="1">IFERROR(__xludf.DUMMYFUNCTION("GOOGLETRANSLATE(B1063,""en"",""it"")"),"consegnare")</f>
        <v>consegnare</v>
      </c>
      <c r="G1063" s="2" t="str">
        <f ca="1">IFERROR(__xludf.DUMMYFUNCTION("GOOGLETRANSLATE(B1063,""en"",""de"")"),"liefern")</f>
        <v>liefern</v>
      </c>
      <c r="H1063" s="2" t="str">
        <f ca="1">IFERROR(__xludf.DUMMYFUNCTION("GOOGLETRANSLATE(B1063,""en"",""zh"")"),"递送")</f>
        <v>递送</v>
      </c>
      <c r="I1063" s="2" t="str">
        <f ca="1">IFERROR(__xludf.DUMMYFUNCTION("GOOGLETRANSLATE(B1063,""en"",""gd"")"),"Lìbhrig thu")</f>
        <v>Lìbhrig thu</v>
      </c>
    </row>
    <row r="1064" spans="1:9" ht="14.25" customHeight="1" x14ac:dyDescent="0.3">
      <c r="A1064" s="2">
        <v>1063</v>
      </c>
      <c r="B1064" s="3" t="s">
        <v>1071</v>
      </c>
      <c r="C1064" s="2" t="str">
        <f ca="1">IFERROR(__xludf.DUMMYFUNCTION("GOOGLETRANSLATE(B1064, ""en"",""es"")"),"video")</f>
        <v>video</v>
      </c>
      <c r="D1064" s="2" t="str">
        <f ca="1">IFERROR(__xludf.DUMMYFUNCTION("GOOGLETRANSLATE(B1064,""en"",""ig"")"),"vidio")</f>
        <v>vidio</v>
      </c>
      <c r="E1064" s="2" t="str">
        <f ca="1">IFERROR(__xludf.DUMMYFUNCTION("GOOGLETRANSLATE(B1064,""en"",""fr"")"),"vidéo")</f>
        <v>vidéo</v>
      </c>
      <c r="F1064" s="2" t="str">
        <f ca="1">IFERROR(__xludf.DUMMYFUNCTION("GOOGLETRANSLATE(B1064,""en"",""it"")"),"video")</f>
        <v>video</v>
      </c>
      <c r="G1064" s="2" t="str">
        <f ca="1">IFERROR(__xludf.DUMMYFUNCTION("GOOGLETRANSLATE(B1064,""en"",""de"")"),"Video")</f>
        <v>Video</v>
      </c>
      <c r="H1064" s="2" t="str">
        <f ca="1">IFERROR(__xludf.DUMMYFUNCTION("GOOGLETRANSLATE(B1064,""en"",""zh"")"),"视频")</f>
        <v>视频</v>
      </c>
      <c r="I1064" s="2" t="str">
        <f ca="1">IFERROR(__xludf.DUMMYFUNCTION("GOOGLETRANSLATE(B1064,""en"",""gd"")"),"Bhidio")</f>
        <v>Bhidio</v>
      </c>
    </row>
    <row r="1065" spans="1:9" ht="14.25" customHeight="1" x14ac:dyDescent="0.3">
      <c r="A1065" s="2">
        <v>1064</v>
      </c>
      <c r="B1065" s="3" t="s">
        <v>1072</v>
      </c>
      <c r="C1065" s="2" t="str">
        <f ca="1">IFERROR(__xludf.DUMMYFUNCTION("GOOGLETRANSLATE(B1065, ""en"",""es"")"),"conexión")</f>
        <v>conexión</v>
      </c>
      <c r="D1065" s="2" t="str">
        <f ca="1">IFERROR(__xludf.DUMMYFUNCTION("GOOGLETRANSLATE(B1065,""en"",""ig"")"),"njikota")</f>
        <v>njikota</v>
      </c>
      <c r="E1065" s="2" t="str">
        <f ca="1">IFERROR(__xludf.DUMMYFUNCTION("GOOGLETRANSLATE(B1065,""en"",""fr"")"),"connexion")</f>
        <v>connexion</v>
      </c>
      <c r="F1065" s="2" t="str">
        <f ca="1">IFERROR(__xludf.DUMMYFUNCTION("GOOGLETRANSLATE(B1065,""en"",""it"")"),"connessione")</f>
        <v>connessione</v>
      </c>
      <c r="G1065" s="2" t="str">
        <f ca="1">IFERROR(__xludf.DUMMYFUNCTION("GOOGLETRANSLATE(B1065,""en"",""de"")"),"Verbindung")</f>
        <v>Verbindung</v>
      </c>
      <c r="H1065" s="2" t="str">
        <f ca="1">IFERROR(__xludf.DUMMYFUNCTION("GOOGLETRANSLATE(B1065,""en"",""zh"")"),"联系")</f>
        <v>联系</v>
      </c>
      <c r="I1065" s="2" t="str">
        <f ca="1">IFERROR(__xludf.DUMMYFUNCTION("GOOGLETRANSLATE(B1065,""en"",""gd"")"),"Ceangal")</f>
        <v>Ceangal</v>
      </c>
    </row>
    <row r="1066" spans="1:9" ht="14.25" customHeight="1" x14ac:dyDescent="0.3">
      <c r="A1066" s="2">
        <v>1065</v>
      </c>
      <c r="B1066" s="3" t="s">
        <v>1073</v>
      </c>
      <c r="C1066" s="2" t="str">
        <f ca="1">IFERROR(__xludf.DUMMYFUNCTION("GOOGLETRANSLATE(B1066, ""en"",""es"")"),"primario")</f>
        <v>primario</v>
      </c>
      <c r="D1066" s="2" t="str">
        <f ca="1">IFERROR(__xludf.DUMMYFUNCTION("GOOGLETRANSLATE(B1066,""en"",""ig"")"),"ika mkpa")</f>
        <v>ika mkpa</v>
      </c>
      <c r="E1066" s="2" t="str">
        <f ca="1">IFERROR(__xludf.DUMMYFUNCTION("GOOGLETRANSLATE(B1066,""en"",""fr"")"),"primaire")</f>
        <v>primaire</v>
      </c>
      <c r="F1066" s="2" t="str">
        <f ca="1">IFERROR(__xludf.DUMMYFUNCTION("GOOGLETRANSLATE(B1066,""en"",""it"")"),"primario")</f>
        <v>primario</v>
      </c>
      <c r="G1066" s="2" t="str">
        <f ca="1">IFERROR(__xludf.DUMMYFUNCTION("GOOGLETRANSLATE(B1066,""en"",""de"")"),"primär")</f>
        <v>primär</v>
      </c>
      <c r="H1066" s="2" t="str">
        <f ca="1">IFERROR(__xludf.DUMMYFUNCTION("GOOGLETRANSLATE(B1066,""en"",""zh"")"),"基本的")</f>
        <v>基本的</v>
      </c>
      <c r="I1066" s="2" t="str">
        <f ca="1">IFERROR(__xludf.DUMMYFUNCTION("GOOGLETRANSLATE(B1066,""en"",""gd"")"),"Bun-sgoil")</f>
        <v>Bun-sgoil</v>
      </c>
    </row>
    <row r="1067" spans="1:9" ht="14.25" customHeight="1" x14ac:dyDescent="0.3">
      <c r="A1067" s="2">
        <v>1066</v>
      </c>
      <c r="B1067" s="3" t="s">
        <v>1074</v>
      </c>
      <c r="C1067" s="2" t="str">
        <f ca="1">IFERROR(__xludf.DUMMYFUNCTION("GOOGLETRANSLATE(B1067, ""en"",""es"")"),"clima")</f>
        <v>clima</v>
      </c>
      <c r="D1067" s="2" t="str">
        <f ca="1">IFERROR(__xludf.DUMMYFUNCTION("GOOGLETRANSLATE(B1067,""en"",""ig"")"),"udidiubochi")</f>
        <v>udidiubochi</v>
      </c>
      <c r="E1067" s="2" t="str">
        <f ca="1">IFERROR(__xludf.DUMMYFUNCTION("GOOGLETRANSLATE(B1067,""en"",""fr"")"),"météo")</f>
        <v>météo</v>
      </c>
      <c r="F1067" s="2" t="str">
        <f ca="1">IFERROR(__xludf.DUMMYFUNCTION("GOOGLETRANSLATE(B1067,""en"",""it"")"),"tempo atmosferico")</f>
        <v>tempo atmosferico</v>
      </c>
      <c r="G1067" s="2" t="str">
        <f ca="1">IFERROR(__xludf.DUMMYFUNCTION("GOOGLETRANSLATE(B1067,""en"",""de"")"),"Wetter")</f>
        <v>Wetter</v>
      </c>
      <c r="H1067" s="2" t="str">
        <f ca="1">IFERROR(__xludf.DUMMYFUNCTION("GOOGLETRANSLATE(B1067,""en"",""zh"")"),"天气")</f>
        <v>天气</v>
      </c>
      <c r="I1067" s="2" t="str">
        <f ca="1">IFERROR(__xludf.DUMMYFUNCTION("GOOGLETRANSLATE(B1067,""en"",""gd"")"),"Sìde")</f>
        <v>Sìde</v>
      </c>
    </row>
    <row r="1068" spans="1:9" ht="14.25" customHeight="1" x14ac:dyDescent="0.3">
      <c r="A1068" s="2">
        <v>1067</v>
      </c>
      <c r="B1068" s="3" t="s">
        <v>1075</v>
      </c>
      <c r="C1068" s="2" t="str">
        <f ca="1">IFERROR(__xludf.DUMMYFUNCTION("GOOGLETRANSLATE(B1068, ""en"",""es"")"),"recolectar")</f>
        <v>recolectar</v>
      </c>
      <c r="D1068" s="2" t="str">
        <f ca="1">IFERROR(__xludf.DUMMYFUNCTION("GOOGLETRANSLATE(B1068,""en"",""ig"")"),"iweta")</f>
        <v>iweta</v>
      </c>
      <c r="E1068" s="2" t="str">
        <f ca="1">IFERROR(__xludf.DUMMYFUNCTION("GOOGLETRANSLATE(B1068,""en"",""fr"")"),"collecter")</f>
        <v>collecter</v>
      </c>
      <c r="F1068" s="2" t="str">
        <f ca="1">IFERROR(__xludf.DUMMYFUNCTION("GOOGLETRANSLATE(B1068,""en"",""it"")"),"raccogliere")</f>
        <v>raccogliere</v>
      </c>
      <c r="G1068" s="2" t="str">
        <f ca="1">IFERROR(__xludf.DUMMYFUNCTION("GOOGLETRANSLATE(B1068,""en"",""de"")"),"sammeln")</f>
        <v>sammeln</v>
      </c>
      <c r="H1068" s="2" t="str">
        <f ca="1">IFERROR(__xludf.DUMMYFUNCTION("GOOGLETRANSLATE(B1068,""en"",""zh"")"),"收集")</f>
        <v>收集</v>
      </c>
      <c r="I1068" s="2" t="str">
        <f ca="1">IFERROR(__xludf.DUMMYFUNCTION("GOOGLETRANSLATE(B1068,""en"",""gd"")"),"Cruinnich")</f>
        <v>Cruinnich</v>
      </c>
    </row>
    <row r="1069" spans="1:9" ht="14.25" customHeight="1" x14ac:dyDescent="0.3">
      <c r="A1069" s="2">
        <v>1068</v>
      </c>
      <c r="B1069" s="3" t="s">
        <v>1076</v>
      </c>
      <c r="C1069" s="2" t="str">
        <f ca="1">IFERROR(__xludf.DUMMYFUNCTION("GOOGLETRANSLATE(B1069, ""en"",""es"")"),"informar")</f>
        <v>informar</v>
      </c>
      <c r="D1069" s="2" t="str">
        <f ca="1">IFERROR(__xludf.DUMMYFUNCTION("GOOGLETRANSLATE(B1069,""en"",""ig"")"),"igwa")</f>
        <v>igwa</v>
      </c>
      <c r="E1069" s="2" t="str">
        <f ca="1">IFERROR(__xludf.DUMMYFUNCTION("GOOGLETRANSLATE(B1069,""en"",""fr"")"),"informer")</f>
        <v>informer</v>
      </c>
      <c r="F1069" s="2" t="str">
        <f ca="1">IFERROR(__xludf.DUMMYFUNCTION("GOOGLETRANSLATE(B1069,""en"",""it"")"),"far sapere")</f>
        <v>far sapere</v>
      </c>
      <c r="G1069" s="2" t="str">
        <f ca="1">IFERROR(__xludf.DUMMYFUNCTION("GOOGLETRANSLATE(B1069,""en"",""de"")"),"informieren")</f>
        <v>informieren</v>
      </c>
      <c r="H1069" s="2" t="str">
        <f ca="1">IFERROR(__xludf.DUMMYFUNCTION("GOOGLETRANSLATE(B1069,""en"",""zh"")"),"通知")</f>
        <v>通知</v>
      </c>
      <c r="I1069" s="2" t="str">
        <f ca="1">IFERROR(__xludf.DUMMYFUNCTION("GOOGLETRANSLATE(B1069,""en"",""gd"")"),"fiosrachadh")</f>
        <v>fiosrachadh</v>
      </c>
    </row>
    <row r="1070" spans="1:9" ht="14.25" customHeight="1" x14ac:dyDescent="0.3">
      <c r="A1070" s="2">
        <v>1069</v>
      </c>
      <c r="B1070" s="3" t="s">
        <v>1077</v>
      </c>
      <c r="C1070" s="2" t="str">
        <f ca="1">IFERROR(__xludf.DUMMYFUNCTION("GOOGLETRANSLATE(B1070, ""en"",""es"")"),"principio")</f>
        <v>principio</v>
      </c>
      <c r="D1070" s="2" t="str">
        <f ca="1">IFERROR(__xludf.DUMMYFUNCTION("GOOGLETRANSLATE(B1070,""en"",""ig"")"),"prinsipul")</f>
        <v>prinsipul</v>
      </c>
      <c r="E1070" s="2" t="str">
        <f ca="1">IFERROR(__xludf.DUMMYFUNCTION("GOOGLETRANSLATE(B1070,""en"",""fr"")"),"principe")</f>
        <v>principe</v>
      </c>
      <c r="F1070" s="2" t="str">
        <f ca="1">IFERROR(__xludf.DUMMYFUNCTION("GOOGLETRANSLATE(B1070,""en"",""it"")"),"principio")</f>
        <v>principio</v>
      </c>
      <c r="G1070" s="2" t="str">
        <f ca="1">IFERROR(__xludf.DUMMYFUNCTION("GOOGLETRANSLATE(B1070,""en"",""de"")"),"Prinzip")</f>
        <v>Prinzip</v>
      </c>
      <c r="H1070" s="2" t="str">
        <f ca="1">IFERROR(__xludf.DUMMYFUNCTION("GOOGLETRANSLATE(B1070,""en"",""zh"")"),"原则")</f>
        <v>原则</v>
      </c>
      <c r="I1070" s="2" t="str">
        <f ca="1">IFERROR(__xludf.DUMMYFUNCTION("GOOGLETRANSLATE(B1070,""en"",""gd"")"),"Prionnsapal")</f>
        <v>Prionnsapal</v>
      </c>
    </row>
    <row r="1071" spans="1:9" ht="14.25" customHeight="1" x14ac:dyDescent="0.3">
      <c r="A1071" s="2">
        <v>1070</v>
      </c>
      <c r="B1071" s="3" t="s">
        <v>1078</v>
      </c>
      <c r="C1071" s="2" t="str">
        <f ca="1">IFERROR(__xludf.DUMMYFUNCTION("GOOGLETRANSLATE(B1071, ""en"",""es"")"),"derecho")</f>
        <v>derecho</v>
      </c>
      <c r="D1071" s="2" t="str">
        <f ca="1">IFERROR(__xludf.DUMMYFUNCTION("GOOGLETRANSLATE(B1071,""en"",""ig"")"),"Kwụ ọtọ")</f>
        <v>Kwụ ọtọ</v>
      </c>
      <c r="E1071" s="2" t="str">
        <f ca="1">IFERROR(__xludf.DUMMYFUNCTION("GOOGLETRANSLATE(B1071,""en"",""fr"")"),"droit")</f>
        <v>droit</v>
      </c>
      <c r="F1071" s="2" t="str">
        <f ca="1">IFERROR(__xludf.DUMMYFUNCTION("GOOGLETRANSLATE(B1071,""en"",""it"")"),"Dritto")</f>
        <v>Dritto</v>
      </c>
      <c r="G1071" s="2" t="str">
        <f ca="1">IFERROR(__xludf.DUMMYFUNCTION("GOOGLETRANSLATE(B1071,""en"",""de"")"),"gerade")</f>
        <v>gerade</v>
      </c>
      <c r="H1071" s="2" t="str">
        <f ca="1">IFERROR(__xludf.DUMMYFUNCTION("GOOGLETRANSLATE(B1071,""en"",""zh"")"),"直的")</f>
        <v>直的</v>
      </c>
      <c r="I1071" s="2" t="str">
        <f ca="1">IFERROR(__xludf.DUMMYFUNCTION("GOOGLETRANSLATE(B1071,""en"",""gd"")"),"dìreach")</f>
        <v>dìreach</v>
      </c>
    </row>
    <row r="1072" spans="1:9" ht="14.25" customHeight="1" x14ac:dyDescent="0.3">
      <c r="A1072" s="2">
        <v>1071</v>
      </c>
      <c r="B1072" s="3" t="s">
        <v>1079</v>
      </c>
      <c r="C1072" s="2" t="str">
        <f ca="1">IFERROR(__xludf.DUMMYFUNCTION("GOOGLETRANSLATE(B1072, ""en"",""es"")"),"apelar")</f>
        <v>apelar</v>
      </c>
      <c r="D1072" s="2" t="str">
        <f ca="1">IFERROR(__xludf.DUMMYFUNCTION("GOOGLETRANSLATE(B1072,""en"",""ig"")"),"itinye akwukwo ozo")</f>
        <v>itinye akwukwo ozo</v>
      </c>
      <c r="E1072" s="2" t="str">
        <f ca="1">IFERROR(__xludf.DUMMYFUNCTION("GOOGLETRANSLATE(B1072,""en"",""fr"")"),"appel")</f>
        <v>appel</v>
      </c>
      <c r="F1072" s="2" t="str">
        <f ca="1">IFERROR(__xludf.DUMMYFUNCTION("GOOGLETRANSLATE(B1072,""en"",""it"")"),"appello")</f>
        <v>appello</v>
      </c>
      <c r="G1072" s="2" t="str">
        <f ca="1">IFERROR(__xludf.DUMMYFUNCTION("GOOGLETRANSLATE(B1072,""en"",""de"")"),"appellieren")</f>
        <v>appellieren</v>
      </c>
      <c r="H1072" s="2" t="str">
        <f ca="1">IFERROR(__xludf.DUMMYFUNCTION("GOOGLETRANSLATE(B1072,""en"",""zh"")"),"上诉")</f>
        <v>上诉</v>
      </c>
      <c r="I1072" s="2" t="str">
        <f ca="1">IFERROR(__xludf.DUMMYFUNCTION("GOOGLETRANSLATE(B1072,""en"",""gd"")"),"Ath-thagradh")</f>
        <v>Ath-thagradh</v>
      </c>
    </row>
    <row r="1073" spans="1:9" ht="14.25" customHeight="1" x14ac:dyDescent="0.3">
      <c r="A1073" s="2">
        <v>1072</v>
      </c>
      <c r="B1073" s="3" t="s">
        <v>1080</v>
      </c>
      <c r="C1073" s="2" t="str">
        <f ca="1">IFERROR(__xludf.DUMMYFUNCTION("GOOGLETRANSLATE(B1073, ""en"",""es"")"),"altamente")</f>
        <v>altamente</v>
      </c>
      <c r="D1073" s="2" t="str">
        <f ca="1">IFERROR(__xludf.DUMMYFUNCTION("GOOGLETRANSLATE(B1073,""en"",""ig"")"),"nkelakuelu")</f>
        <v>nkelakuelu</v>
      </c>
      <c r="E1073" s="2" t="str">
        <f ca="1">IFERROR(__xludf.DUMMYFUNCTION("GOOGLETRANSLATE(B1073,""en"",""fr"")"),"très")</f>
        <v>très</v>
      </c>
      <c r="F1073" s="2" t="str">
        <f ca="1">IFERROR(__xludf.DUMMYFUNCTION("GOOGLETRANSLATE(B1073,""en"",""it"")"),"altamente")</f>
        <v>altamente</v>
      </c>
      <c r="G1073" s="2" t="str">
        <f ca="1">IFERROR(__xludf.DUMMYFUNCTION("GOOGLETRANSLATE(B1073,""en"",""de"")"),"höchst")</f>
        <v>höchst</v>
      </c>
      <c r="H1073" s="2" t="str">
        <f ca="1">IFERROR(__xludf.DUMMYFUNCTION("GOOGLETRANSLATE(B1073,""en"",""zh"")"),"高度")</f>
        <v>高度</v>
      </c>
      <c r="I1073" s="2" t="str">
        <f ca="1">IFERROR(__xludf.DUMMYFUNCTION("GOOGLETRANSLATE(B1073,""en"",""gd"")"),"àrd")</f>
        <v>àrd</v>
      </c>
    </row>
    <row r="1074" spans="1:9" ht="14.25" customHeight="1" x14ac:dyDescent="0.3">
      <c r="A1074" s="2">
        <v>1073</v>
      </c>
      <c r="B1074" s="3" t="s">
        <v>1081</v>
      </c>
      <c r="C1074" s="2" t="str">
        <f ca="1">IFERROR(__xludf.DUMMYFUNCTION("GOOGLETRANSLATE(B1074, ""en"",""es"")"),"confianza")</f>
        <v>confianza</v>
      </c>
      <c r="D1074" s="2" t="str">
        <f ca="1">IFERROR(__xludf.DUMMYFUNCTION("GOOGLETRANSLATE(B1074,""en"",""ig"")"),"ntukwasi obi")</f>
        <v>ntukwasi obi</v>
      </c>
      <c r="E1074" s="2" t="str">
        <f ca="1">IFERROR(__xludf.DUMMYFUNCTION("GOOGLETRANSLATE(B1074,""en"",""fr"")"),"confiance")</f>
        <v>confiance</v>
      </c>
      <c r="F1074" s="2" t="str">
        <f ca="1">IFERROR(__xludf.DUMMYFUNCTION("GOOGLETRANSLATE(B1074,""en"",""it"")"),"Fiducia")</f>
        <v>Fiducia</v>
      </c>
      <c r="G1074" s="2" t="str">
        <f ca="1">IFERROR(__xludf.DUMMYFUNCTION("GOOGLETRANSLATE(B1074,""en"",""de"")"),"Vertrauen")</f>
        <v>Vertrauen</v>
      </c>
      <c r="H1074" s="2" t="str">
        <f ca="1">IFERROR(__xludf.DUMMYFUNCTION("GOOGLETRANSLATE(B1074,""en"",""zh"")"),"相信")</f>
        <v>相信</v>
      </c>
      <c r="I1074" s="2" t="str">
        <f ca="1">IFERROR(__xludf.DUMMYFUNCTION("GOOGLETRANSLATE(B1074,""en"",""gd"")"),"earbsa")</f>
        <v>earbsa</v>
      </c>
    </row>
    <row r="1075" spans="1:9" ht="14.25" customHeight="1" x14ac:dyDescent="0.3">
      <c r="A1075" s="2">
        <v>1074</v>
      </c>
      <c r="B1075" s="3" t="s">
        <v>1082</v>
      </c>
      <c r="C1075" s="2" t="str">
        <f ca="1">IFERROR(__xludf.DUMMYFUNCTION("GOOGLETRANSLATE(B1075, ""en"",""es"")"),"maravilloso")</f>
        <v>maravilloso</v>
      </c>
      <c r="D1075" s="2" t="str">
        <f ca="1">IFERROR(__xludf.DUMMYFUNCTION("GOOGLETRANSLATE(B1075,""en"",""ig"")"),"kentunnanya")</f>
        <v>kentunnanya</v>
      </c>
      <c r="E1075" s="2" t="str">
        <f ca="1">IFERROR(__xludf.DUMMYFUNCTION("GOOGLETRANSLATE(B1075,""en"",""fr"")"),"merveilleux")</f>
        <v>merveilleux</v>
      </c>
      <c r="F1075" s="2" t="str">
        <f ca="1">IFERROR(__xludf.DUMMYFUNCTION("GOOGLETRANSLATE(B1075,""en"",""it"")"),"meraviglioso")</f>
        <v>meraviglioso</v>
      </c>
      <c r="G1075" s="2" t="str">
        <f ca="1">IFERROR(__xludf.DUMMYFUNCTION("GOOGLETRANSLATE(B1075,""en"",""de"")"),"wunderbar")</f>
        <v>wunderbar</v>
      </c>
      <c r="H1075" s="2" t="str">
        <f ca="1">IFERROR(__xludf.DUMMYFUNCTION("GOOGLETRANSLATE(B1075,""en"",""zh"")"),"精彩的")</f>
        <v>精彩的</v>
      </c>
      <c r="I1075" s="2" t="str">
        <f ca="1">IFERROR(__xludf.DUMMYFUNCTION("GOOGLETRANSLATE(B1075,""en"",""gd"")"),"mìorbhuileach")</f>
        <v>mìorbhuileach</v>
      </c>
    </row>
    <row r="1076" spans="1:9" ht="14.25" customHeight="1" x14ac:dyDescent="0.3">
      <c r="A1076" s="2">
        <v>1075</v>
      </c>
      <c r="B1076" s="3" t="s">
        <v>1083</v>
      </c>
      <c r="C1076" s="2" t="str">
        <f ca="1">IFERROR(__xludf.DUMMYFUNCTION("GOOGLETRANSLATE(B1076, ""en"",""es"")"),"departamento")</f>
        <v>departamento</v>
      </c>
      <c r="D1076" s="2" t="str">
        <f ca="1">IFERROR(__xludf.DUMMYFUNCTION("GOOGLETRANSLATE(B1076,""en"",""ig"")"),"ohiha")</f>
        <v>ohiha</v>
      </c>
      <c r="E1076" s="2" t="str">
        <f ca="1">IFERROR(__xludf.DUMMYFUNCTION("GOOGLETRANSLATE(B1076,""en"",""fr"")"),"plat")</f>
        <v>plat</v>
      </c>
      <c r="F1076" s="2" t="str">
        <f ca="1">IFERROR(__xludf.DUMMYFUNCTION("GOOGLETRANSLATE(B1076,""en"",""it"")"),"Piatto")</f>
        <v>Piatto</v>
      </c>
      <c r="G1076" s="2" t="str">
        <f ca="1">IFERROR(__xludf.DUMMYFUNCTION("GOOGLETRANSLATE(B1076,""en"",""de"")"),"Wohnung")</f>
        <v>Wohnung</v>
      </c>
      <c r="H1076" s="2" t="str">
        <f ca="1">IFERROR(__xludf.DUMMYFUNCTION("GOOGLETRANSLATE(B1076,""en"",""zh"")"),"平坦的")</f>
        <v>平坦的</v>
      </c>
      <c r="I1076" s="2" t="str">
        <f ca="1">IFERROR(__xludf.DUMMYFUNCTION("GOOGLETRANSLATE(B1076,""en"",""gd"")"),"rèidh")</f>
        <v>rèidh</v>
      </c>
    </row>
    <row r="1077" spans="1:9" ht="14.25" customHeight="1" x14ac:dyDescent="0.3">
      <c r="A1077" s="2">
        <v>1076</v>
      </c>
      <c r="B1077" s="3" t="s">
        <v>1084</v>
      </c>
      <c r="C1077" s="2" t="str">
        <f ca="1">IFERROR(__xludf.DUMMYFUNCTION("GOOGLETRANSLATE(B1077, ""en"",""es"")"),"absolutamente")</f>
        <v>absolutamente</v>
      </c>
      <c r="D1077" s="2" t="str">
        <f ca="1">IFERROR(__xludf.DUMMYFUNCTION("GOOGLETRANSLATE(B1077,""en"",""ig"")"),"kpomkwem")</f>
        <v>kpomkwem</v>
      </c>
      <c r="E1077" s="2" t="str">
        <f ca="1">IFERROR(__xludf.DUMMYFUNCTION("GOOGLETRANSLATE(B1077,""en"",""fr"")"),"absolument")</f>
        <v>absolument</v>
      </c>
      <c r="F1077" s="2" t="str">
        <f ca="1">IFERROR(__xludf.DUMMYFUNCTION("GOOGLETRANSLATE(B1077,""en"",""it"")"),"assolutamente")</f>
        <v>assolutamente</v>
      </c>
      <c r="G1077" s="2" t="str">
        <f ca="1">IFERROR(__xludf.DUMMYFUNCTION("GOOGLETRANSLATE(B1077,""en"",""de"")"),"absolut")</f>
        <v>absolut</v>
      </c>
      <c r="H1077" s="2" t="str">
        <f ca="1">IFERROR(__xludf.DUMMYFUNCTION("GOOGLETRANSLATE(B1077,""en"",""zh"")"),"绝对地")</f>
        <v>绝对地</v>
      </c>
      <c r="I1077" s="2" t="str">
        <f ca="1">IFERROR(__xludf.DUMMYFUNCTION("GOOGLETRANSLATE(B1077,""en"",""gd"")"),"gu tur")</f>
        <v>gu tur</v>
      </c>
    </row>
    <row r="1078" spans="1:9" ht="14.25" customHeight="1" x14ac:dyDescent="0.3">
      <c r="A1078" s="2">
        <v>1077</v>
      </c>
      <c r="B1078" s="3" t="s">
        <v>1085</v>
      </c>
      <c r="C1078" s="2" t="str">
        <f ca="1">IFERROR(__xludf.DUMMYFUNCTION("GOOGLETRANSLATE(B1078, ""en"",""es"")"),"fluir")</f>
        <v>fluir</v>
      </c>
      <c r="D1078" s="2" t="str">
        <f ca="1">IFERROR(__xludf.DUMMYFUNCTION("GOOGLETRANSLATE(B1078,""en"",""ig"")"),"igba")</f>
        <v>igba</v>
      </c>
      <c r="E1078" s="2" t="str">
        <f ca="1">IFERROR(__xludf.DUMMYFUNCTION("GOOGLETRANSLATE(B1078,""en"",""fr"")"),"couler")</f>
        <v>couler</v>
      </c>
      <c r="F1078" s="2" t="str">
        <f ca="1">IFERROR(__xludf.DUMMYFUNCTION("GOOGLETRANSLATE(B1078,""en"",""it"")"),"fluire")</f>
        <v>fluire</v>
      </c>
      <c r="G1078" s="2" t="str">
        <f ca="1">IFERROR(__xludf.DUMMYFUNCTION("GOOGLETRANSLATE(B1078,""en"",""de"")"),"fließen")</f>
        <v>fließen</v>
      </c>
      <c r="H1078" s="2" t="str">
        <f ca="1">IFERROR(__xludf.DUMMYFUNCTION("GOOGLETRANSLATE(B1078,""en"",""zh"")"),"流动")</f>
        <v>流动</v>
      </c>
      <c r="I1078" s="2" t="str">
        <f ca="1">IFERROR(__xludf.DUMMYFUNCTION("GOOGLETRANSLATE(B1078,""en"",""gd"")"),"sruthadh")</f>
        <v>sruthadh</v>
      </c>
    </row>
    <row r="1079" spans="1:9" ht="14.25" customHeight="1" x14ac:dyDescent="0.3">
      <c r="A1079" s="2">
        <v>1078</v>
      </c>
      <c r="B1079" s="3" t="s">
        <v>1086</v>
      </c>
      <c r="C1079" s="2" t="str">
        <f ca="1">IFERROR(__xludf.DUMMYFUNCTION("GOOGLETRANSLATE(B1079, ""en"",""es"")"),"justo")</f>
        <v>justo</v>
      </c>
      <c r="D1079" s="2" t="str">
        <f ca="1">IFERROR(__xludf.DUMMYFUNCTION("GOOGLETRANSLATE(B1079,""en"",""ig"")"),"ditu mma")</f>
        <v>ditu mma</v>
      </c>
      <c r="E1079" s="2" t="str">
        <f ca="1">IFERROR(__xludf.DUMMYFUNCTION("GOOGLETRANSLATE(B1079,""en"",""fr"")"),"équitable")</f>
        <v>équitable</v>
      </c>
      <c r="F1079" s="2" t="str">
        <f ca="1">IFERROR(__xludf.DUMMYFUNCTION("GOOGLETRANSLATE(B1079,""en"",""it"")"),"Giusto")</f>
        <v>Giusto</v>
      </c>
      <c r="G1079" s="2" t="str">
        <f ca="1">IFERROR(__xludf.DUMMYFUNCTION("GOOGLETRANSLATE(B1079,""en"",""de"")"),"gerecht")</f>
        <v>gerecht</v>
      </c>
      <c r="H1079" s="2" t="str">
        <f ca="1">IFERROR(__xludf.DUMMYFUNCTION("GOOGLETRANSLATE(B1079,""en"",""zh"")"),"公平的")</f>
        <v>公平的</v>
      </c>
      <c r="I1079" s="2" t="str">
        <f ca="1">IFERROR(__xludf.DUMMYFUNCTION("GOOGLETRANSLATE(B1079,""en"",""gd"")"),"cothromach")</f>
        <v>cothromach</v>
      </c>
    </row>
    <row r="1080" spans="1:9" ht="14.25" customHeight="1" x14ac:dyDescent="0.3">
      <c r="A1080" s="2">
        <v>1079</v>
      </c>
      <c r="B1080" s="3" t="s">
        <v>1087</v>
      </c>
      <c r="C1080" s="2" t="str">
        <f ca="1">IFERROR(__xludf.DUMMYFUNCTION("GOOGLETRANSLATE(B1080, ""en"",""es"")"),"adicional")</f>
        <v>adicional</v>
      </c>
      <c r="D1080" s="2" t="str">
        <f ca="1">IFERROR(__xludf.DUMMYFUNCTION("GOOGLETRANSLATE(B1080,""en"",""ig"")"),"kemgbako")</f>
        <v>kemgbako</v>
      </c>
      <c r="E1080" s="2" t="str">
        <f ca="1">IFERROR(__xludf.DUMMYFUNCTION("GOOGLETRANSLATE(B1080,""en"",""fr"")"),"supplémentaire")</f>
        <v>supplémentaire</v>
      </c>
      <c r="F1080" s="2" t="str">
        <f ca="1">IFERROR(__xludf.DUMMYFUNCTION("GOOGLETRANSLATE(B1080,""en"",""it"")"),"aggiuntivo")</f>
        <v>aggiuntivo</v>
      </c>
      <c r="G1080" s="2" t="str">
        <f ca="1">IFERROR(__xludf.DUMMYFUNCTION("GOOGLETRANSLATE(B1080,""en"",""de"")"),"zusätzlich")</f>
        <v>zusätzlich</v>
      </c>
      <c r="H1080" s="2" t="str">
        <f ca="1">IFERROR(__xludf.DUMMYFUNCTION("GOOGLETRANSLATE(B1080,""en"",""zh"")"),"额外的")</f>
        <v>额外的</v>
      </c>
      <c r="I1080" s="2" t="str">
        <f ca="1">IFERROR(__xludf.DUMMYFUNCTION("GOOGLETRANSLATE(B1080,""en"",""gd"")"),"a bharrachd")</f>
        <v>a bharrachd</v>
      </c>
    </row>
    <row r="1081" spans="1:9" ht="14.25" customHeight="1" x14ac:dyDescent="0.3">
      <c r="A1081" s="2">
        <v>1080</v>
      </c>
      <c r="B1081" s="3" t="s">
        <v>1088</v>
      </c>
      <c r="C1081" s="2" t="str">
        <f ca="1">IFERROR(__xludf.DUMMYFUNCTION("GOOGLETRANSLATE(B1081, ""en"",""es"")"),"responsable")</f>
        <v>responsable</v>
      </c>
      <c r="D1081" s="2" t="str">
        <f ca="1">IFERROR(__xludf.DUMMYFUNCTION("GOOGLETRANSLATE(B1081,""en"",""ig"")"),"nke inwlee")</f>
        <v>nke inwlee</v>
      </c>
      <c r="E1081" s="2" t="str">
        <f ca="1">IFERROR(__xludf.DUMMYFUNCTION("GOOGLETRANSLATE(B1081,""en"",""fr"")"),"responsable")</f>
        <v>responsable</v>
      </c>
      <c r="F1081" s="2" t="str">
        <f ca="1">IFERROR(__xludf.DUMMYFUNCTION("GOOGLETRANSLATE(B1081,""en"",""it"")"),"responsabile")</f>
        <v>responsabile</v>
      </c>
      <c r="G1081" s="2" t="str">
        <f ca="1">IFERROR(__xludf.DUMMYFUNCTION("GOOGLETRANSLATE(B1081,""en"",""de"")"),"verantwortlich")</f>
        <v>verantwortlich</v>
      </c>
      <c r="H1081" s="2" t="str">
        <f ca="1">IFERROR(__xludf.DUMMYFUNCTION("GOOGLETRANSLATE(B1081,""en"",""zh"")"),"负责任的")</f>
        <v>负责任的</v>
      </c>
      <c r="I1081" s="2" t="str">
        <f ca="1">IFERROR(__xludf.DUMMYFUNCTION("GOOGLETRANSLATE(B1081,""en"",""gd"")"),"cunntachail")</f>
        <v>cunntachail</v>
      </c>
    </row>
    <row r="1082" spans="1:9" ht="14.25" customHeight="1" x14ac:dyDescent="0.3">
      <c r="A1082" s="2">
        <v>1081</v>
      </c>
      <c r="B1082" s="3" t="s">
        <v>1089</v>
      </c>
      <c r="C1082" s="2" t="str">
        <f ca="1">IFERROR(__xludf.DUMMYFUNCTION("GOOGLETRANSLATE(B1082, ""en"",""es"")"),"granja")</f>
        <v>granja</v>
      </c>
      <c r="D1082" s="2" t="str">
        <f ca="1">IFERROR(__xludf.DUMMYFUNCTION("GOOGLETRANSLATE(B1082,""en"",""ig"")"),"oru ubi")</f>
        <v>oru ubi</v>
      </c>
      <c r="E1082" s="2" t="str">
        <f ca="1">IFERROR(__xludf.DUMMYFUNCTION("GOOGLETRANSLATE(B1082,""en"",""fr"")"),"ferme")</f>
        <v>ferme</v>
      </c>
      <c r="F1082" s="2" t="str">
        <f ca="1">IFERROR(__xludf.DUMMYFUNCTION("GOOGLETRANSLATE(B1082,""en"",""it"")"),"azienda agricola")</f>
        <v>azienda agricola</v>
      </c>
      <c r="G1082" s="2" t="str">
        <f ca="1">IFERROR(__xludf.DUMMYFUNCTION("GOOGLETRANSLATE(B1082,""en"",""de"")"),"Bauernhof")</f>
        <v>Bauernhof</v>
      </c>
      <c r="H1082" s="2" t="str">
        <f ca="1">IFERROR(__xludf.DUMMYFUNCTION("GOOGLETRANSLATE(B1082,""en"",""zh"")"),"农场")</f>
        <v>农场</v>
      </c>
      <c r="I1082" s="2" t="str">
        <f ca="1">IFERROR(__xludf.DUMMYFUNCTION("GOOGLETRANSLATE(B1082,""en"",""gd"")"),"Tuathanas")</f>
        <v>Tuathanas</v>
      </c>
    </row>
    <row r="1083" spans="1:9" ht="14.25" customHeight="1" x14ac:dyDescent="0.3">
      <c r="A1083" s="2">
        <v>1082</v>
      </c>
      <c r="B1083" s="3" t="s">
        <v>1090</v>
      </c>
      <c r="C1083" s="2" t="str">
        <f ca="1">IFERROR(__xludf.DUMMYFUNCTION("GOOGLETRANSLATE(B1083, ""en"",""es"")"),"recopilación")</f>
        <v>recopilación</v>
      </c>
      <c r="D1083" s="2" t="str">
        <f ca="1">IFERROR(__xludf.DUMMYFUNCTION("GOOGLETRANSLATE(B1083,""en"",""ig"")"),"mweta")</f>
        <v>mweta</v>
      </c>
      <c r="E1083" s="2" t="str">
        <f ca="1">IFERROR(__xludf.DUMMYFUNCTION("GOOGLETRANSLATE(B1083,""en"",""fr"")"),"collection")</f>
        <v>collection</v>
      </c>
      <c r="F1083" s="2" t="str">
        <f ca="1">IFERROR(__xludf.DUMMYFUNCTION("GOOGLETRANSLATE(B1083,""en"",""it"")"),"collezione")</f>
        <v>collezione</v>
      </c>
      <c r="G1083" s="2" t="str">
        <f ca="1">IFERROR(__xludf.DUMMYFUNCTION("GOOGLETRANSLATE(B1083,""en"",""de"")"),"Sammlung")</f>
        <v>Sammlung</v>
      </c>
      <c r="H1083" s="2" t="str">
        <f ca="1">IFERROR(__xludf.DUMMYFUNCTION("GOOGLETRANSLATE(B1083,""en"",""zh"")"),"收藏")</f>
        <v>收藏</v>
      </c>
      <c r="I1083" s="2" t="str">
        <f ca="1">IFERROR(__xludf.DUMMYFUNCTION("GOOGLETRANSLATE(B1083,""en"",""gd"")"),"Cruinneachadh")</f>
        <v>Cruinneachadh</v>
      </c>
    </row>
    <row r="1084" spans="1:9" ht="14.25" customHeight="1" x14ac:dyDescent="0.3">
      <c r="A1084" s="2">
        <v>1083</v>
      </c>
      <c r="B1084" s="3" t="s">
        <v>1091</v>
      </c>
      <c r="C1084" s="2" t="str">
        <f ca="1">IFERROR(__xludf.DUMMYFUNCTION("GOOGLETRANSLATE(B1084, ""en"",""es"")"),"colgar")</f>
        <v>colgar</v>
      </c>
      <c r="D1084" s="2" t="str">
        <f ca="1">IFERROR(__xludf.DUMMYFUNCTION("GOOGLETRANSLATE(B1084,""en"",""ig"")"),"ikowe")</f>
        <v>ikowe</v>
      </c>
      <c r="E1084" s="2" t="str">
        <f ca="1">IFERROR(__xludf.DUMMYFUNCTION("GOOGLETRANSLATE(B1084,""en"",""fr"")"),"accrocher")</f>
        <v>accrocher</v>
      </c>
      <c r="F1084" s="2" t="str">
        <f ca="1">IFERROR(__xludf.DUMMYFUNCTION("GOOGLETRANSLATE(B1084,""en"",""it"")"),"appendere")</f>
        <v>appendere</v>
      </c>
      <c r="G1084" s="2" t="str">
        <f ca="1">IFERROR(__xludf.DUMMYFUNCTION("GOOGLETRANSLATE(B1084,""en"",""de"")"),"aufhängen")</f>
        <v>aufhängen</v>
      </c>
      <c r="H1084" s="2" t="str">
        <f ca="1">IFERROR(__xludf.DUMMYFUNCTION("GOOGLETRANSLATE(B1084,""en"",""zh"")"),"悬挂")</f>
        <v>悬挂</v>
      </c>
      <c r="I1084" s="2" t="str">
        <f ca="1">IFERROR(__xludf.DUMMYFUNCTION("GOOGLETRANSLATE(B1084,""en"",""gd"")"),"crochadh")</f>
        <v>crochadh</v>
      </c>
    </row>
    <row r="1085" spans="1:9" ht="14.25" customHeight="1" x14ac:dyDescent="0.3">
      <c r="A1085" s="2">
        <v>1084</v>
      </c>
      <c r="B1085" s="3" t="s">
        <v>1092</v>
      </c>
      <c r="C1085" s="2" t="str">
        <f ca="1">IFERROR(__xludf.DUMMYFUNCTION("GOOGLETRANSLATE(B1085, ""en"",""es"")"),"negativo")</f>
        <v>negativo</v>
      </c>
      <c r="D1085" s="2" t="str">
        <f ca="1">IFERROR(__xludf.DUMMYFUNCTION("GOOGLETRANSLATE(B1085,""en"",""ig"")"),"nju")</f>
        <v>nju</v>
      </c>
      <c r="E1085" s="2" t="str">
        <f ca="1">IFERROR(__xludf.DUMMYFUNCTION("GOOGLETRANSLATE(B1085,""en"",""fr"")"),"négatif")</f>
        <v>négatif</v>
      </c>
      <c r="F1085" s="2" t="str">
        <f ca="1">IFERROR(__xludf.DUMMYFUNCTION("GOOGLETRANSLATE(B1085,""en"",""it"")"),"negativo")</f>
        <v>negativo</v>
      </c>
      <c r="G1085" s="2" t="str">
        <f ca="1">IFERROR(__xludf.DUMMYFUNCTION("GOOGLETRANSLATE(B1085,""en"",""de"")"),"Negativ")</f>
        <v>Negativ</v>
      </c>
      <c r="H1085" s="2" t="str">
        <f ca="1">IFERROR(__xludf.DUMMYFUNCTION("GOOGLETRANSLATE(B1085,""en"",""zh"")"),"消极的")</f>
        <v>消极的</v>
      </c>
      <c r="I1085" s="2" t="str">
        <f ca="1">IFERROR(__xludf.DUMMYFUNCTION("GOOGLETRANSLATE(B1085,""en"",""gd"")"),"àicheil")</f>
        <v>àicheil</v>
      </c>
    </row>
    <row r="1086" spans="1:9" ht="14.25" customHeight="1" x14ac:dyDescent="0.3">
      <c r="A1086" s="2">
        <v>1085</v>
      </c>
      <c r="B1086" s="3" t="s">
        <v>1093</v>
      </c>
      <c r="C1086" s="2" t="str">
        <f ca="1">IFERROR(__xludf.DUMMYFUNCTION("GOOGLETRANSLATE(B1086, ""en"",""es"")"),"banda")</f>
        <v>banda</v>
      </c>
      <c r="D1086" s="2" t="str">
        <f ca="1">IFERROR(__xludf.DUMMYFUNCTION("GOOGLETRANSLATE(B1086,""en"",""ig"")"),"bandi")</f>
        <v>bandi</v>
      </c>
      <c r="E1086" s="2" t="str">
        <f ca="1">IFERROR(__xludf.DUMMYFUNCTION("GOOGLETRANSLATE(B1086,""en"",""fr"")"),"groupe")</f>
        <v>groupe</v>
      </c>
      <c r="F1086" s="2" t="str">
        <f ca="1">IFERROR(__xludf.DUMMYFUNCTION("GOOGLETRANSLATE(B1086,""en"",""it"")"),"gruppo musicale")</f>
        <v>gruppo musicale</v>
      </c>
      <c r="G1086" s="2" t="str">
        <f ca="1">IFERROR(__xludf.DUMMYFUNCTION("GOOGLETRANSLATE(B1086,""en"",""de"")"),"Band")</f>
        <v>Band</v>
      </c>
      <c r="H1086" s="2" t="str">
        <f ca="1">IFERROR(__xludf.DUMMYFUNCTION("GOOGLETRANSLATE(B1086,""en"",""zh"")"),"乐队")</f>
        <v>乐队</v>
      </c>
      <c r="I1086" s="2" t="str">
        <f ca="1">IFERROR(__xludf.DUMMYFUNCTION("GOOGLETRANSLATE(B1086,""en"",""gd"")"),"Còmhlan")</f>
        <v>Còmhlan</v>
      </c>
    </row>
    <row r="1087" spans="1:9" ht="14.25" customHeight="1" x14ac:dyDescent="0.3">
      <c r="A1087" s="2">
        <v>1086</v>
      </c>
      <c r="B1087" s="3" t="s">
        <v>1094</v>
      </c>
      <c r="C1087" s="2" t="str">
        <f ca="1">IFERROR(__xludf.DUMMYFUNCTION("GOOGLETRANSLATE(B1087, ""en"",""es"")"),"relativo")</f>
        <v>relativo</v>
      </c>
      <c r="D1087" s="2" t="str">
        <f ca="1">IFERROR(__xludf.DUMMYFUNCTION("GOOGLETRANSLATE(B1087,""en"",""ig"")"),"ikwu")</f>
        <v>ikwu</v>
      </c>
      <c r="E1087" s="2" t="str">
        <f ca="1">IFERROR(__xludf.DUMMYFUNCTION("GOOGLETRANSLATE(B1087,""en"",""fr"")"),"relatif")</f>
        <v>relatif</v>
      </c>
      <c r="F1087" s="2" t="str">
        <f ca="1">IFERROR(__xludf.DUMMYFUNCTION("GOOGLETRANSLATE(B1087,""en"",""it"")"),"parente")</f>
        <v>parente</v>
      </c>
      <c r="G1087" s="2" t="str">
        <f ca="1">IFERROR(__xludf.DUMMYFUNCTION("GOOGLETRANSLATE(B1087,""en"",""de"")"),"relativ")</f>
        <v>relativ</v>
      </c>
      <c r="H1087" s="2" t="str">
        <f ca="1">IFERROR(__xludf.DUMMYFUNCTION("GOOGLETRANSLATE(B1087,""en"",""zh"")"),"相对的")</f>
        <v>相对的</v>
      </c>
      <c r="I1087" s="2" t="str">
        <f ca="1">IFERROR(__xludf.DUMMYFUNCTION("GOOGLETRANSLATE(B1087,""en"",""gd"")"),"càirdeach")</f>
        <v>càirdeach</v>
      </c>
    </row>
    <row r="1088" spans="1:9" ht="14.25" customHeight="1" x14ac:dyDescent="0.3">
      <c r="A1088" s="2">
        <v>1087</v>
      </c>
      <c r="B1088" s="3" t="s">
        <v>1095</v>
      </c>
      <c r="C1088" s="2" t="str">
        <f ca="1">IFERROR(__xludf.DUMMYFUNCTION("GOOGLETRANSLATE(B1088, ""en"",""es"")"),"recorrido")</f>
        <v>recorrido</v>
      </c>
      <c r="D1088" s="2" t="str">
        <f ca="1">IFERROR(__xludf.DUMMYFUNCTION("GOOGLETRANSLATE(B1088,""en"",""ig"")"),"njem")</f>
        <v>njem</v>
      </c>
      <c r="E1088" s="2" t="str">
        <f ca="1">IFERROR(__xludf.DUMMYFUNCTION("GOOGLETRANSLATE(B1088,""en"",""fr"")"),"tournée")</f>
        <v>tournée</v>
      </c>
      <c r="F1088" s="2" t="str">
        <f ca="1">IFERROR(__xludf.DUMMYFUNCTION("GOOGLETRANSLATE(B1088,""en"",""it"")"),"tour")</f>
        <v>tour</v>
      </c>
      <c r="G1088" s="2" t="str">
        <f ca="1">IFERROR(__xludf.DUMMYFUNCTION("GOOGLETRANSLATE(B1088,""en"",""de"")"),"Tour")</f>
        <v>Tour</v>
      </c>
      <c r="H1088" s="2" t="str">
        <f ca="1">IFERROR(__xludf.DUMMYFUNCTION("GOOGLETRANSLATE(B1088,""en"",""zh"")"),"旅游")</f>
        <v>旅游</v>
      </c>
      <c r="I1088" s="2" t="str">
        <f ca="1">IFERROR(__xludf.DUMMYFUNCTION("GOOGLETRANSLATE(B1088,""en"",""gd"")"),"Cuairt")</f>
        <v>Cuairt</v>
      </c>
    </row>
    <row r="1089" spans="1:9" ht="14.25" customHeight="1" x14ac:dyDescent="0.3">
      <c r="A1089" s="2">
        <v>1088</v>
      </c>
      <c r="B1089" s="3" t="s">
        <v>1096</v>
      </c>
      <c r="C1089" s="2" t="str">
        <f ca="1">IFERROR(__xludf.DUMMYFUNCTION("GOOGLETRANSLATE(B1089, ""en"",""es"")"),"alternativa")</f>
        <v>alternativa</v>
      </c>
      <c r="D1089" s="2" t="str">
        <f ca="1">IFERROR(__xludf.DUMMYFUNCTION("GOOGLETRANSLATE(B1089,""en"",""ig"")"),"nke ozo")</f>
        <v>nke ozo</v>
      </c>
      <c r="E1089" s="2" t="str">
        <f ca="1">IFERROR(__xludf.DUMMYFUNCTION("GOOGLETRANSLATE(B1089,""en"",""fr"")"),"alternative")</f>
        <v>alternative</v>
      </c>
      <c r="F1089" s="2" t="str">
        <f ca="1">IFERROR(__xludf.DUMMYFUNCTION("GOOGLETRANSLATE(B1089,""en"",""it"")"),"alternativa")</f>
        <v>alternativa</v>
      </c>
      <c r="G1089" s="2" t="str">
        <f ca="1">IFERROR(__xludf.DUMMYFUNCTION("GOOGLETRANSLATE(B1089,""en"",""de"")"),"Alternative")</f>
        <v>Alternative</v>
      </c>
      <c r="H1089" s="2" t="str">
        <f ca="1">IFERROR(__xludf.DUMMYFUNCTION("GOOGLETRANSLATE(B1089,""en"",""zh"")"),"选择")</f>
        <v>选择</v>
      </c>
      <c r="I1089" s="2" t="str">
        <f ca="1">IFERROR(__xludf.DUMMYFUNCTION("GOOGLETRANSLATE(B1089,""en"",""gd"")"),"roghainn eile")</f>
        <v>roghainn eile</v>
      </c>
    </row>
    <row r="1090" spans="1:9" ht="14.25" customHeight="1" x14ac:dyDescent="0.3">
      <c r="A1090" s="2">
        <v>1089</v>
      </c>
      <c r="B1090" s="3" t="s">
        <v>1097</v>
      </c>
      <c r="C1090" s="2" t="str">
        <f ca="1">IFERROR(__xludf.DUMMYFUNCTION("GOOGLETRANSLATE(B1090, ""en"",""es"")"),"software")</f>
        <v>software</v>
      </c>
      <c r="D1090" s="2" t="str">
        <f ca="1">IFERROR(__xludf.DUMMYFUNCTION("GOOGLETRANSLATE(B1090,""en"",""ig"")"),"sofia")</f>
        <v>sofia</v>
      </c>
      <c r="E1090" s="2" t="str">
        <f ca="1">IFERROR(__xludf.DUMMYFUNCTION("GOOGLETRANSLATE(B1090,""en"",""fr"")"),"logiciel")</f>
        <v>logiciel</v>
      </c>
      <c r="F1090" s="2" t="str">
        <f ca="1">IFERROR(__xludf.DUMMYFUNCTION("GOOGLETRANSLATE(B1090,""en"",""it"")"),"Software")</f>
        <v>Software</v>
      </c>
      <c r="G1090" s="2" t="str">
        <f ca="1">IFERROR(__xludf.DUMMYFUNCTION("GOOGLETRANSLATE(B1090,""en"",""de"")"),"Software")</f>
        <v>Software</v>
      </c>
      <c r="H1090" s="2" t="str">
        <f ca="1">IFERROR(__xludf.DUMMYFUNCTION("GOOGLETRANSLATE(B1090,""en"",""zh"")"),"软件")</f>
        <v>软件</v>
      </c>
      <c r="I1090" s="2" t="str">
        <f ca="1">IFERROR(__xludf.DUMMYFUNCTION("GOOGLETRANSLATE(B1090,""en"",""gd"")"),"Bathar-bog")</f>
        <v>Bathar-bog</v>
      </c>
    </row>
    <row r="1091" spans="1:9" ht="14.25" customHeight="1" x14ac:dyDescent="0.3">
      <c r="A1091" s="2">
        <v>1090</v>
      </c>
      <c r="B1091" s="3" t="s">
        <v>1098</v>
      </c>
      <c r="C1091" s="2" t="str">
        <f ca="1">IFERROR(__xludf.DUMMYFUNCTION("GOOGLETRANSLATE(B1091, ""en"",""es"")"),"par")</f>
        <v>par</v>
      </c>
      <c r="D1091" s="2" t="str">
        <f ca="1">IFERROR(__xludf.DUMMYFUNCTION("GOOGLETRANSLATE(B1091,""en"",""ig"")"),"abuo")</f>
        <v>abuo</v>
      </c>
      <c r="E1091" s="2" t="str">
        <f ca="1">IFERROR(__xludf.DUMMYFUNCTION("GOOGLETRANSLATE(B1091,""en"",""fr"")"),"paire")</f>
        <v>paire</v>
      </c>
      <c r="F1091" s="2" t="str">
        <f ca="1">IFERROR(__xludf.DUMMYFUNCTION("GOOGLETRANSLATE(B1091,""en"",""it"")"),"paio")</f>
        <v>paio</v>
      </c>
      <c r="G1091" s="2" t="str">
        <f ca="1">IFERROR(__xludf.DUMMYFUNCTION("GOOGLETRANSLATE(B1091,""en"",""de"")"),"Paar")</f>
        <v>Paar</v>
      </c>
      <c r="H1091" s="2" t="str">
        <f ca="1">IFERROR(__xludf.DUMMYFUNCTION("GOOGLETRANSLATE(B1091,""en"",""zh"")"),"一对")</f>
        <v>一对</v>
      </c>
      <c r="I1091" s="2" t="str">
        <f ca="1">IFERROR(__xludf.DUMMYFUNCTION("GOOGLETRANSLATE(B1091,""en"",""gd"")"),"Paidhir")</f>
        <v>Paidhir</v>
      </c>
    </row>
    <row r="1092" spans="1:9" ht="14.25" customHeight="1" x14ac:dyDescent="0.3">
      <c r="A1092" s="2">
        <v>1091</v>
      </c>
      <c r="B1092" s="3" t="s">
        <v>1099</v>
      </c>
      <c r="C1092" s="2" t="str">
        <f ca="1">IFERROR(__xludf.DUMMYFUNCTION("GOOGLETRANSLATE(B1092, ""en"",""es"")"),"barco")</f>
        <v>barco</v>
      </c>
      <c r="D1092" s="2" t="str">
        <f ca="1">IFERROR(__xludf.DUMMYFUNCTION("GOOGLETRANSLATE(B1092,""en"",""ig"")"),"ship")</f>
        <v>ship</v>
      </c>
      <c r="E1092" s="2" t="str">
        <f ca="1">IFERROR(__xludf.DUMMYFUNCTION("GOOGLETRANSLATE(B1092,""en"",""fr"")"),"bateau")</f>
        <v>bateau</v>
      </c>
      <c r="F1092" s="2" t="str">
        <f ca="1">IFERROR(__xludf.DUMMYFUNCTION("GOOGLETRANSLATE(B1092,""en"",""it"")"),"nave")</f>
        <v>nave</v>
      </c>
      <c r="G1092" s="2" t="str">
        <f ca="1">IFERROR(__xludf.DUMMYFUNCTION("GOOGLETRANSLATE(B1092,""en"",""de"")"),"Schiff")</f>
        <v>Schiff</v>
      </c>
      <c r="H1092" s="2" t="str">
        <f ca="1">IFERROR(__xludf.DUMMYFUNCTION("GOOGLETRANSLATE(B1092,""en"",""zh"")"),"船")</f>
        <v>船</v>
      </c>
      <c r="I1092" s="2" t="str">
        <f ca="1">IFERROR(__xludf.DUMMYFUNCTION("GOOGLETRANSLATE(B1092,""en"",""gd"")"),"long")</f>
        <v>long</v>
      </c>
    </row>
    <row r="1093" spans="1:9" ht="14.25" customHeight="1" x14ac:dyDescent="0.3">
      <c r="A1093" s="2">
        <v>1092</v>
      </c>
      <c r="B1093" s="3" t="s">
        <v>1100</v>
      </c>
      <c r="C1093" s="2" t="str">
        <f ca="1">IFERROR(__xludf.DUMMYFUNCTION("GOOGLETRANSLATE(B1093, ""en"",""es"")"),"actitud")</f>
        <v>actitud</v>
      </c>
      <c r="D1093" s="2" t="str">
        <f ca="1">IFERROR(__xludf.DUMMYFUNCTION("GOOGLETRANSLATE(B1093,""en"",""ig"")"),"kasirihu")</f>
        <v>kasirihu</v>
      </c>
      <c r="E1093" s="2" t="str">
        <f ca="1">IFERROR(__xludf.DUMMYFUNCTION("GOOGLETRANSLATE(B1093,""en"",""fr"")"),"attitude")</f>
        <v>attitude</v>
      </c>
      <c r="F1093" s="2" t="str">
        <f ca="1">IFERROR(__xludf.DUMMYFUNCTION("GOOGLETRANSLATE(B1093,""en"",""it"")"),"atteggiamento")</f>
        <v>atteggiamento</v>
      </c>
      <c r="G1093" s="2" t="str">
        <f ca="1">IFERROR(__xludf.DUMMYFUNCTION("GOOGLETRANSLATE(B1093,""en"",""de"")"),"Attitüde")</f>
        <v>Attitüde</v>
      </c>
      <c r="H1093" s="2" t="str">
        <f ca="1">IFERROR(__xludf.DUMMYFUNCTION("GOOGLETRANSLATE(B1093,""en"",""zh"")"),"态度")</f>
        <v>态度</v>
      </c>
      <c r="I1093" s="2" t="str">
        <f ca="1">IFERROR(__xludf.DUMMYFUNCTION("GOOGLETRANSLATE(B1093,""en"",""gd"")"),"Beachd")</f>
        <v>Beachd</v>
      </c>
    </row>
    <row r="1094" spans="1:9" ht="14.25" customHeight="1" x14ac:dyDescent="0.3">
      <c r="A1094" s="2">
        <v>1093</v>
      </c>
      <c r="B1094" s="3" t="s">
        <v>1101</v>
      </c>
      <c r="C1094" s="2" t="str">
        <f ca="1">IFERROR(__xludf.DUMMYFUNCTION("GOOGLETRANSLATE(B1094, ""en"",""es"")"),"barato")</f>
        <v>barato</v>
      </c>
      <c r="D1094" s="2" t="str">
        <f ca="1">IFERROR(__xludf.DUMMYFUNCTION("GOOGLETRANSLATE(B1094,""en"",""ig"")"),"keonuala")</f>
        <v>keonuala</v>
      </c>
      <c r="E1094" s="2" t="str">
        <f ca="1">IFERROR(__xludf.DUMMYFUNCTION("GOOGLETRANSLATE(B1094,""en"",""fr"")"),"bon marché")</f>
        <v>bon marché</v>
      </c>
      <c r="F1094" s="2" t="str">
        <f ca="1">IFERROR(__xludf.DUMMYFUNCTION("GOOGLETRANSLATE(B1094,""en"",""it"")"),"economico")</f>
        <v>economico</v>
      </c>
      <c r="G1094" s="2" t="str">
        <f ca="1">IFERROR(__xludf.DUMMYFUNCTION("GOOGLETRANSLATE(B1094,""en"",""de"")"),"billig")</f>
        <v>billig</v>
      </c>
      <c r="H1094" s="2" t="str">
        <f ca="1">IFERROR(__xludf.DUMMYFUNCTION("GOOGLETRANSLATE(B1094,""en"",""zh"")"),"便宜的")</f>
        <v>便宜的</v>
      </c>
      <c r="I1094" s="2" t="str">
        <f ca="1">IFERROR(__xludf.DUMMYFUNCTION("GOOGLETRANSLATE(B1094,""en"",""gd"")"),"saor")</f>
        <v>saor</v>
      </c>
    </row>
    <row r="1095" spans="1:9" ht="14.25" customHeight="1" x14ac:dyDescent="0.3">
      <c r="A1095" s="2">
        <v>1094</v>
      </c>
      <c r="B1095" s="3" t="s">
        <v>1102</v>
      </c>
      <c r="C1095" s="2" t="str">
        <f ca="1">IFERROR(__xludf.DUMMYFUNCTION("GOOGLETRANSLATE(B1095, ""en"",""es"")"),"doble")</f>
        <v>doble</v>
      </c>
      <c r="D1095" s="2" t="str">
        <f ca="1">IFERROR(__xludf.DUMMYFUNCTION("GOOGLETRANSLATE(B1095,""en"",""ig"")"),"mkpi")</f>
        <v>mkpi</v>
      </c>
      <c r="E1095" s="2" t="str">
        <f ca="1">IFERROR(__xludf.DUMMYFUNCTION("GOOGLETRANSLATE(B1095,""en"",""fr"")"),"double")</f>
        <v>double</v>
      </c>
      <c r="F1095" s="2" t="str">
        <f ca="1">IFERROR(__xludf.DUMMYFUNCTION("GOOGLETRANSLATE(B1095,""en"",""it"")"),"Doppio")</f>
        <v>Doppio</v>
      </c>
      <c r="G1095" s="2" t="str">
        <f ca="1">IFERROR(__xludf.DUMMYFUNCTION("GOOGLETRANSLATE(B1095,""en"",""de"")"),"doppelt")</f>
        <v>doppelt</v>
      </c>
      <c r="H1095" s="2" t="str">
        <f ca="1">IFERROR(__xludf.DUMMYFUNCTION("GOOGLETRANSLATE(B1095,""en"",""zh"")"),"双倍的")</f>
        <v>双倍的</v>
      </c>
      <c r="I1095" s="2" t="str">
        <f ca="1">IFERROR(__xludf.DUMMYFUNCTION("GOOGLETRANSLATE(B1095,""en"",""gd"")"),"dùbailte")</f>
        <v>dùbailte</v>
      </c>
    </row>
    <row r="1096" spans="1:9" ht="14.25" customHeight="1" x14ac:dyDescent="0.3">
      <c r="A1096" s="2">
        <v>1095</v>
      </c>
      <c r="B1096" s="3" t="s">
        <v>1103</v>
      </c>
      <c r="C1096" s="2" t="str">
        <f ca="1">IFERROR(__xludf.DUMMYFUNCTION("GOOGLETRANSLATE(B1096, ""en"",""es"")"),"pierna")</f>
        <v>pierna</v>
      </c>
      <c r="D1096" s="2" t="str">
        <f ca="1">IFERROR(__xludf.DUMMYFUNCTION("GOOGLETRANSLATE(B1096,""en"",""ig"")"),"ukwu")</f>
        <v>ukwu</v>
      </c>
      <c r="E1096" s="2" t="str">
        <f ca="1">IFERROR(__xludf.DUMMYFUNCTION("GOOGLETRANSLATE(B1096,""en"",""fr"")"),"jambe")</f>
        <v>jambe</v>
      </c>
      <c r="F1096" s="2" t="str">
        <f ca="1">IFERROR(__xludf.DUMMYFUNCTION("GOOGLETRANSLATE(B1096,""en"",""it"")"),"gamba")</f>
        <v>gamba</v>
      </c>
      <c r="G1096" s="2" t="str">
        <f ca="1">IFERROR(__xludf.DUMMYFUNCTION("GOOGLETRANSLATE(B1096,""en"",""de"")"),"Bein")</f>
        <v>Bein</v>
      </c>
      <c r="H1096" s="2" t="str">
        <f ca="1">IFERROR(__xludf.DUMMYFUNCTION("GOOGLETRANSLATE(B1096,""en"",""zh"")"),"腿")</f>
        <v>腿</v>
      </c>
      <c r="I1096" s="2" t="str">
        <f ca="1">IFERROR(__xludf.DUMMYFUNCTION("GOOGLETRANSLATE(B1096,""en"",""gd"")"),"cas")</f>
        <v>cas</v>
      </c>
    </row>
    <row r="1097" spans="1:9" ht="14.25" customHeight="1" x14ac:dyDescent="0.3">
      <c r="A1097" s="2">
        <v>1096</v>
      </c>
      <c r="B1097" s="3" t="s">
        <v>1104</v>
      </c>
      <c r="C1097" s="2" t="str">
        <f ca="1">IFERROR(__xludf.DUMMYFUNCTION("GOOGLETRANSLATE(B1097, ""en"",""es"")"),"observar")</f>
        <v>observar</v>
      </c>
      <c r="D1097" s="2" t="str">
        <f ca="1">IFERROR(__xludf.DUMMYFUNCTION("GOOGLETRANSLATE(B1097,""en"",""ig"")"),"leruoanya")</f>
        <v>leruoanya</v>
      </c>
      <c r="E1097" s="2" t="str">
        <f ca="1">IFERROR(__xludf.DUMMYFUNCTION("GOOGLETRANSLATE(B1097,""en"",""fr"")"),"observer")</f>
        <v>observer</v>
      </c>
      <c r="F1097" s="2" t="str">
        <f ca="1">IFERROR(__xludf.DUMMYFUNCTION("GOOGLETRANSLATE(B1097,""en"",""it"")"),"osservare")</f>
        <v>osservare</v>
      </c>
      <c r="G1097" s="2" t="str">
        <f ca="1">IFERROR(__xludf.DUMMYFUNCTION("GOOGLETRANSLATE(B1097,""en"",""de"")"),"beobachten")</f>
        <v>beobachten</v>
      </c>
      <c r="H1097" s="2" t="str">
        <f ca="1">IFERROR(__xludf.DUMMYFUNCTION("GOOGLETRANSLATE(B1097,""en"",""zh"")"),"观察")</f>
        <v>观察</v>
      </c>
      <c r="I1097" s="2" t="str">
        <f ca="1">IFERROR(__xludf.DUMMYFUNCTION("GOOGLETRANSLATE(B1097,""en"",""gd"")"),"Coimhead")</f>
        <v>Coimhead</v>
      </c>
    </row>
    <row r="1098" spans="1:9" ht="14.25" customHeight="1" x14ac:dyDescent="0.3">
      <c r="A1098" s="2">
        <v>1097</v>
      </c>
      <c r="B1098" s="3" t="s">
        <v>1105</v>
      </c>
      <c r="C1098" s="2" t="str">
        <f ca="1">IFERROR(__xludf.DUMMYFUNCTION("GOOGLETRANSLATE(B1098, ""en"",""es"")"),"oración")</f>
        <v>oración</v>
      </c>
      <c r="D1098" s="2" t="str">
        <f ca="1">IFERROR(__xludf.DUMMYFUNCTION("GOOGLETRANSLATE(B1098,""en"",""ig"")"),"ahiriokwu")</f>
        <v>ahiriokwu</v>
      </c>
      <c r="E1098" s="2" t="str">
        <f ca="1">IFERROR(__xludf.DUMMYFUNCTION("GOOGLETRANSLATE(B1098,""en"",""fr"")"),"phrase")</f>
        <v>phrase</v>
      </c>
      <c r="F1098" s="2" t="str">
        <f ca="1">IFERROR(__xludf.DUMMYFUNCTION("GOOGLETRANSLATE(B1098,""en"",""it"")"),"frase")</f>
        <v>frase</v>
      </c>
      <c r="G1098" s="2" t="str">
        <f ca="1">IFERROR(__xludf.DUMMYFUNCTION("GOOGLETRANSLATE(B1098,""en"",""de"")"),"Satz")</f>
        <v>Satz</v>
      </c>
      <c r="H1098" s="2" t="str">
        <f ca="1">IFERROR(__xludf.DUMMYFUNCTION("GOOGLETRANSLATE(B1098,""en"",""zh"")"),"句子")</f>
        <v>句子</v>
      </c>
      <c r="I1098" s="2" t="str">
        <f ca="1">IFERROR(__xludf.DUMMYFUNCTION("GOOGLETRANSLATE(B1098,""en"",""gd"")"),"seantans")</f>
        <v>seantans</v>
      </c>
    </row>
    <row r="1099" spans="1:9" ht="14.25" customHeight="1" x14ac:dyDescent="0.3">
      <c r="A1099" s="2">
        <v>1098</v>
      </c>
      <c r="B1099" s="3" t="s">
        <v>1106</v>
      </c>
      <c r="C1099" s="2" t="str">
        <f ca="1">IFERROR(__xludf.DUMMYFUNCTION("GOOGLETRANSLATE(B1099, ""en"",""es"")"),"imprimir")</f>
        <v>imprimir</v>
      </c>
      <c r="D1099" s="2" t="str">
        <f ca="1">IFERROR(__xludf.DUMMYFUNCTION("GOOGLETRANSLATE(B1099,""en"",""ig"")"),"deputa")</f>
        <v>deputa</v>
      </c>
      <c r="E1099" s="2" t="str">
        <f ca="1">IFERROR(__xludf.DUMMYFUNCTION("GOOGLETRANSLATE(B1099,""en"",""fr"")"),"imprimer")</f>
        <v>imprimer</v>
      </c>
      <c r="F1099" s="2" t="str">
        <f ca="1">IFERROR(__xludf.DUMMYFUNCTION("GOOGLETRANSLATE(B1099,""en"",""it"")"),"stampa")</f>
        <v>stampa</v>
      </c>
      <c r="G1099" s="2" t="str">
        <f ca="1">IFERROR(__xludf.DUMMYFUNCTION("GOOGLETRANSLATE(B1099,""en"",""de"")"),"drucken")</f>
        <v>drucken</v>
      </c>
      <c r="H1099" s="2" t="str">
        <f ca="1">IFERROR(__xludf.DUMMYFUNCTION("GOOGLETRANSLATE(B1099,""en"",""zh"")"),"打印")</f>
        <v>打印</v>
      </c>
      <c r="I1099" s="2" t="str">
        <f ca="1">IFERROR(__xludf.DUMMYFUNCTION("GOOGLETRANSLATE(B1099,""en"",""gd"")"),"Clò-bhuail")</f>
        <v>Clò-bhuail</v>
      </c>
    </row>
    <row r="1100" spans="1:9" ht="14.25" customHeight="1" x14ac:dyDescent="0.3">
      <c r="A1100" s="2">
        <v>1099</v>
      </c>
      <c r="B1100" s="3" t="s">
        <v>1107</v>
      </c>
      <c r="C1100" s="2" t="str">
        <f ca="1">IFERROR(__xludf.DUMMYFUNCTION("GOOGLETRANSLATE(B1100, ""en"",""es"")"),"progreso")</f>
        <v>progreso</v>
      </c>
      <c r="D1100" s="2" t="str">
        <f ca="1">IFERROR(__xludf.DUMMYFUNCTION("GOOGLETRANSLATE(B1100,""en"",""ig"")"),"oganiru")</f>
        <v>oganiru</v>
      </c>
      <c r="E1100" s="2" t="str">
        <f ca="1">IFERROR(__xludf.DUMMYFUNCTION("GOOGLETRANSLATE(B1100,""en"",""fr"")"),"progrès")</f>
        <v>progrès</v>
      </c>
      <c r="F1100" s="2" t="str">
        <f ca="1">IFERROR(__xludf.DUMMYFUNCTION("GOOGLETRANSLATE(B1100,""en"",""it"")"),"progresso")</f>
        <v>progresso</v>
      </c>
      <c r="G1100" s="2" t="str">
        <f ca="1">IFERROR(__xludf.DUMMYFUNCTION("GOOGLETRANSLATE(B1100,""en"",""de"")"),"Fortschritt")</f>
        <v>Fortschritt</v>
      </c>
      <c r="H1100" s="2" t="str">
        <f ca="1">IFERROR(__xludf.DUMMYFUNCTION("GOOGLETRANSLATE(B1100,""en"",""zh"")"),"进步")</f>
        <v>进步</v>
      </c>
      <c r="I1100" s="2" t="str">
        <f ca="1">IFERROR(__xludf.DUMMYFUNCTION("GOOGLETRANSLATE(B1100,""en"",""gd"")"),"Adhartas")</f>
        <v>Adhartas</v>
      </c>
    </row>
    <row r="1101" spans="1:9" ht="14.25" customHeight="1" x14ac:dyDescent="0.3">
      <c r="A1101" s="2">
        <v>1100</v>
      </c>
      <c r="B1101" s="3" t="s">
        <v>1108</v>
      </c>
      <c r="C1101" s="2" t="str">
        <f ca="1">IFERROR(__xludf.DUMMYFUNCTION("GOOGLETRANSLATE(B1101, ""en"",""es"")"),"verdad")</f>
        <v>verdad</v>
      </c>
      <c r="D1101" s="2" t="str">
        <f ca="1">IFERROR(__xludf.DUMMYFUNCTION("GOOGLETRANSLATE(B1101,""en"",""ig"")"),"eziokwu")</f>
        <v>eziokwu</v>
      </c>
      <c r="E1101" s="2" t="str">
        <f ca="1">IFERROR(__xludf.DUMMYFUNCTION("GOOGLETRANSLATE(B1101,""en"",""fr"")"),"vérité")</f>
        <v>vérité</v>
      </c>
      <c r="F1101" s="2" t="str">
        <f ca="1">IFERROR(__xludf.DUMMYFUNCTION("GOOGLETRANSLATE(B1101,""en"",""it"")"),"verità")</f>
        <v>verità</v>
      </c>
      <c r="G1101" s="2" t="str">
        <f ca="1">IFERROR(__xludf.DUMMYFUNCTION("GOOGLETRANSLATE(B1101,""en"",""de"")"),"Wahrheit")</f>
        <v>Wahrheit</v>
      </c>
      <c r="H1101" s="2" t="str">
        <f ca="1">IFERROR(__xludf.DUMMYFUNCTION("GOOGLETRANSLATE(B1101,""en"",""zh"")"),"真相")</f>
        <v>真相</v>
      </c>
      <c r="I1101" s="2" t="str">
        <f ca="1">IFERROR(__xludf.DUMMYFUNCTION("GOOGLETRANSLATE(B1101,""en"",""gd"")"),"Fìrinn")</f>
        <v>Fìrinn</v>
      </c>
    </row>
    <row r="1102" spans="1:9" ht="14.25" customHeight="1" x14ac:dyDescent="0.3">
      <c r="A1102" s="2">
        <v>1101</v>
      </c>
      <c r="B1102" s="3" t="s">
        <v>1109</v>
      </c>
      <c r="C1102" s="2" t="str">
        <f ca="1">IFERROR(__xludf.DUMMYFUNCTION("GOOGLETRANSLATE(B1102, ""en"",""es"")"),"nadie")</f>
        <v>nadie</v>
      </c>
      <c r="D1102" s="2" t="str">
        <f ca="1">IFERROR(__xludf.DUMMYFUNCTION("GOOGLETRANSLATE(B1102,""en"",""ig"")"),"onweghi onye")</f>
        <v>onweghi onye</v>
      </c>
      <c r="E1102" s="2" t="str">
        <f ca="1">IFERROR(__xludf.DUMMYFUNCTION("GOOGLETRANSLATE(B1102,""en"",""fr"")"),"personne")</f>
        <v>personne</v>
      </c>
      <c r="F1102" s="2" t="str">
        <f ca="1">IFERROR(__xludf.DUMMYFUNCTION("GOOGLETRANSLATE(B1102,""en"",""it"")"),"nessuno")</f>
        <v>nessuno</v>
      </c>
      <c r="G1102" s="2" t="str">
        <f ca="1">IFERROR(__xludf.DUMMYFUNCTION("GOOGLETRANSLATE(B1102,""en"",""de"")"),"niemand")</f>
        <v>niemand</v>
      </c>
      <c r="H1102" s="2" t="str">
        <f ca="1">IFERROR(__xludf.DUMMYFUNCTION("GOOGLETRANSLATE(B1102,""en"",""zh"")"),"没有人")</f>
        <v>没有人</v>
      </c>
      <c r="I1102" s="2" t="str">
        <f ca="1">IFERROR(__xludf.DUMMYFUNCTION("GOOGLETRANSLATE(B1102,""en"",""gd"")"),"duine")</f>
        <v>duine</v>
      </c>
    </row>
    <row r="1103" spans="1:9" ht="14.25" customHeight="1" x14ac:dyDescent="0.3">
      <c r="A1103" s="2">
        <v>1102</v>
      </c>
      <c r="B1103" s="3" t="s">
        <v>1110</v>
      </c>
      <c r="C1103" s="2" t="str">
        <f ca="1">IFERROR(__xludf.DUMMYFUNCTION("GOOGLETRANSLATE(B1103, ""en"",""es"")"),"examinar")</f>
        <v>examinar</v>
      </c>
      <c r="D1103" s="2" t="str">
        <f ca="1">IFERROR(__xludf.DUMMYFUNCTION("GOOGLETRANSLATE(B1103,""en"",""ig"")"),"ile ule")</f>
        <v>ile ule</v>
      </c>
      <c r="E1103" s="2" t="str">
        <f ca="1">IFERROR(__xludf.DUMMYFUNCTION("GOOGLETRANSLATE(B1103,""en"",""fr"")"),"examiner")</f>
        <v>examiner</v>
      </c>
      <c r="F1103" s="2" t="str">
        <f ca="1">IFERROR(__xludf.DUMMYFUNCTION("GOOGLETRANSLATE(B1103,""en"",""it"")"),"esaminare")</f>
        <v>esaminare</v>
      </c>
      <c r="G1103" s="2" t="str">
        <f ca="1">IFERROR(__xludf.DUMMYFUNCTION("GOOGLETRANSLATE(B1103,""en"",""de"")"),"prüfen")</f>
        <v>prüfen</v>
      </c>
      <c r="H1103" s="2" t="str">
        <f ca="1">IFERROR(__xludf.DUMMYFUNCTION("GOOGLETRANSLATE(B1103,""en"",""zh"")"),"检查")</f>
        <v>检查</v>
      </c>
      <c r="I1103" s="2" t="str">
        <f ca="1">IFERROR(__xludf.DUMMYFUNCTION("GOOGLETRANSLATE(B1103,""en"",""gd"")"),"sgrùdadh")</f>
        <v>sgrùdadh</v>
      </c>
    </row>
    <row r="1104" spans="1:9" ht="14.25" customHeight="1" x14ac:dyDescent="0.3">
      <c r="A1104" s="2">
        <v>1103</v>
      </c>
      <c r="B1104" s="3" t="s">
        <v>1111</v>
      </c>
      <c r="C1104" s="2" t="str">
        <f ca="1">IFERROR(__xludf.DUMMYFUNCTION("GOOGLETRANSLATE(B1104, ""en"",""es"")"),"poner")</f>
        <v>poner</v>
      </c>
      <c r="D1104" s="2" t="str">
        <f ca="1">IFERROR(__xludf.DUMMYFUNCTION("GOOGLETRANSLATE(B1104,""en"",""ig"")"),"iyi akwa")</f>
        <v>iyi akwa</v>
      </c>
      <c r="E1104" s="2" t="str">
        <f ca="1">IFERROR(__xludf.DUMMYFUNCTION("GOOGLETRANSLATE(B1104,""en"",""fr"")"),"poser")</f>
        <v>poser</v>
      </c>
      <c r="F1104" s="2" t="str">
        <f ca="1">IFERROR(__xludf.DUMMYFUNCTION("GOOGLETRANSLATE(B1104,""en"",""it"")"),"posizione")</f>
        <v>posizione</v>
      </c>
      <c r="G1104" s="2" t="str">
        <f ca="1">IFERROR(__xludf.DUMMYFUNCTION("GOOGLETRANSLATE(B1104,""en"",""de"")"),"legen")</f>
        <v>legen</v>
      </c>
      <c r="H1104" s="2" t="str">
        <f ca="1">IFERROR(__xludf.DUMMYFUNCTION("GOOGLETRANSLATE(B1104,""en"",""zh"")"),"放置")</f>
        <v>放置</v>
      </c>
      <c r="I1104" s="2" t="str">
        <f ca="1">IFERROR(__xludf.DUMMYFUNCTION("GOOGLETRANSLATE(B1104,""en"",""gd"")"),"lay")</f>
        <v>lay</v>
      </c>
    </row>
    <row r="1105" spans="1:9" ht="14.25" customHeight="1" x14ac:dyDescent="0.3">
      <c r="A1105" s="2">
        <v>1104</v>
      </c>
      <c r="B1105" s="3" t="s">
        <v>1112</v>
      </c>
      <c r="C1105" s="2" t="str">
        <f ca="1">IFERROR(__xludf.DUMMYFUNCTION("GOOGLETRANSLATE(B1105, ""en"",""es"")"),"velocidad")</f>
        <v>velocidad</v>
      </c>
      <c r="D1105" s="2" t="str">
        <f ca="1">IFERROR(__xludf.DUMMYFUNCTION("GOOGLETRANSLATE(B1105,""en"",""ig"")"),"ngwangwa")</f>
        <v>ngwangwa</v>
      </c>
      <c r="E1105" s="2" t="str">
        <f ca="1">IFERROR(__xludf.DUMMYFUNCTION("GOOGLETRANSLATE(B1105,""en"",""fr"")"),"vitesse")</f>
        <v>vitesse</v>
      </c>
      <c r="F1105" s="2" t="str">
        <f ca="1">IFERROR(__xludf.DUMMYFUNCTION("GOOGLETRANSLATE(B1105,""en"",""it"")"),"velocità")</f>
        <v>velocità</v>
      </c>
      <c r="G1105" s="2" t="str">
        <f ca="1">IFERROR(__xludf.DUMMYFUNCTION("GOOGLETRANSLATE(B1105,""en"",""de"")"),"Geschwindigkeit")</f>
        <v>Geschwindigkeit</v>
      </c>
      <c r="H1105" s="2" t="str">
        <f ca="1">IFERROR(__xludf.DUMMYFUNCTION("GOOGLETRANSLATE(B1105,""en"",""zh"")"),"速度")</f>
        <v>速度</v>
      </c>
      <c r="I1105" s="2" t="str">
        <f ca="1">IFERROR(__xludf.DUMMYFUNCTION("GOOGLETRANSLATE(B1105,""en"",""gd"")"),"astar")</f>
        <v>astar</v>
      </c>
    </row>
    <row r="1106" spans="1:9" ht="14.25" customHeight="1" x14ac:dyDescent="0.3">
      <c r="A1106" s="2">
        <v>1105</v>
      </c>
      <c r="B1106" s="3" t="s">
        <v>1113</v>
      </c>
      <c r="C1106" s="2" t="str">
        <f ca="1">IFERROR(__xludf.DUMMYFUNCTION("GOOGLETRANSLATE(B1106, ""en"",""es"")"),"política")</f>
        <v>política</v>
      </c>
      <c r="D1106" s="2" t="str">
        <f ca="1">IFERROR(__xludf.DUMMYFUNCTION("GOOGLETRANSLATE(B1106,""en"",""ig"")"),"ochichi")</f>
        <v>ochichi</v>
      </c>
      <c r="E1106" s="2" t="str">
        <f ca="1">IFERROR(__xludf.DUMMYFUNCTION("GOOGLETRANSLATE(B1106,""en"",""fr"")"),"politique")</f>
        <v>politique</v>
      </c>
      <c r="F1106" s="2" t="str">
        <f ca="1">IFERROR(__xludf.DUMMYFUNCTION("GOOGLETRANSLATE(B1106,""en"",""it"")"),"politica")</f>
        <v>politica</v>
      </c>
      <c r="G1106" s="2" t="str">
        <f ca="1">IFERROR(__xludf.DUMMYFUNCTION("GOOGLETRANSLATE(B1106,""en"",""de"")"),"Politik")</f>
        <v>Politik</v>
      </c>
      <c r="H1106" s="2" t="str">
        <f ca="1">IFERROR(__xludf.DUMMYFUNCTION("GOOGLETRANSLATE(B1106,""en"",""zh"")"),"政治")</f>
        <v>政治</v>
      </c>
      <c r="I1106" s="2" t="str">
        <f ca="1">IFERROR(__xludf.DUMMYFUNCTION("GOOGLETRANSLATE(B1106,""en"",""gd"")"),"poilitigs")</f>
        <v>poilitigs</v>
      </c>
    </row>
    <row r="1107" spans="1:9" ht="14.25" customHeight="1" x14ac:dyDescent="0.3">
      <c r="A1107" s="2">
        <v>1106</v>
      </c>
      <c r="B1107" s="3" t="s">
        <v>1114</v>
      </c>
      <c r="C1107" s="2" t="str">
        <f ca="1">IFERROR(__xludf.DUMMYFUNCTION("GOOGLETRANSLATE(B1107, ""en"",""es"")"),"responder")</f>
        <v>responder</v>
      </c>
      <c r="D1107" s="2" t="str">
        <f ca="1">IFERROR(__xludf.DUMMYFUNCTION("GOOGLETRANSLATE(B1107,""en"",""ig"")"),"iza")</f>
        <v>iza</v>
      </c>
      <c r="E1107" s="2" t="str">
        <f ca="1">IFERROR(__xludf.DUMMYFUNCTION("GOOGLETRANSLATE(B1107,""en"",""fr"")"),"répondre")</f>
        <v>répondre</v>
      </c>
      <c r="F1107" s="2" t="str">
        <f ca="1">IFERROR(__xludf.DUMMYFUNCTION("GOOGLETRANSLATE(B1107,""en"",""it"")"),"rispondere")</f>
        <v>rispondere</v>
      </c>
      <c r="G1107" s="2" t="str">
        <f ca="1">IFERROR(__xludf.DUMMYFUNCTION("GOOGLETRANSLATE(B1107,""en"",""de"")"),"Antwort")</f>
        <v>Antwort</v>
      </c>
      <c r="H1107" s="2" t="str">
        <f ca="1">IFERROR(__xludf.DUMMYFUNCTION("GOOGLETRANSLATE(B1107,""en"",""zh"")"),"回复")</f>
        <v>回复</v>
      </c>
      <c r="I1107" s="2" t="str">
        <f ca="1">IFERROR(__xludf.DUMMYFUNCTION("GOOGLETRANSLATE(B1107,""en"",""gd"")"),"freagairt")</f>
        <v>freagairt</v>
      </c>
    </row>
    <row r="1108" spans="1:9" ht="14.25" customHeight="1" x14ac:dyDescent="0.3">
      <c r="A1108" s="2">
        <v>1107</v>
      </c>
      <c r="B1108" s="3" t="s">
        <v>1115</v>
      </c>
      <c r="C1108" s="2" t="str">
        <f ca="1">IFERROR(__xludf.DUMMYFUNCTION("GOOGLETRANSLATE(B1108, ""en"",""es"")"),"mostrar")</f>
        <v>mostrar</v>
      </c>
      <c r="D1108" s="2" t="str">
        <f ca="1">IFERROR(__xludf.DUMMYFUNCTION("GOOGLETRANSLATE(B1108,""en"",""ig"")"),"ngosi")</f>
        <v>ngosi</v>
      </c>
      <c r="E1108" s="2" t="str">
        <f ca="1">IFERROR(__xludf.DUMMYFUNCTION("GOOGLETRANSLATE(B1108,""en"",""fr"")"),"afficher")</f>
        <v>afficher</v>
      </c>
      <c r="F1108" s="2" t="str">
        <f ca="1">IFERROR(__xludf.DUMMYFUNCTION("GOOGLETRANSLATE(B1108,""en"",""it"")"),"Schermo")</f>
        <v>Schermo</v>
      </c>
      <c r="G1108" s="2" t="str">
        <f ca="1">IFERROR(__xludf.DUMMYFUNCTION("GOOGLETRANSLATE(B1108,""en"",""de"")"),"Anzeige")</f>
        <v>Anzeige</v>
      </c>
      <c r="H1108" s="2" t="str">
        <f ca="1">IFERROR(__xludf.DUMMYFUNCTION("GOOGLETRANSLATE(B1108,""en"",""zh"")"),"展示")</f>
        <v>展示</v>
      </c>
      <c r="I1108" s="2" t="str">
        <f ca="1">IFERROR(__xludf.DUMMYFUNCTION("GOOGLETRANSLATE(B1108,""en"",""gd"")"),"Taisbeanadh")</f>
        <v>Taisbeanadh</v>
      </c>
    </row>
    <row r="1109" spans="1:9" ht="14.25" customHeight="1" x14ac:dyDescent="0.3">
      <c r="A1109" s="2">
        <v>1108</v>
      </c>
      <c r="B1109" s="3" t="s">
        <v>1116</v>
      </c>
      <c r="C1109" s="2" t="str">
        <f ca="1">IFERROR(__xludf.DUMMYFUNCTION("GOOGLETRANSLATE(B1109, ""en"",""es"")"),"transferir")</f>
        <v>transferir</v>
      </c>
      <c r="D1109" s="2" t="str">
        <f ca="1">IFERROR(__xludf.DUMMYFUNCTION("GOOGLETRANSLATE(B1109,""en"",""ig"")"),"transfaa")</f>
        <v>transfaa</v>
      </c>
      <c r="E1109" s="2" t="str">
        <f ca="1">IFERROR(__xludf.DUMMYFUNCTION("GOOGLETRANSLATE(B1109,""en"",""fr"")"),"transfert")</f>
        <v>transfert</v>
      </c>
      <c r="F1109" s="2" t="str">
        <f ca="1">IFERROR(__xludf.DUMMYFUNCTION("GOOGLETRANSLATE(B1109,""en"",""it"")"),"trasferimento")</f>
        <v>trasferimento</v>
      </c>
      <c r="G1109" s="2" t="str">
        <f ca="1">IFERROR(__xludf.DUMMYFUNCTION("GOOGLETRANSLATE(B1109,""en"",""de"")"),"überweisen")</f>
        <v>überweisen</v>
      </c>
      <c r="H1109" s="2" t="str">
        <f ca="1">IFERROR(__xludf.DUMMYFUNCTION("GOOGLETRANSLATE(B1109,""en"",""zh"")"),"转移")</f>
        <v>转移</v>
      </c>
      <c r="I1109" s="2" t="str">
        <f ca="1">IFERROR(__xludf.DUMMYFUNCTION("GOOGLETRANSLATE(B1109,""en"",""gd"")"),"Gluasad")</f>
        <v>Gluasad</v>
      </c>
    </row>
    <row r="1110" spans="1:9" ht="14.25" customHeight="1" x14ac:dyDescent="0.3">
      <c r="A1110" s="2">
        <v>1109</v>
      </c>
      <c r="B1110" s="3" t="s">
        <v>1117</v>
      </c>
      <c r="C1110" s="2" t="str">
        <f ca="1">IFERROR(__xludf.DUMMYFUNCTION("GOOGLETRANSLATE(B1110, ""en"",""es"")"),"perfecto")</f>
        <v>perfecto</v>
      </c>
      <c r="D1110" s="2" t="str">
        <f ca="1">IFERROR(__xludf.DUMMYFUNCTION("GOOGLETRANSLATE(B1110,""en"",""ig"")"),"zuruoke")</f>
        <v>zuruoke</v>
      </c>
      <c r="E1110" s="2" t="str">
        <f ca="1">IFERROR(__xludf.DUMMYFUNCTION("GOOGLETRANSLATE(B1110,""en"",""fr"")"),"parfait")</f>
        <v>parfait</v>
      </c>
      <c r="F1110" s="2" t="str">
        <f ca="1">IFERROR(__xludf.DUMMYFUNCTION("GOOGLETRANSLATE(B1110,""en"",""it"")"),"perfetto")</f>
        <v>perfetto</v>
      </c>
      <c r="G1110" s="2" t="str">
        <f ca="1">IFERROR(__xludf.DUMMYFUNCTION("GOOGLETRANSLATE(B1110,""en"",""de"")"),"perfekt")</f>
        <v>perfekt</v>
      </c>
      <c r="H1110" s="2" t="str">
        <f ca="1">IFERROR(__xludf.DUMMYFUNCTION("GOOGLETRANSLATE(B1110,""en"",""zh"")"),"完美的")</f>
        <v>完美的</v>
      </c>
      <c r="I1110" s="2" t="str">
        <f ca="1">IFERROR(__xludf.DUMMYFUNCTION("GOOGLETRANSLATE(B1110,""en"",""gd"")"),"foirfe")</f>
        <v>foirfe</v>
      </c>
    </row>
    <row r="1111" spans="1:9" ht="14.25" customHeight="1" x14ac:dyDescent="0.3">
      <c r="A1111" s="2">
        <v>1110</v>
      </c>
      <c r="B1111" s="3" t="s">
        <v>1118</v>
      </c>
      <c r="C1111" s="2" t="str">
        <f ca="1">IFERROR(__xludf.DUMMYFUNCTION("GOOGLETRANSLATE(B1111, ""en"",""es"")"),"levemente")</f>
        <v>levemente</v>
      </c>
      <c r="D1111" s="2" t="str">
        <f ca="1">IFERROR(__xludf.DUMMYFUNCTION("GOOGLETRANSLATE(B1111,""en"",""ig"")"),"slaitili")</f>
        <v>slaitili</v>
      </c>
      <c r="E1111" s="2" t="str">
        <f ca="1">IFERROR(__xludf.DUMMYFUNCTION("GOOGLETRANSLATE(B1111,""en"",""fr"")"),"légèrement")</f>
        <v>légèrement</v>
      </c>
      <c r="F1111" s="2" t="str">
        <f ca="1">IFERROR(__xludf.DUMMYFUNCTION("GOOGLETRANSLATE(B1111,""en"",""it"")"),"leggermente")</f>
        <v>leggermente</v>
      </c>
      <c r="G1111" s="2" t="str">
        <f ca="1">IFERROR(__xludf.DUMMYFUNCTION("GOOGLETRANSLATE(B1111,""en"",""de"")"),"leicht")</f>
        <v>leicht</v>
      </c>
      <c r="H1111" s="2" t="str">
        <f ca="1">IFERROR(__xludf.DUMMYFUNCTION("GOOGLETRANSLATE(B1111,""en"",""zh"")"),"轻微地")</f>
        <v>轻微地</v>
      </c>
      <c r="I1111" s="2" t="str">
        <f ca="1">IFERROR(__xludf.DUMMYFUNCTION("GOOGLETRANSLATE(B1111,""en"",""gd"")"),"beagan")</f>
        <v>beagan</v>
      </c>
    </row>
    <row r="1112" spans="1:9" ht="14.25" customHeight="1" x14ac:dyDescent="0.3">
      <c r="A1112" s="2">
        <v>1111</v>
      </c>
      <c r="B1112" s="3" t="s">
        <v>1119</v>
      </c>
      <c r="C1112" s="2" t="str">
        <f ca="1">IFERROR(__xludf.DUMMYFUNCTION("GOOGLETRANSLATE(B1112, ""en"",""es"")"),"en general")</f>
        <v>en general</v>
      </c>
      <c r="D1112" s="2" t="str">
        <f ca="1">IFERROR(__xludf.DUMMYFUNCTION("GOOGLETRANSLATE(B1112,""en"",""ig"")"),"n'ozuzu")</f>
        <v>n'ozuzu</v>
      </c>
      <c r="E1112" s="2" t="str">
        <f ca="1">IFERROR(__xludf.DUMMYFUNCTION("GOOGLETRANSLATE(B1112,""en"",""fr"")"),"dans l'ensemble")</f>
        <v>dans l'ensemble</v>
      </c>
      <c r="F1112" s="2" t="str">
        <f ca="1">IFERROR(__xludf.DUMMYFUNCTION("GOOGLETRANSLATE(B1112,""en"",""it"")"),"complessivamente")</f>
        <v>complessivamente</v>
      </c>
      <c r="G1112" s="2" t="str">
        <f ca="1">IFERROR(__xludf.DUMMYFUNCTION("GOOGLETRANSLATE(B1112,""en"",""de"")"),"gesamt")</f>
        <v>gesamt</v>
      </c>
      <c r="H1112" s="2" t="str">
        <f ca="1">IFERROR(__xludf.DUMMYFUNCTION("GOOGLETRANSLATE(B1112,""en"",""zh"")"),"全面的")</f>
        <v>全面的</v>
      </c>
      <c r="I1112" s="2" t="str">
        <f ca="1">IFERROR(__xludf.DUMMYFUNCTION("GOOGLETRANSLATE(B1112,""en"",""gd"")"),"Uile gu lèir")</f>
        <v>Uile gu lèir</v>
      </c>
    </row>
    <row r="1113" spans="1:9" ht="14.25" customHeight="1" x14ac:dyDescent="0.3">
      <c r="A1113" s="2">
        <v>1112</v>
      </c>
      <c r="B1113" s="3" t="s">
        <v>1120</v>
      </c>
      <c r="C1113" s="2" t="str">
        <f ca="1">IFERROR(__xludf.DUMMYFUNCTION("GOOGLETRANSLATE(B1113, ""en"",""es"")"),"pretender")</f>
        <v>pretender</v>
      </c>
      <c r="D1113" s="2" t="str">
        <f ca="1">IFERROR(__xludf.DUMMYFUNCTION("GOOGLETRANSLATE(B1113,""en"",""ig"")"),"icho ime")</f>
        <v>icho ime</v>
      </c>
      <c r="E1113" s="2" t="str">
        <f ca="1">IFERROR(__xludf.DUMMYFUNCTION("GOOGLETRANSLATE(B1113,""en"",""fr"")"),"avoir l'intention")</f>
        <v>avoir l'intention</v>
      </c>
      <c r="F1113" s="2" t="str">
        <f ca="1">IFERROR(__xludf.DUMMYFUNCTION("GOOGLETRANSLATE(B1113,""en"",""it"")"),"avere intenzione")</f>
        <v>avere intenzione</v>
      </c>
      <c r="G1113" s="2" t="str">
        <f ca="1">IFERROR(__xludf.DUMMYFUNCTION("GOOGLETRANSLATE(B1113,""en"",""de"")"),"beabsichtigen")</f>
        <v>beabsichtigen</v>
      </c>
      <c r="H1113" s="2" t="str">
        <f ca="1">IFERROR(__xludf.DUMMYFUNCTION("GOOGLETRANSLATE(B1113,""en"",""zh"")"),"打算")</f>
        <v>打算</v>
      </c>
      <c r="I1113" s="2" t="str">
        <f ca="1">IFERROR(__xludf.DUMMYFUNCTION("GOOGLETRANSLATE(B1113,""en"",""gd"")"),"an dùil")</f>
        <v>an dùil</v>
      </c>
    </row>
    <row r="1114" spans="1:9" ht="14.25" customHeight="1" x14ac:dyDescent="0.3">
      <c r="A1114" s="2">
        <v>1113</v>
      </c>
      <c r="B1114" s="3" t="s">
        <v>1121</v>
      </c>
      <c r="C1114" s="2" t="str">
        <f ca="1">IFERROR(__xludf.DUMMYFUNCTION("GOOGLETRANSLATE(B1114, ""en"",""es"")"),"usuario")</f>
        <v>usuario</v>
      </c>
      <c r="D1114" s="2" t="str">
        <f ca="1">IFERROR(__xludf.DUMMYFUNCTION("GOOGLETRANSLATE(B1114,""en"",""ig"")"),"o")</f>
        <v>o</v>
      </c>
      <c r="E1114" s="2" t="str">
        <f ca="1">IFERROR(__xludf.DUMMYFUNCTION("GOOGLETRANSLATE(B1114,""en"",""fr"")"),"utilisateur")</f>
        <v>utilisateur</v>
      </c>
      <c r="F1114" s="2" t="str">
        <f ca="1">IFERROR(__xludf.DUMMYFUNCTION("GOOGLETRANSLATE(B1114,""en"",""it"")"),"utente")</f>
        <v>utente</v>
      </c>
      <c r="G1114" s="2" t="str">
        <f ca="1">IFERROR(__xludf.DUMMYFUNCTION("GOOGLETRANSLATE(B1114,""en"",""de"")"),"Benutzer")</f>
        <v>Benutzer</v>
      </c>
      <c r="H1114" s="2" t="str">
        <f ca="1">IFERROR(__xludf.DUMMYFUNCTION("GOOGLETRANSLATE(B1114,""en"",""zh"")"),"用户")</f>
        <v>用户</v>
      </c>
      <c r="I1114" s="2" t="str">
        <f ca="1">IFERROR(__xludf.DUMMYFUNCTION("GOOGLETRANSLATE(B1114,""en"",""gd"")"),"Cleachdaiche")</f>
        <v>Cleachdaiche</v>
      </c>
    </row>
    <row r="1115" spans="1:9" ht="14.25" customHeight="1" x14ac:dyDescent="0.3">
      <c r="A1115" s="2">
        <v>1114</v>
      </c>
      <c r="B1115" s="3" t="s">
        <v>1122</v>
      </c>
      <c r="C1115" s="2" t="str">
        <f ca="1">IFERROR(__xludf.DUMMYFUNCTION("GOOGLETRANSLATE(B1115, ""en"",""es"")"),"responder")</f>
        <v>responder</v>
      </c>
      <c r="D1115" s="2" t="str">
        <f ca="1">IFERROR(__xludf.DUMMYFUNCTION("GOOGLETRANSLATE(B1115,""en"",""ig"")"),"ikwu")</f>
        <v>ikwu</v>
      </c>
      <c r="E1115" s="2" t="str">
        <f ca="1">IFERROR(__xludf.DUMMYFUNCTION("GOOGLETRANSLATE(B1115,""en"",""fr"")"),"répondre")</f>
        <v>répondre</v>
      </c>
      <c r="F1115" s="2" t="str">
        <f ca="1">IFERROR(__xludf.DUMMYFUNCTION("GOOGLETRANSLATE(B1115,""en"",""it"")"),"rispondere")</f>
        <v>rispondere</v>
      </c>
      <c r="G1115" s="2" t="str">
        <f ca="1">IFERROR(__xludf.DUMMYFUNCTION("GOOGLETRANSLATE(B1115,""en"",""de"")"),"antworten")</f>
        <v>antworten</v>
      </c>
      <c r="H1115" s="2" t="str">
        <f ca="1">IFERROR(__xludf.DUMMYFUNCTION("GOOGLETRANSLATE(B1115,""en"",""zh"")"),"回应")</f>
        <v>回应</v>
      </c>
      <c r="I1115" s="2" t="str">
        <f ca="1">IFERROR(__xludf.DUMMYFUNCTION("GOOGLETRANSLATE(B1115,""en"",""gd"")"),"Freagairt")</f>
        <v>Freagairt</v>
      </c>
    </row>
    <row r="1116" spans="1:9" ht="14.25" customHeight="1" x14ac:dyDescent="0.3">
      <c r="A1116" s="2">
        <v>1115</v>
      </c>
      <c r="B1116" s="3" t="s">
        <v>1123</v>
      </c>
      <c r="C1116" s="2" t="str">
        <f ca="1">IFERROR(__xludf.DUMMYFUNCTION("GOOGLETRANSLATE(B1116, ""en"",""es"")"),"cena")</f>
        <v>cena</v>
      </c>
      <c r="D1116" s="2" t="str">
        <f ca="1">IFERROR(__xludf.DUMMYFUNCTION("GOOGLETRANSLATE(B1116,""en"",""ig"")"),"nri abali")</f>
        <v>nri abali</v>
      </c>
      <c r="E1116" s="2" t="str">
        <f ca="1">IFERROR(__xludf.DUMMYFUNCTION("GOOGLETRANSLATE(B1116,""en"",""fr"")"),"dîner")</f>
        <v>dîner</v>
      </c>
      <c r="F1116" s="2" t="str">
        <f ca="1">IFERROR(__xludf.DUMMYFUNCTION("GOOGLETRANSLATE(B1116,""en"",""it"")"),"cena")</f>
        <v>cena</v>
      </c>
      <c r="G1116" s="2" t="str">
        <f ca="1">IFERROR(__xludf.DUMMYFUNCTION("GOOGLETRANSLATE(B1116,""en"",""de"")"),"Abendessen")</f>
        <v>Abendessen</v>
      </c>
      <c r="H1116" s="2" t="str">
        <f ca="1">IFERROR(__xludf.DUMMYFUNCTION("GOOGLETRANSLATE(B1116,""en"",""zh"")"),"晚餐")</f>
        <v>晚餐</v>
      </c>
      <c r="I1116" s="2" t="str">
        <f ca="1">IFERROR(__xludf.DUMMYFUNCTION("GOOGLETRANSLATE(B1116,""en"",""gd"")"),"Dinnear")</f>
        <v>Dinnear</v>
      </c>
    </row>
    <row r="1117" spans="1:9" ht="14.25" customHeight="1" x14ac:dyDescent="0.3">
      <c r="A1117" s="2">
        <v>1116</v>
      </c>
      <c r="B1117" s="3" t="s">
        <v>1124</v>
      </c>
      <c r="C1117" s="2" t="str">
        <f ca="1">IFERROR(__xludf.DUMMYFUNCTION("GOOGLETRANSLATE(B1117, ""en"",""es"")"),"lento")</f>
        <v>lento</v>
      </c>
      <c r="D1117" s="2" t="str">
        <f ca="1">IFERROR(__xludf.DUMMYFUNCTION("GOOGLETRANSLATE(B1117,""en"",""ig"")"),"emesighiiheike")</f>
        <v>emesighiiheike</v>
      </c>
      <c r="E1117" s="2" t="str">
        <f ca="1">IFERROR(__xludf.DUMMYFUNCTION("GOOGLETRANSLATE(B1117,""en"",""fr"")"),"lent")</f>
        <v>lent</v>
      </c>
      <c r="F1117" s="2" t="str">
        <f ca="1">IFERROR(__xludf.DUMMYFUNCTION("GOOGLETRANSLATE(B1117,""en"",""it"")"),"lento")</f>
        <v>lento</v>
      </c>
      <c r="G1117" s="2" t="str">
        <f ca="1">IFERROR(__xludf.DUMMYFUNCTION("GOOGLETRANSLATE(B1117,""en"",""de"")"),"langsam")</f>
        <v>langsam</v>
      </c>
      <c r="H1117" s="2" t="str">
        <f ca="1">IFERROR(__xludf.DUMMYFUNCTION("GOOGLETRANSLATE(B1117,""en"",""zh"")"),"慢的")</f>
        <v>慢的</v>
      </c>
      <c r="I1117" s="2" t="str">
        <f ca="1">IFERROR(__xludf.DUMMYFUNCTION("GOOGLETRANSLATE(B1117,""en"",""gd"")"),"slaodach")</f>
        <v>slaodach</v>
      </c>
    </row>
    <row r="1118" spans="1:9" ht="14.25" customHeight="1" x14ac:dyDescent="0.3">
      <c r="A1118" s="2">
        <v>1117</v>
      </c>
      <c r="B1118" s="3" t="s">
        <v>1125</v>
      </c>
      <c r="C1118" s="2" t="str">
        <f ca="1">IFERROR(__xludf.DUMMYFUNCTION("GOOGLETRANSLATE(B1118, ""en"",""es"")"),"regular")</f>
        <v>regular</v>
      </c>
      <c r="D1118" s="2" t="str">
        <f ca="1">IFERROR(__xludf.DUMMYFUNCTION("GOOGLETRANSLATE(B1118,""en"",""ig"")"),"nke mgbedum")</f>
        <v>nke mgbedum</v>
      </c>
      <c r="E1118" s="2" t="str">
        <f ca="1">IFERROR(__xludf.DUMMYFUNCTION("GOOGLETRANSLATE(B1118,""en"",""fr"")"),"régulier")</f>
        <v>régulier</v>
      </c>
      <c r="F1118" s="2" t="str">
        <f ca="1">IFERROR(__xludf.DUMMYFUNCTION("GOOGLETRANSLATE(B1118,""en"",""it"")"),"regolare")</f>
        <v>regolare</v>
      </c>
      <c r="G1118" s="2" t="str">
        <f ca="1">IFERROR(__xludf.DUMMYFUNCTION("GOOGLETRANSLATE(B1118,""en"",""de"")"),"regulär")</f>
        <v>regulär</v>
      </c>
      <c r="H1118" s="2" t="str">
        <f ca="1">IFERROR(__xludf.DUMMYFUNCTION("GOOGLETRANSLATE(B1118,""en"",""zh"")"),"常规的")</f>
        <v>常规的</v>
      </c>
      <c r="I1118" s="2" t="str">
        <f ca="1">IFERROR(__xludf.DUMMYFUNCTION("GOOGLETRANSLATE(B1118,""en"",""gd"")"),"cunbhalach")</f>
        <v>cunbhalach</v>
      </c>
    </row>
    <row r="1119" spans="1:9" ht="14.25" customHeight="1" x14ac:dyDescent="0.3">
      <c r="A1119" s="2">
        <v>1118</v>
      </c>
      <c r="B1119" s="3" t="s">
        <v>1126</v>
      </c>
      <c r="C1119" s="2" t="str">
        <f ca="1">IFERROR(__xludf.DUMMYFUNCTION("GOOGLETRANSLATE(B1119, ""en"",""es"")"),"físico")</f>
        <v>físico</v>
      </c>
      <c r="D1119" s="2" t="str">
        <f ca="1">IFERROR(__xludf.DUMMYFUNCTION("GOOGLETRANSLATE(B1119,""en"",""ig"")"),"fisikal")</f>
        <v>fisikal</v>
      </c>
      <c r="E1119" s="2" t="str">
        <f ca="1">IFERROR(__xludf.DUMMYFUNCTION("GOOGLETRANSLATE(B1119,""en"",""fr"")"),"physique")</f>
        <v>physique</v>
      </c>
      <c r="F1119" s="2" t="str">
        <f ca="1">IFERROR(__xludf.DUMMYFUNCTION("GOOGLETRANSLATE(B1119,""en"",""it"")"),"fisico")</f>
        <v>fisico</v>
      </c>
      <c r="G1119" s="2" t="str">
        <f ca="1">IFERROR(__xludf.DUMMYFUNCTION("GOOGLETRANSLATE(B1119,""en"",""de"")"),"physisch")</f>
        <v>physisch</v>
      </c>
      <c r="H1119" s="2" t="str">
        <f ca="1">IFERROR(__xludf.DUMMYFUNCTION("GOOGLETRANSLATE(B1119,""en"",""zh"")"),"身体的")</f>
        <v>身体的</v>
      </c>
      <c r="I1119" s="2" t="str">
        <f ca="1">IFERROR(__xludf.DUMMYFUNCTION("GOOGLETRANSLATE(B1119,""en"",""gd"")"),"corporra")</f>
        <v>corporra</v>
      </c>
    </row>
    <row r="1120" spans="1:9" ht="14.25" customHeight="1" x14ac:dyDescent="0.3">
      <c r="A1120" s="2">
        <v>1119</v>
      </c>
      <c r="B1120" s="3" t="s">
        <v>1127</v>
      </c>
      <c r="C1120" s="2" t="str">
        <f ca="1">IFERROR(__xludf.DUMMYFUNCTION("GOOGLETRANSLATE(B1120, ""en"",""es"")"),"aparte")</f>
        <v>aparte</v>
      </c>
      <c r="D1120" s="2" t="str">
        <f ca="1">IFERROR(__xludf.DUMMYFUNCTION("GOOGLETRANSLATE(B1120,""en"",""ig"")"),"iche iche")</f>
        <v>iche iche</v>
      </c>
      <c r="E1120" s="2" t="str">
        <f ca="1">IFERROR(__xludf.DUMMYFUNCTION("GOOGLETRANSLATE(B1120,""en"",""fr"")"),"à part")</f>
        <v>à part</v>
      </c>
      <c r="F1120" s="2" t="str">
        <f ca="1">IFERROR(__xludf.DUMMYFUNCTION("GOOGLETRANSLATE(B1120,""en"",""it"")"),"a parte")</f>
        <v>a parte</v>
      </c>
      <c r="G1120" s="2" t="str">
        <f ca="1">IFERROR(__xludf.DUMMYFUNCTION("GOOGLETRANSLATE(B1120,""en"",""de"")"),"auseinander")</f>
        <v>auseinander</v>
      </c>
      <c r="H1120" s="2" t="str">
        <f ca="1">IFERROR(__xludf.DUMMYFUNCTION("GOOGLETRANSLATE(B1120,""en"",""zh"")"),"除外")</f>
        <v>除外</v>
      </c>
      <c r="I1120" s="2" t="str">
        <f ca="1">IFERROR(__xludf.DUMMYFUNCTION("GOOGLETRANSLATE(B1120,""en"",""gd"")"),"air leth")</f>
        <v>air leth</v>
      </c>
    </row>
    <row r="1121" spans="1:9" ht="14.25" customHeight="1" x14ac:dyDescent="0.3">
      <c r="A1121" s="2">
        <v>1120</v>
      </c>
      <c r="B1121" s="3" t="s">
        <v>1128</v>
      </c>
      <c r="C1121" s="2" t="str">
        <f ca="1">IFERROR(__xludf.DUMMYFUNCTION("GOOGLETRANSLATE(B1121, ""en"",""es"")"),"traje")</f>
        <v>traje</v>
      </c>
      <c r="D1121" s="2" t="str">
        <f ca="1">IFERROR(__xludf.DUMMYFUNCTION("GOOGLETRANSLATE(B1121,""en"",""ig"")"),"uwe")</f>
        <v>uwe</v>
      </c>
      <c r="E1121" s="2" t="str">
        <f ca="1">IFERROR(__xludf.DUMMYFUNCTION("GOOGLETRANSLATE(B1121,""en"",""fr"")"),"costume")</f>
        <v>costume</v>
      </c>
      <c r="F1121" s="2" t="str">
        <f ca="1">IFERROR(__xludf.DUMMYFUNCTION("GOOGLETRANSLATE(B1121,""en"",""it"")"),"abito")</f>
        <v>abito</v>
      </c>
      <c r="G1121" s="2" t="str">
        <f ca="1">IFERROR(__xludf.DUMMYFUNCTION("GOOGLETRANSLATE(B1121,""en"",""de"")"),"Anzug")</f>
        <v>Anzug</v>
      </c>
      <c r="H1121" s="2" t="str">
        <f ca="1">IFERROR(__xludf.DUMMYFUNCTION("GOOGLETRANSLATE(B1121,""en"",""zh"")"),"套装")</f>
        <v>套装</v>
      </c>
      <c r="I1121" s="2" t="str">
        <f ca="1">IFERROR(__xludf.DUMMYFUNCTION("GOOGLETRANSLATE(B1121,""en"",""gd"")"),"deise")</f>
        <v>deise</v>
      </c>
    </row>
    <row r="1122" spans="1:9" ht="14.25" customHeight="1" x14ac:dyDescent="0.3">
      <c r="A1122" s="2">
        <v>1121</v>
      </c>
      <c r="B1122" s="3" t="s">
        <v>1129</v>
      </c>
      <c r="C1122" s="2" t="str">
        <f ca="1">IFERROR(__xludf.DUMMYFUNCTION("GOOGLETRANSLATE(B1122, ""en"",""es"")"),"federal")</f>
        <v>federal</v>
      </c>
      <c r="D1122" s="2" t="str">
        <f ca="1">IFERROR(__xludf.DUMMYFUNCTION("GOOGLETRANSLATE(B1122,""en"",""ig"")"),"keetiti")</f>
        <v>keetiti</v>
      </c>
      <c r="E1122" s="2" t="str">
        <f ca="1">IFERROR(__xludf.DUMMYFUNCTION("GOOGLETRANSLATE(B1122,""en"",""fr"")"),"fédéral")</f>
        <v>fédéral</v>
      </c>
      <c r="F1122" s="2" t="str">
        <f ca="1">IFERROR(__xludf.DUMMYFUNCTION("GOOGLETRANSLATE(B1122,""en"",""it"")"),"federale")</f>
        <v>federale</v>
      </c>
      <c r="G1122" s="2" t="str">
        <f ca="1">IFERROR(__xludf.DUMMYFUNCTION("GOOGLETRANSLATE(B1122,""en"",""de"")"),"Bundes")</f>
        <v>Bundes</v>
      </c>
      <c r="H1122" s="2" t="str">
        <f ca="1">IFERROR(__xludf.DUMMYFUNCTION("GOOGLETRANSLATE(B1122,""en"",""zh"")"),"联邦")</f>
        <v>联邦</v>
      </c>
      <c r="I1122" s="2" t="str">
        <f ca="1">IFERROR(__xludf.DUMMYFUNCTION("GOOGLETRANSLATE(B1122,""en"",""gd"")"),"feadarail")</f>
        <v>feadarail</v>
      </c>
    </row>
    <row r="1123" spans="1:9" ht="14.25" customHeight="1" x14ac:dyDescent="0.3">
      <c r="A1123" s="2">
        <v>1122</v>
      </c>
      <c r="B1123" s="3" t="s">
        <v>1130</v>
      </c>
      <c r="C1123" s="2" t="str">
        <f ca="1">IFERROR(__xludf.DUMMYFUNCTION("GOOGLETRANSLATE(B1123, ""en"",""es"")"),"revelar")</f>
        <v>revelar</v>
      </c>
      <c r="D1123" s="2" t="str">
        <f ca="1">IFERROR(__xludf.DUMMYFUNCTION("GOOGLETRANSLATE(B1123,""en"",""ig"")"),"ikpugbe")</f>
        <v>ikpugbe</v>
      </c>
      <c r="E1123" s="2" t="str">
        <f ca="1">IFERROR(__xludf.DUMMYFUNCTION("GOOGLETRANSLATE(B1123,""en"",""fr"")"),"révéler")</f>
        <v>révéler</v>
      </c>
      <c r="F1123" s="2" t="str">
        <f ca="1">IFERROR(__xludf.DUMMYFUNCTION("GOOGLETRANSLATE(B1123,""en"",""it"")"),"svelare")</f>
        <v>svelare</v>
      </c>
      <c r="G1123" s="2" t="str">
        <f ca="1">IFERROR(__xludf.DUMMYFUNCTION("GOOGLETRANSLATE(B1123,""en"",""de"")"),"aufdecken")</f>
        <v>aufdecken</v>
      </c>
      <c r="H1123" s="2" t="str">
        <f ca="1">IFERROR(__xludf.DUMMYFUNCTION("GOOGLETRANSLATE(B1123,""en"",""zh"")"),"揭示")</f>
        <v>揭示</v>
      </c>
      <c r="I1123" s="2" t="str">
        <f ca="1">IFERROR(__xludf.DUMMYFUNCTION("GOOGLETRANSLATE(B1123,""en"",""gd"")"),"nochdaidh")</f>
        <v>nochdaidh</v>
      </c>
    </row>
    <row r="1124" spans="1:9" ht="14.25" customHeight="1" x14ac:dyDescent="0.3">
      <c r="A1124" s="2">
        <v>1123</v>
      </c>
      <c r="B1124" s="3" t="s">
        <v>1131</v>
      </c>
      <c r="C1124" s="2" t="str">
        <f ca="1">IFERROR(__xludf.DUMMYFUNCTION("GOOGLETRANSLATE(B1124, ""en"",""es"")"),"porcentaje")</f>
        <v>porcentaje</v>
      </c>
      <c r="D1124" s="2" t="str">
        <f ca="1">IFERROR(__xludf.DUMMYFUNCTION("GOOGLETRANSLATE(B1124,""en"",""ig"")"),"n'ime nari")</f>
        <v>n'ime nari</v>
      </c>
      <c r="E1124" s="2" t="str">
        <f ca="1">IFERROR(__xludf.DUMMYFUNCTION("GOOGLETRANSLATE(B1124,""en"",""fr"")"),"pourcentage")</f>
        <v>pourcentage</v>
      </c>
      <c r="F1124" s="2" t="str">
        <f ca="1">IFERROR(__xludf.DUMMYFUNCTION("GOOGLETRANSLATE(B1124,""en"",""it"")"),"percentuale")</f>
        <v>percentuale</v>
      </c>
      <c r="G1124" s="2" t="str">
        <f ca="1">IFERROR(__xludf.DUMMYFUNCTION("GOOGLETRANSLATE(B1124,""en"",""de"")"),"Prozentsatz")</f>
        <v>Prozentsatz</v>
      </c>
      <c r="H1124" s="2" t="str">
        <f ca="1">IFERROR(__xludf.DUMMYFUNCTION("GOOGLETRANSLATE(B1124,""en"",""zh"")"),"百分比")</f>
        <v>百分比</v>
      </c>
      <c r="I1124" s="2" t="str">
        <f ca="1">IFERROR(__xludf.DUMMYFUNCTION("GOOGLETRANSLATE(B1124,""en"",""gd"")"),"Àireamh sa cheud")</f>
        <v>Àireamh sa cheud</v>
      </c>
    </row>
    <row r="1125" spans="1:9" ht="14.25" customHeight="1" x14ac:dyDescent="0.3">
      <c r="A1125" s="2">
        <v>1124</v>
      </c>
      <c r="B1125" s="3" t="s">
        <v>1132</v>
      </c>
      <c r="C1125" s="2" t="str">
        <f ca="1">IFERROR(__xludf.DUMMYFUNCTION("GOOGLETRANSLATE(B1125, ""en"",""es"")"),"paz")</f>
        <v>paz</v>
      </c>
      <c r="D1125" s="2" t="str">
        <f ca="1">IFERROR(__xludf.DUMMYFUNCTION("GOOGLETRANSLATE(B1125,""en"",""ig"")"),"udo")</f>
        <v>udo</v>
      </c>
      <c r="E1125" s="2" t="str">
        <f ca="1">IFERROR(__xludf.DUMMYFUNCTION("GOOGLETRANSLATE(B1125,""en"",""fr"")"),"paix")</f>
        <v>paix</v>
      </c>
      <c r="F1125" s="2" t="str">
        <f ca="1">IFERROR(__xludf.DUMMYFUNCTION("GOOGLETRANSLATE(B1125,""en"",""it"")"),"pace")</f>
        <v>pace</v>
      </c>
      <c r="G1125" s="2" t="str">
        <f ca="1">IFERROR(__xludf.DUMMYFUNCTION("GOOGLETRANSLATE(B1125,""en"",""de"")"),"Frieden")</f>
        <v>Frieden</v>
      </c>
      <c r="H1125" s="2" t="str">
        <f ca="1">IFERROR(__xludf.DUMMYFUNCTION("GOOGLETRANSLATE(B1125,""en"",""zh"")"),"和平")</f>
        <v>和平</v>
      </c>
      <c r="I1125" s="2" t="str">
        <f ca="1">IFERROR(__xludf.DUMMYFUNCTION("GOOGLETRANSLATE(B1125,""en"",""gd"")"),"Sìth")</f>
        <v>Sìth</v>
      </c>
    </row>
    <row r="1126" spans="1:9" ht="14.25" customHeight="1" x14ac:dyDescent="0.3">
      <c r="A1126" s="2">
        <v>1125</v>
      </c>
      <c r="B1126" s="3" t="s">
        <v>1133</v>
      </c>
      <c r="C1126" s="2" t="str">
        <f ca="1">IFERROR(__xludf.DUMMYFUNCTION("GOOGLETRANSLATE(B1126, ""en"",""es"")"),"estado")</f>
        <v>estado</v>
      </c>
      <c r="D1126" s="2" t="str">
        <f ca="1">IFERROR(__xludf.DUMMYFUNCTION("GOOGLETRANSLATE(B1126,""en"",""ig"")"),"nkwuru")</f>
        <v>nkwuru</v>
      </c>
      <c r="E1126" s="2" t="str">
        <f ca="1">IFERROR(__xludf.DUMMYFUNCTION("GOOGLETRANSLATE(B1126,""en"",""fr"")"),"statut")</f>
        <v>statut</v>
      </c>
      <c r="F1126" s="2" t="str">
        <f ca="1">IFERROR(__xludf.DUMMYFUNCTION("GOOGLETRANSLATE(B1126,""en"",""it"")"),"stato")</f>
        <v>stato</v>
      </c>
      <c r="G1126" s="2" t="str">
        <f ca="1">IFERROR(__xludf.DUMMYFUNCTION("GOOGLETRANSLATE(B1126,""en"",""de"")"),"Status")</f>
        <v>Status</v>
      </c>
      <c r="H1126" s="2" t="str">
        <f ca="1">IFERROR(__xludf.DUMMYFUNCTION("GOOGLETRANSLATE(B1126,""en"",""zh"")"),"地位")</f>
        <v>地位</v>
      </c>
      <c r="I1126" s="2" t="str">
        <f ca="1">IFERROR(__xludf.DUMMYFUNCTION("GOOGLETRANSLATE(B1126,""en"",""gd"")"),"Inbhe")</f>
        <v>Inbhe</v>
      </c>
    </row>
    <row r="1127" spans="1:9" ht="14.25" customHeight="1" x14ac:dyDescent="0.3">
      <c r="A1127" s="2">
        <v>1126</v>
      </c>
      <c r="B1127" s="3" t="s">
        <v>1134</v>
      </c>
      <c r="C1127" s="2" t="str">
        <f ca="1">IFERROR(__xludf.DUMMYFUNCTION("GOOGLETRANSLATE(B1127, ""en"",""es"")"),"delito")</f>
        <v>delito</v>
      </c>
      <c r="D1127" s="2" t="str">
        <f ca="1">IFERROR(__xludf.DUMMYFUNCTION("GOOGLETRANSLATE(B1127,""en"",""ig"")"),"mpu")</f>
        <v>mpu</v>
      </c>
      <c r="E1127" s="2" t="str">
        <f ca="1">IFERROR(__xludf.DUMMYFUNCTION("GOOGLETRANSLATE(B1127,""en"",""fr"")"),"crime")</f>
        <v>crime</v>
      </c>
      <c r="F1127" s="2" t="str">
        <f ca="1">IFERROR(__xludf.DUMMYFUNCTION("GOOGLETRANSLATE(B1127,""en"",""it"")"),"crimine")</f>
        <v>crimine</v>
      </c>
      <c r="G1127" s="2" t="str">
        <f ca="1">IFERROR(__xludf.DUMMYFUNCTION("GOOGLETRANSLATE(B1127,""en"",""de"")"),"Verbrechen")</f>
        <v>Verbrechen</v>
      </c>
      <c r="H1127" s="2" t="str">
        <f ca="1">IFERROR(__xludf.DUMMYFUNCTION("GOOGLETRANSLATE(B1127,""en"",""zh"")"),"犯罪")</f>
        <v>犯罪</v>
      </c>
      <c r="I1127" s="2" t="str">
        <f ca="1">IFERROR(__xludf.DUMMYFUNCTION("GOOGLETRANSLATE(B1127,""en"",""gd"")"),"eucoir")</f>
        <v>eucoir</v>
      </c>
    </row>
    <row r="1128" spans="1:9" ht="14.25" customHeight="1" x14ac:dyDescent="0.3">
      <c r="A1128" s="2">
        <v>1127</v>
      </c>
      <c r="B1128" s="3" t="s">
        <v>1135</v>
      </c>
      <c r="C1128" s="2" t="str">
        <f ca="1">IFERROR(__xludf.DUMMYFUNCTION("GOOGLETRANSLATE(B1128, ""en"",""es"")"),"rechazar")</f>
        <v>rechazar</v>
      </c>
      <c r="D1128" s="2" t="str">
        <f ca="1">IFERROR(__xludf.DUMMYFUNCTION("GOOGLETRANSLATE(B1128,""en"",""ig"")"),"odida")</f>
        <v>odida</v>
      </c>
      <c r="E1128" s="2" t="str">
        <f ca="1">IFERROR(__xludf.DUMMYFUNCTION("GOOGLETRANSLATE(B1128,""en"",""fr"")"),"déclin")</f>
        <v>déclin</v>
      </c>
      <c r="F1128" s="2" t="str">
        <f ca="1">IFERROR(__xludf.DUMMYFUNCTION("GOOGLETRANSLATE(B1128,""en"",""it"")"),"declino")</f>
        <v>declino</v>
      </c>
      <c r="G1128" s="2" t="str">
        <f ca="1">IFERROR(__xludf.DUMMYFUNCTION("GOOGLETRANSLATE(B1128,""en"",""de"")"),"Abfall")</f>
        <v>Abfall</v>
      </c>
      <c r="H1128" s="2" t="str">
        <f ca="1">IFERROR(__xludf.DUMMYFUNCTION("GOOGLETRANSLATE(B1128,""en"",""zh"")"),"衰退")</f>
        <v>衰退</v>
      </c>
      <c r="I1128" s="2" t="str">
        <f ca="1">IFERROR(__xludf.DUMMYFUNCTION("GOOGLETRANSLATE(B1128,""en"",""gd"")"),"crìonadh")</f>
        <v>crìonadh</v>
      </c>
    </row>
    <row r="1129" spans="1:9" ht="14.25" customHeight="1" x14ac:dyDescent="0.3">
      <c r="A1129" s="2">
        <v>1128</v>
      </c>
      <c r="B1129" s="3" t="s">
        <v>1136</v>
      </c>
      <c r="C1129" s="2" t="str">
        <f ca="1">IFERROR(__xludf.DUMMYFUNCTION("GOOGLETRANSLATE(B1129, ""en"",""es"")"),"década")</f>
        <v>década</v>
      </c>
      <c r="D1129" s="2" t="str">
        <f ca="1">IFERROR(__xludf.DUMMYFUNCTION("GOOGLETRANSLATE(B1129,""en"",""ig"")"),"afo iri")</f>
        <v>afo iri</v>
      </c>
      <c r="E1129" s="2" t="str">
        <f ca="1">IFERROR(__xludf.DUMMYFUNCTION("GOOGLETRANSLATE(B1129,""en"",""fr"")"),"décennie")</f>
        <v>décennie</v>
      </c>
      <c r="F1129" s="2" t="str">
        <f ca="1">IFERROR(__xludf.DUMMYFUNCTION("GOOGLETRANSLATE(B1129,""en"",""it"")"),"decennio")</f>
        <v>decennio</v>
      </c>
      <c r="G1129" s="2" t="str">
        <f ca="1">IFERROR(__xludf.DUMMYFUNCTION("GOOGLETRANSLATE(B1129,""en"",""de"")"),"Jahrzehnt")</f>
        <v>Jahrzehnt</v>
      </c>
      <c r="H1129" s="2" t="str">
        <f ca="1">IFERROR(__xludf.DUMMYFUNCTION("GOOGLETRANSLATE(B1129,""en"",""zh"")"),"十年")</f>
        <v>十年</v>
      </c>
      <c r="I1129" s="2" t="str">
        <f ca="1">IFERROR(__xludf.DUMMYFUNCTION("GOOGLETRANSLATE(B1129,""en"",""gd"")"),"Deichead")</f>
        <v>Deichead</v>
      </c>
    </row>
    <row r="1130" spans="1:9" ht="14.25" customHeight="1" x14ac:dyDescent="0.3">
      <c r="A1130" s="2">
        <v>1129</v>
      </c>
      <c r="B1130" s="3" t="s">
        <v>1137</v>
      </c>
      <c r="C1130" s="2" t="str">
        <f ca="1">IFERROR(__xludf.DUMMYFUNCTION("GOOGLETRANSLATE(B1130, ""en"",""es"")"),"lanzamiento")</f>
        <v>lanzamiento</v>
      </c>
      <c r="D1130" s="2" t="str">
        <f ca="1">IFERROR(__xludf.DUMMYFUNCTION("GOOGLETRANSLATE(B1130,""en"",""ig"")"),"igba egbe")</f>
        <v>igba egbe</v>
      </c>
      <c r="E1130" s="2" t="str">
        <f ca="1">IFERROR(__xludf.DUMMYFUNCTION("GOOGLETRANSLATE(B1130,""en"",""fr"")"),"lancement")</f>
        <v>lancement</v>
      </c>
      <c r="F1130" s="2" t="str">
        <f ca="1">IFERROR(__xludf.DUMMYFUNCTION("GOOGLETRANSLATE(B1130,""en"",""it"")"),"lancio")</f>
        <v>lancio</v>
      </c>
      <c r="G1130" s="2" t="str">
        <f ca="1">IFERROR(__xludf.DUMMYFUNCTION("GOOGLETRANSLATE(B1130,""en"",""de"")"),"Start")</f>
        <v>Start</v>
      </c>
      <c r="H1130" s="2" t="str">
        <f ca="1">IFERROR(__xludf.DUMMYFUNCTION("GOOGLETRANSLATE(B1130,""en"",""zh"")"),"发射")</f>
        <v>发射</v>
      </c>
      <c r="I1130" s="2" t="str">
        <f ca="1">IFERROR(__xludf.DUMMYFUNCTION("GOOGLETRANSLATE(B1130,""en"",""gd"")"),"Cur air bhog")</f>
        <v>Cur air bhog</v>
      </c>
    </row>
    <row r="1131" spans="1:9" ht="14.25" customHeight="1" x14ac:dyDescent="0.3">
      <c r="A1131" s="2">
        <v>1130</v>
      </c>
      <c r="B1131" s="3" t="s">
        <v>1138</v>
      </c>
      <c r="C1131" s="2" t="str">
        <f ca="1">IFERROR(__xludf.DUMMYFUNCTION("GOOGLETRANSLATE(B1131, ""en"",""es"")"),"advertir")</f>
        <v>advertir</v>
      </c>
      <c r="D1131" s="2" t="str">
        <f ca="1">IFERROR(__xludf.DUMMYFUNCTION("GOOGLETRANSLATE(B1131,""en"",""ig"")"),"iduodu")</f>
        <v>iduodu</v>
      </c>
      <c r="E1131" s="2" t="str">
        <f ca="1">IFERROR(__xludf.DUMMYFUNCTION("GOOGLETRANSLATE(B1131,""en"",""fr"")"),"avertir")</f>
        <v>avertir</v>
      </c>
      <c r="F1131" s="2" t="str">
        <f ca="1">IFERROR(__xludf.DUMMYFUNCTION("GOOGLETRANSLATE(B1131,""en"",""it"")"),"avvisare")</f>
        <v>avvisare</v>
      </c>
      <c r="G1131" s="2" t="str">
        <f ca="1">IFERROR(__xludf.DUMMYFUNCTION("GOOGLETRANSLATE(B1131,""en"",""de"")"),"warnen")</f>
        <v>warnen</v>
      </c>
      <c r="H1131" s="2" t="str">
        <f ca="1">IFERROR(__xludf.DUMMYFUNCTION("GOOGLETRANSLATE(B1131,""en"",""zh"")"),"警告")</f>
        <v>警告</v>
      </c>
      <c r="I1131" s="2" t="str">
        <f ca="1">IFERROR(__xludf.DUMMYFUNCTION("GOOGLETRANSLATE(B1131,""en"",""gd"")"),"rabhadh")</f>
        <v>rabhadh</v>
      </c>
    </row>
    <row r="1132" spans="1:9" ht="14.25" customHeight="1" x14ac:dyDescent="0.3">
      <c r="A1132" s="2">
        <v>1131</v>
      </c>
      <c r="B1132" s="3" t="s">
        <v>1139</v>
      </c>
      <c r="C1132" s="2" t="str">
        <f ca="1">IFERROR(__xludf.DUMMYFUNCTION("GOOGLETRANSLATE(B1132, ""en"",""es"")"),"consumidor")</f>
        <v>consumidor</v>
      </c>
      <c r="D1132" s="2" t="str">
        <f ca="1">IFERROR(__xludf.DUMMYFUNCTION("GOOGLETRANSLATE(B1132,""en"",""ig"")"),"onye na-eri ahia")</f>
        <v>onye na-eri ahia</v>
      </c>
      <c r="E1132" s="2" t="str">
        <f ca="1">IFERROR(__xludf.DUMMYFUNCTION("GOOGLETRANSLATE(B1132,""en"",""fr"")"),"consommateur")</f>
        <v>consommateur</v>
      </c>
      <c r="F1132" s="2" t="str">
        <f ca="1">IFERROR(__xludf.DUMMYFUNCTION("GOOGLETRANSLATE(B1132,""en"",""it"")"),"consumatore")</f>
        <v>consumatore</v>
      </c>
      <c r="G1132" s="2" t="str">
        <f ca="1">IFERROR(__xludf.DUMMYFUNCTION("GOOGLETRANSLATE(B1132,""en"",""de"")"),"Verbraucher")</f>
        <v>Verbraucher</v>
      </c>
      <c r="H1132" s="2" t="str">
        <f ca="1">IFERROR(__xludf.DUMMYFUNCTION("GOOGLETRANSLATE(B1132,""en"",""zh"")"),"消费者")</f>
        <v>消费者</v>
      </c>
      <c r="I1132" s="2" t="str">
        <f ca="1">IFERROR(__xludf.DUMMYFUNCTION("GOOGLETRANSLATE(B1132,""en"",""gd"")"),"neach-cleachdaidh")</f>
        <v>neach-cleachdaidh</v>
      </c>
    </row>
    <row r="1133" spans="1:9" ht="14.25" customHeight="1" x14ac:dyDescent="0.3">
      <c r="A1133" s="2">
        <v>1132</v>
      </c>
      <c r="B1133" s="3" t="s">
        <v>1140</v>
      </c>
      <c r="C1133" s="2" t="str">
        <f ca="1">IFERROR(__xludf.DUMMYFUNCTION("GOOGLETRANSLATE(B1133, ""en"",""es"")"),"favor")</f>
        <v>favor</v>
      </c>
      <c r="D1133" s="2" t="str">
        <f ca="1">IFERROR(__xludf.DUMMYFUNCTION("GOOGLETRANSLATE(B1133,""en"",""ig"")"),"mmenyere")</f>
        <v>mmenyere</v>
      </c>
      <c r="E1133" s="2" t="str">
        <f ca="1">IFERROR(__xludf.DUMMYFUNCTION("GOOGLETRANSLATE(B1133,""en"",""fr"")"),"service")</f>
        <v>service</v>
      </c>
      <c r="F1133" s="2" t="str">
        <f ca="1">IFERROR(__xludf.DUMMYFUNCTION("GOOGLETRANSLATE(B1133,""en"",""it"")"),"favore")</f>
        <v>favore</v>
      </c>
      <c r="G1133" s="2" t="str">
        <f ca="1">IFERROR(__xludf.DUMMYFUNCTION("GOOGLETRANSLATE(B1133,""en"",""de"")"),"favorisieren")</f>
        <v>favorisieren</v>
      </c>
      <c r="H1133" s="2" t="str">
        <f ca="1">IFERROR(__xludf.DUMMYFUNCTION("GOOGLETRANSLATE(B1133,""en"",""zh"")"),"恩宠")</f>
        <v>恩宠</v>
      </c>
      <c r="I1133" s="2" t="str">
        <f ca="1">IFERROR(__xludf.DUMMYFUNCTION("GOOGLETRANSLATE(B1133,""en"",""gd"")"),"fàbhar")</f>
        <v>fàbhar</v>
      </c>
    </row>
    <row r="1134" spans="1:9" ht="14.25" customHeight="1" x14ac:dyDescent="0.3">
      <c r="A1134" s="2">
        <v>1133</v>
      </c>
      <c r="B1134" s="3" t="s">
        <v>1141</v>
      </c>
      <c r="C1134" s="2" t="str">
        <f ca="1">IFERROR(__xludf.DUMMYFUNCTION("GOOGLETRANSLATE(B1134, ""en"",""es"")"),"seco")</f>
        <v>seco</v>
      </c>
      <c r="D1134" s="2" t="str">
        <f ca="1">IFERROR(__xludf.DUMMYFUNCTION("GOOGLETRANSLATE(B1134,""en"",""ig"")"),"okponku")</f>
        <v>okponku</v>
      </c>
      <c r="E1134" s="2" t="str">
        <f ca="1">IFERROR(__xludf.DUMMYFUNCTION("GOOGLETRANSLATE(B1134,""en"",""fr"")"),"sec")</f>
        <v>sec</v>
      </c>
      <c r="F1134" s="2" t="str">
        <f ca="1">IFERROR(__xludf.DUMMYFUNCTION("GOOGLETRANSLATE(B1134,""en"",""it"")"),"Asciutto")</f>
        <v>Asciutto</v>
      </c>
      <c r="G1134" s="2" t="str">
        <f ca="1">IFERROR(__xludf.DUMMYFUNCTION("GOOGLETRANSLATE(B1134,""en"",""de"")"),"trocken")</f>
        <v>trocken</v>
      </c>
      <c r="H1134" s="2" t="str">
        <f ca="1">IFERROR(__xludf.DUMMYFUNCTION("GOOGLETRANSLATE(B1134,""en"",""zh"")"),"干燥")</f>
        <v>干燥</v>
      </c>
      <c r="I1134" s="2" t="str">
        <f ca="1">IFERROR(__xludf.DUMMYFUNCTION("GOOGLETRANSLATE(B1134,""en"",""gd"")"),"tioram")</f>
        <v>tioram</v>
      </c>
    </row>
    <row r="1135" spans="1:9" ht="14.25" customHeight="1" x14ac:dyDescent="0.3">
      <c r="A1135" s="2">
        <v>1134</v>
      </c>
      <c r="B1135" s="3" t="s">
        <v>1142</v>
      </c>
      <c r="C1135" s="2" t="str">
        <f ca="1">IFERROR(__xludf.DUMMYFUNCTION("GOOGLETRANSLATE(B1135, ""en"",""es"")"),"pareja")</f>
        <v>pareja</v>
      </c>
      <c r="D1135" s="2" t="str">
        <f ca="1">IFERROR(__xludf.DUMMYFUNCTION("GOOGLETRANSLATE(B1135,""en"",""ig"")"),"onyenrukooru nwoke")</f>
        <v>onyenrukooru nwoke</v>
      </c>
      <c r="E1135" s="2" t="str">
        <f ca="1">IFERROR(__xludf.DUMMYFUNCTION("GOOGLETRANSLATE(B1135,""en"",""fr"")"),"partenaire")</f>
        <v>partenaire</v>
      </c>
      <c r="F1135" s="2" t="str">
        <f ca="1">IFERROR(__xludf.DUMMYFUNCTION("GOOGLETRANSLATE(B1135,""en"",""it"")"),"compagno")</f>
        <v>compagno</v>
      </c>
      <c r="G1135" s="2" t="str">
        <f ca="1">IFERROR(__xludf.DUMMYFUNCTION("GOOGLETRANSLATE(B1135,""en"",""de"")"),"Partner")</f>
        <v>Partner</v>
      </c>
      <c r="H1135" s="2" t="str">
        <f ca="1">IFERROR(__xludf.DUMMYFUNCTION("GOOGLETRANSLATE(B1135,""en"",""zh"")"),"伙伴")</f>
        <v>伙伴</v>
      </c>
      <c r="I1135" s="2" t="str">
        <f ca="1">IFERROR(__xludf.DUMMYFUNCTION("GOOGLETRANSLATE(B1135,""en"",""gd"")"),"com-pàirtiche")</f>
        <v>com-pàirtiche</v>
      </c>
    </row>
    <row r="1136" spans="1:9" ht="14.25" customHeight="1" x14ac:dyDescent="0.3">
      <c r="A1136" s="2">
        <v>1135</v>
      </c>
      <c r="B1136" s="3" t="s">
        <v>1143</v>
      </c>
      <c r="C1136" s="2" t="str">
        <f ca="1">IFERROR(__xludf.DUMMYFUNCTION("GOOGLETRANSLATE(B1136, ""en"",""es"")"),"institución")</f>
        <v>institución</v>
      </c>
      <c r="D1136" s="2" t="str">
        <f ca="1">IFERROR(__xludf.DUMMYFUNCTION("GOOGLETRANSLATE(B1136,""en"",""ig"")"),"ewumewu")</f>
        <v>ewumewu</v>
      </c>
      <c r="E1136" s="2" t="str">
        <f ca="1">IFERROR(__xludf.DUMMYFUNCTION("GOOGLETRANSLATE(B1136,""en"",""fr"")"),"institution")</f>
        <v>institution</v>
      </c>
      <c r="F1136" s="2" t="str">
        <f ca="1">IFERROR(__xludf.DUMMYFUNCTION("GOOGLETRANSLATE(B1136,""en"",""it"")"),"istituzione")</f>
        <v>istituzione</v>
      </c>
      <c r="G1136" s="2" t="str">
        <f ca="1">IFERROR(__xludf.DUMMYFUNCTION("GOOGLETRANSLATE(B1136,""en"",""de"")"),"Institution")</f>
        <v>Institution</v>
      </c>
      <c r="H1136" s="2" t="str">
        <f ca="1">IFERROR(__xludf.DUMMYFUNCTION("GOOGLETRANSLATE(B1136,""en"",""zh"")"),"机构")</f>
        <v>机构</v>
      </c>
      <c r="I1136" s="2" t="str">
        <f ca="1">IFERROR(__xludf.DUMMYFUNCTION("GOOGLETRANSLATE(B1136,""en"",""gd"")"),"Institiùd")</f>
        <v>Institiùd</v>
      </c>
    </row>
    <row r="1137" spans="1:9" ht="14.25" customHeight="1" x14ac:dyDescent="0.3">
      <c r="A1137" s="2">
        <v>1136</v>
      </c>
      <c r="B1137" s="3" t="s">
        <v>1144</v>
      </c>
      <c r="C1137" s="2" t="str">
        <f ca="1">IFERROR(__xludf.DUMMYFUNCTION("GOOGLETRANSLATE(B1137, ""en"",""es"")"),"lugar")</f>
        <v>lugar</v>
      </c>
      <c r="D1137" s="2" t="str">
        <f ca="1">IFERROR(__xludf.DUMMYFUNCTION("GOOGLETRANSLATE(B1137,""en"",""ig"")"),"ntupo")</f>
        <v>ntupo</v>
      </c>
      <c r="E1137" s="2" t="str">
        <f ca="1">IFERROR(__xludf.DUMMYFUNCTION("GOOGLETRANSLATE(B1137,""en"",""fr"")"),"place")</f>
        <v>place</v>
      </c>
      <c r="F1137" s="2" t="str">
        <f ca="1">IFERROR(__xludf.DUMMYFUNCTION("GOOGLETRANSLATE(B1137,""en"",""it"")"),"macchiare")</f>
        <v>macchiare</v>
      </c>
      <c r="G1137" s="2" t="str">
        <f ca="1">IFERROR(__xludf.DUMMYFUNCTION("GOOGLETRANSLATE(B1137,""en"",""de"")"),"Stelle")</f>
        <v>Stelle</v>
      </c>
      <c r="H1137" s="2" t="str">
        <f ca="1">IFERROR(__xludf.DUMMYFUNCTION("GOOGLETRANSLATE(B1137,""en"",""zh"")"),"点")</f>
        <v>点</v>
      </c>
      <c r="I1137" s="2" t="str">
        <f ca="1">IFERROR(__xludf.DUMMYFUNCTION("GOOGLETRANSLATE(B1137,""en"",""gd"")"),"spot")</f>
        <v>spot</v>
      </c>
    </row>
    <row r="1138" spans="1:9" ht="14.25" customHeight="1" x14ac:dyDescent="0.3">
      <c r="A1138" s="2">
        <v>1137</v>
      </c>
      <c r="B1138" s="3" t="s">
        <v>1145</v>
      </c>
      <c r="C1138" s="2" t="str">
        <f ca="1">IFERROR(__xludf.DUMMYFUNCTION("GOOGLETRANSLATE(B1138, ""en"",""es"")"),"caballo")</f>
        <v>caballo</v>
      </c>
      <c r="D1138" s="2" t="str">
        <f ca="1">IFERROR(__xludf.DUMMYFUNCTION("GOOGLETRANSLATE(B1138,""en"",""ig"")"),"inyinya")</f>
        <v>inyinya</v>
      </c>
      <c r="E1138" s="2" t="str">
        <f ca="1">IFERROR(__xludf.DUMMYFUNCTION("GOOGLETRANSLATE(B1138,""en"",""fr"")"),"cheval")</f>
        <v>cheval</v>
      </c>
      <c r="F1138" s="2" t="str">
        <f ca="1">IFERROR(__xludf.DUMMYFUNCTION("GOOGLETRANSLATE(B1138,""en"",""it"")"),"cavallo")</f>
        <v>cavallo</v>
      </c>
      <c r="G1138" s="2" t="str">
        <f ca="1">IFERROR(__xludf.DUMMYFUNCTION("GOOGLETRANSLATE(B1138,""en"",""de"")"),"Pferd")</f>
        <v>Pferd</v>
      </c>
      <c r="H1138" s="2" t="str">
        <f ca="1">IFERROR(__xludf.DUMMYFUNCTION("GOOGLETRANSLATE(B1138,""en"",""zh"")"),"马")</f>
        <v>马</v>
      </c>
      <c r="I1138" s="2" t="str">
        <f ca="1">IFERROR(__xludf.DUMMYFUNCTION("GOOGLETRANSLATE(B1138,""en"",""gd"")"),"each")</f>
        <v>each</v>
      </c>
    </row>
    <row r="1139" spans="1:9" ht="14.25" customHeight="1" x14ac:dyDescent="0.3">
      <c r="A1139" s="2">
        <v>1138</v>
      </c>
      <c r="B1139" s="3" t="s">
        <v>1146</v>
      </c>
      <c r="C1139" s="2" t="str">
        <f ca="1">IFERROR(__xludf.DUMMYFUNCTION("GOOGLETRANSLATE(B1139, ""en"",""es"")"),"eventualmente")</f>
        <v>eventualmente</v>
      </c>
      <c r="D1139" s="2" t="str">
        <f ca="1">IFERROR(__xludf.DUMMYFUNCTION("GOOGLETRANSLATE(B1139,""en"",""ig"")"),"n'ikpeazu")</f>
        <v>n'ikpeazu</v>
      </c>
      <c r="E1139" s="2" t="str">
        <f ca="1">IFERROR(__xludf.DUMMYFUNCTION("GOOGLETRANSLATE(B1139,""en"",""fr"")"),"finalement")</f>
        <v>finalement</v>
      </c>
      <c r="F1139" s="2" t="str">
        <f ca="1">IFERROR(__xludf.DUMMYFUNCTION("GOOGLETRANSLATE(B1139,""en"",""it"")"),"infine")</f>
        <v>infine</v>
      </c>
      <c r="G1139" s="2" t="str">
        <f ca="1">IFERROR(__xludf.DUMMYFUNCTION("GOOGLETRANSLATE(B1139,""en"",""de"")"),"letztlich")</f>
        <v>letztlich</v>
      </c>
      <c r="H1139" s="2" t="str">
        <f ca="1">IFERROR(__xludf.DUMMYFUNCTION("GOOGLETRANSLATE(B1139,""en"",""zh"")"),"最终")</f>
        <v>最终</v>
      </c>
      <c r="I1139" s="2" t="str">
        <f ca="1">IFERROR(__xludf.DUMMYFUNCTION("GOOGLETRANSLATE(B1139,""en"",""gd"")"),"Mu dheireadh thall")</f>
        <v>Mu dheireadh thall</v>
      </c>
    </row>
    <row r="1140" spans="1:9" ht="14.25" customHeight="1" x14ac:dyDescent="0.3">
      <c r="A1140" s="2">
        <v>1139</v>
      </c>
      <c r="B1140" s="3" t="s">
        <v>1147</v>
      </c>
      <c r="C1140" s="2" t="str">
        <f ca="1">IFERROR(__xludf.DUMMYFUNCTION("GOOGLETRANSLATE(B1140, ""en"",""es"")"),"calor")</f>
        <v>calor</v>
      </c>
      <c r="D1140" s="2" t="str">
        <f ca="1">IFERROR(__xludf.DUMMYFUNCTION("GOOGLETRANSLATE(B1140,""en"",""ig"")"),"ekpomooku")</f>
        <v>ekpomooku</v>
      </c>
      <c r="E1140" s="2" t="str">
        <f ca="1">IFERROR(__xludf.DUMMYFUNCTION("GOOGLETRANSLATE(B1140,""en"",""fr"")"),"chaleur")</f>
        <v>chaleur</v>
      </c>
      <c r="F1140" s="2" t="str">
        <f ca="1">IFERROR(__xludf.DUMMYFUNCTION("GOOGLETRANSLATE(B1140,""en"",""it"")"),"Calore")</f>
        <v>Calore</v>
      </c>
      <c r="G1140" s="2" t="str">
        <f ca="1">IFERROR(__xludf.DUMMYFUNCTION("GOOGLETRANSLATE(B1140,""en"",""de"")"),"Hitze")</f>
        <v>Hitze</v>
      </c>
      <c r="H1140" s="2" t="str">
        <f ca="1">IFERROR(__xludf.DUMMYFUNCTION("GOOGLETRANSLATE(B1140,""en"",""zh"")"),"热")</f>
        <v>热</v>
      </c>
      <c r="I1140" s="2" t="str">
        <f ca="1">IFERROR(__xludf.DUMMYFUNCTION("GOOGLETRANSLATE(B1140,""en"",""gd"")"),"teas")</f>
        <v>teas</v>
      </c>
    </row>
    <row r="1141" spans="1:9" ht="14.25" customHeight="1" x14ac:dyDescent="0.3">
      <c r="A1141" s="2">
        <v>1140</v>
      </c>
      <c r="B1141" s="3" t="s">
        <v>1148</v>
      </c>
      <c r="C1141" s="2" t="str">
        <f ca="1">IFERROR(__xludf.DUMMYFUNCTION("GOOGLETRANSLATE(B1141, ""en"",""es"")"),"excitar")</f>
        <v>excitar</v>
      </c>
      <c r="D1141" s="2" t="str">
        <f ca="1">IFERROR(__xludf.DUMMYFUNCTION("GOOGLETRANSLATE(B1141,""en"",""ig"")"),"amaghi ka odi")</f>
        <v>amaghi ka odi</v>
      </c>
      <c r="E1141" s="2" t="str">
        <f ca="1">IFERROR(__xludf.DUMMYFUNCTION("GOOGLETRANSLATE(B1141,""en"",""fr"")"),"exciter")</f>
        <v>exciter</v>
      </c>
      <c r="F1141" s="2" t="str">
        <f ca="1">IFERROR(__xludf.DUMMYFUNCTION("GOOGLETRANSLATE(B1141,""en"",""it"")"),"eccitare")</f>
        <v>eccitare</v>
      </c>
      <c r="G1141" s="2" t="str">
        <f ca="1">IFERROR(__xludf.DUMMYFUNCTION("GOOGLETRANSLATE(B1141,""en"",""de"")"),"anregen")</f>
        <v>anregen</v>
      </c>
      <c r="H1141" s="2" t="str">
        <f ca="1">IFERROR(__xludf.DUMMYFUNCTION("GOOGLETRANSLATE(B1141,""en"",""zh"")"),"激发")</f>
        <v>激发</v>
      </c>
      <c r="I1141" s="2" t="str">
        <f ca="1">IFERROR(__xludf.DUMMYFUNCTION("GOOGLETRANSLATE(B1141,""en"",""gd"")"),"exvite")</f>
        <v>exvite</v>
      </c>
    </row>
    <row r="1142" spans="1:9" ht="14.25" customHeight="1" x14ac:dyDescent="0.3">
      <c r="A1142" s="2">
        <v>1141</v>
      </c>
      <c r="B1142" s="3" t="s">
        <v>1149</v>
      </c>
      <c r="C1142" s="2" t="str">
        <f ca="1">IFERROR(__xludf.DUMMYFUNCTION("GOOGLETRANSLATE(B1142, ""en"",""es"")"),"lector")</f>
        <v>lector</v>
      </c>
      <c r="D1142" s="2" t="str">
        <f ca="1">IFERROR(__xludf.DUMMYFUNCTION("GOOGLETRANSLATE(B1142,""en"",""ig"")"),"ogu akwukwo nwoke")</f>
        <v>ogu akwukwo nwoke</v>
      </c>
      <c r="E1142" s="2" t="str">
        <f ca="1">IFERROR(__xludf.DUMMYFUNCTION("GOOGLETRANSLATE(B1142,""en"",""fr"")"),"lecteur")</f>
        <v>lecteur</v>
      </c>
      <c r="F1142" s="2" t="str">
        <f ca="1">IFERROR(__xludf.DUMMYFUNCTION("GOOGLETRANSLATE(B1142,""en"",""it"")"),"lettore")</f>
        <v>lettore</v>
      </c>
      <c r="G1142" s="2" t="str">
        <f ca="1">IFERROR(__xludf.DUMMYFUNCTION("GOOGLETRANSLATE(B1142,""en"",""de"")"),"Leser")</f>
        <v>Leser</v>
      </c>
      <c r="H1142" s="2" t="str">
        <f ca="1">IFERROR(__xludf.DUMMYFUNCTION("GOOGLETRANSLATE(B1142,""en"",""zh"")"),"读者")</f>
        <v>读者</v>
      </c>
      <c r="I1142" s="2" t="str">
        <f ca="1">IFERROR(__xludf.DUMMYFUNCTION("GOOGLETRANSLATE(B1142,""en"",""gd"")"),"Leughadair")</f>
        <v>Leughadair</v>
      </c>
    </row>
    <row r="1143" spans="1:9" ht="14.25" customHeight="1" x14ac:dyDescent="0.3">
      <c r="A1143" s="2">
        <v>1142</v>
      </c>
      <c r="B1143" s="3" t="s">
        <v>1150</v>
      </c>
      <c r="C1143" s="2" t="str">
        <f ca="1">IFERROR(__xludf.DUMMYFUNCTION("GOOGLETRANSLATE(B1143, ""en"",""es"")"),"importancia")</f>
        <v>importancia</v>
      </c>
      <c r="D1143" s="2" t="str">
        <f ca="1">IFERROR(__xludf.DUMMYFUNCTION("GOOGLETRANSLATE(B1143,""en"",""ig"")"),"uru")</f>
        <v>uru</v>
      </c>
      <c r="E1143" s="2" t="str">
        <f ca="1">IFERROR(__xludf.DUMMYFUNCTION("GOOGLETRANSLATE(B1143,""en"",""fr"")"),"importance")</f>
        <v>importance</v>
      </c>
      <c r="F1143" s="2" t="str">
        <f ca="1">IFERROR(__xludf.DUMMYFUNCTION("GOOGLETRANSLATE(B1143,""en"",""it"")"),"importanza")</f>
        <v>importanza</v>
      </c>
      <c r="G1143" s="2" t="str">
        <f ca="1">IFERROR(__xludf.DUMMYFUNCTION("GOOGLETRANSLATE(B1143,""en"",""de"")"),"Bedeutung")</f>
        <v>Bedeutung</v>
      </c>
      <c r="H1143" s="2" t="str">
        <f ca="1">IFERROR(__xludf.DUMMYFUNCTION("GOOGLETRANSLATE(B1143,""en"",""zh"")"),"重要性")</f>
        <v>重要性</v>
      </c>
      <c r="I1143" s="2" t="str">
        <f ca="1">IFERROR(__xludf.DUMMYFUNCTION("GOOGLETRANSLATE(B1143,""en"",""gd"")"),"cudromachd")</f>
        <v>cudromachd</v>
      </c>
    </row>
    <row r="1144" spans="1:9" ht="14.25" customHeight="1" x14ac:dyDescent="0.3">
      <c r="A1144" s="2">
        <v>1143</v>
      </c>
      <c r="B1144" s="3" t="s">
        <v>1151</v>
      </c>
      <c r="C1144" s="2" t="str">
        <f ca="1">IFERROR(__xludf.DUMMYFUNCTION("GOOGLETRANSLATE(B1144, ""en"",""es"")"),"distancia")</f>
        <v>distancia</v>
      </c>
      <c r="D1144" s="2" t="str">
        <f ca="1">IFERROR(__xludf.DUMMYFUNCTION("GOOGLETRANSLATE(B1144,""en"",""ig"")"),"ntoanya")</f>
        <v>ntoanya</v>
      </c>
      <c r="E1144" s="2" t="str">
        <f ca="1">IFERROR(__xludf.DUMMYFUNCTION("GOOGLETRANSLATE(B1144,""en"",""fr"")"),"distance")</f>
        <v>distance</v>
      </c>
      <c r="F1144" s="2" t="str">
        <f ca="1">IFERROR(__xludf.DUMMYFUNCTION("GOOGLETRANSLATE(B1144,""en"",""it"")"),"distanza")</f>
        <v>distanza</v>
      </c>
      <c r="G1144" s="2" t="str">
        <f ca="1">IFERROR(__xludf.DUMMYFUNCTION("GOOGLETRANSLATE(B1144,""en"",""de"")"),"Distanz")</f>
        <v>Distanz</v>
      </c>
      <c r="H1144" s="2" t="str">
        <f ca="1">IFERROR(__xludf.DUMMYFUNCTION("GOOGLETRANSLATE(B1144,""en"",""zh"")"),"距离")</f>
        <v>距离</v>
      </c>
      <c r="I1144" s="2" t="str">
        <f ca="1">IFERROR(__xludf.DUMMYFUNCTION("GOOGLETRANSLATE(B1144,""en"",""gd"")"),"astar")</f>
        <v>astar</v>
      </c>
    </row>
    <row r="1145" spans="1:9" ht="14.25" customHeight="1" x14ac:dyDescent="0.3">
      <c r="A1145" s="2">
        <v>1144</v>
      </c>
      <c r="B1145" s="3" t="s">
        <v>1152</v>
      </c>
      <c r="C1145" s="2" t="str">
        <f ca="1">IFERROR(__xludf.DUMMYFUNCTION("GOOGLETRANSLATE(B1145, ""en"",""es"")"),"guía")</f>
        <v>guía</v>
      </c>
      <c r="D1145" s="2" t="str">
        <f ca="1">IFERROR(__xludf.DUMMYFUNCTION("GOOGLETRANSLATE(B1145,""en"",""ig"")"),"izi ozizi")</f>
        <v>izi ozizi</v>
      </c>
      <c r="E1145" s="2" t="str">
        <f ca="1">IFERROR(__xludf.DUMMYFUNCTION("GOOGLETRANSLATE(B1145,""en"",""fr"")"),"guide")</f>
        <v>guide</v>
      </c>
      <c r="F1145" s="2" t="str">
        <f ca="1">IFERROR(__xludf.DUMMYFUNCTION("GOOGLETRANSLATE(B1145,""en"",""it"")"),"guida")</f>
        <v>guida</v>
      </c>
      <c r="G1145" s="2" t="str">
        <f ca="1">IFERROR(__xludf.DUMMYFUNCTION("GOOGLETRANSLATE(B1145,""en"",""de"")"),"Führung")</f>
        <v>Führung</v>
      </c>
      <c r="H1145" s="2" t="str">
        <f ca="1">IFERROR(__xludf.DUMMYFUNCTION("GOOGLETRANSLATE(B1145,""en"",""zh"")"),"指导")</f>
        <v>指导</v>
      </c>
      <c r="I1145" s="2" t="str">
        <f ca="1">IFERROR(__xludf.DUMMYFUNCTION("GOOGLETRANSLATE(B1145,""en"",""gd"")"),"Stiùireadh")</f>
        <v>Stiùireadh</v>
      </c>
    </row>
    <row r="1146" spans="1:9" ht="14.25" customHeight="1" x14ac:dyDescent="0.3">
      <c r="A1146" s="2">
        <v>1145</v>
      </c>
      <c r="B1146" s="3" t="s">
        <v>1153</v>
      </c>
      <c r="C1146" s="2" t="str">
        <f ca="1">IFERROR(__xludf.DUMMYFUNCTION("GOOGLETRANSLATE(B1146, ""en"",""es"")"),"conceder")</f>
        <v>conceder</v>
      </c>
      <c r="D1146" s="2" t="str">
        <f ca="1">IFERROR(__xludf.DUMMYFUNCTION("GOOGLETRANSLATE(B1146,""en"",""ig"")"),"inyere aka")</f>
        <v>inyere aka</v>
      </c>
      <c r="E1146" s="2" t="str">
        <f ca="1">IFERROR(__xludf.DUMMYFUNCTION("GOOGLETRANSLATE(B1146,""en"",""fr"")"),"accorder")</f>
        <v>accorder</v>
      </c>
      <c r="F1146" s="2" t="str">
        <f ca="1">IFERROR(__xludf.DUMMYFUNCTION("GOOGLETRANSLATE(B1146,""en"",""it"")"),"concessione")</f>
        <v>concessione</v>
      </c>
      <c r="G1146" s="2" t="str">
        <f ca="1">IFERROR(__xludf.DUMMYFUNCTION("GOOGLETRANSLATE(B1146,""en"",""de"")"),"gewähren")</f>
        <v>gewähren</v>
      </c>
      <c r="H1146" s="2" t="str">
        <f ca="1">IFERROR(__xludf.DUMMYFUNCTION("GOOGLETRANSLATE(B1146,""en"",""zh"")"),"授予")</f>
        <v>授予</v>
      </c>
      <c r="I1146" s="2" t="str">
        <f ca="1">IFERROR(__xludf.DUMMYFUNCTION("GOOGLETRANSLATE(B1146,""en"",""gd"")"),"Tabhartas")</f>
        <v>Tabhartas</v>
      </c>
    </row>
    <row r="1147" spans="1:9" ht="14.25" customHeight="1" x14ac:dyDescent="0.3">
      <c r="A1147" s="2">
        <v>1146</v>
      </c>
      <c r="B1147" s="3" t="s">
        <v>1154</v>
      </c>
      <c r="C1147" s="2" t="str">
        <f ca="1">IFERROR(__xludf.DUMMYFUNCTION("GOOGLETRANSLATE(B1147, ""en"",""es"")"),"Taxi")</f>
        <v>Taxi</v>
      </c>
      <c r="D1147" s="2" t="str">
        <f ca="1">IFERROR(__xludf.DUMMYFUNCTION("GOOGLETRANSLATE(B1147,""en"",""ig"")"),"taxi")</f>
        <v>taxi</v>
      </c>
      <c r="E1147" s="2" t="str">
        <f ca="1">IFERROR(__xludf.DUMMYFUNCTION("GOOGLETRANSLATE(B1147,""en"",""fr"")"),"Taxi")</f>
        <v>Taxi</v>
      </c>
      <c r="F1147" s="2" t="str">
        <f ca="1">IFERROR(__xludf.DUMMYFUNCTION("GOOGLETRANSLATE(B1147,""en"",""it"")"),"Taxi")</f>
        <v>Taxi</v>
      </c>
      <c r="G1147" s="2" t="str">
        <f ca="1">IFERROR(__xludf.DUMMYFUNCTION("GOOGLETRANSLATE(B1147,""en"",""de"")"),"Taxi")</f>
        <v>Taxi</v>
      </c>
      <c r="H1147" s="2" t="str">
        <f ca="1">IFERROR(__xludf.DUMMYFUNCTION("GOOGLETRANSLATE(B1147,""en"",""zh"")"),"出租车")</f>
        <v>出租车</v>
      </c>
      <c r="I1147" s="2" t="str">
        <f ca="1">IFERROR(__xludf.DUMMYFUNCTION("GOOGLETRANSLATE(B1147,""en"",""gd"")"),"tacsaidh")</f>
        <v>tacsaidh</v>
      </c>
    </row>
    <row r="1148" spans="1:9" ht="14.25" customHeight="1" x14ac:dyDescent="0.3">
      <c r="A1148" s="2">
        <v>1147</v>
      </c>
      <c r="B1148" s="3" t="s">
        <v>1155</v>
      </c>
      <c r="C1148" s="2" t="str">
        <f ca="1">IFERROR(__xludf.DUMMYFUNCTION("GOOGLETRANSLATE(B1148, ""en"",""es"")"),"alimentar")</f>
        <v>alimentar</v>
      </c>
      <c r="D1148" s="2" t="str">
        <f ca="1">IFERROR(__xludf.DUMMYFUNCTION("GOOGLETRANSLATE(B1148,""en"",""ig"")"),"oriri")</f>
        <v>oriri</v>
      </c>
      <c r="E1148" s="2" t="str">
        <f ca="1">IFERROR(__xludf.DUMMYFUNCTION("GOOGLETRANSLATE(B1148,""en"",""fr"")"),"alimentation")</f>
        <v>alimentation</v>
      </c>
      <c r="F1148" s="2" t="str">
        <f ca="1">IFERROR(__xludf.DUMMYFUNCTION("GOOGLETRANSLATE(B1148,""en"",""it"")"),"foraggio")</f>
        <v>foraggio</v>
      </c>
      <c r="G1148" s="2" t="str">
        <f ca="1">IFERROR(__xludf.DUMMYFUNCTION("GOOGLETRANSLATE(B1148,""en"",""de"")"),"füttern")</f>
        <v>füttern</v>
      </c>
      <c r="H1148" s="2" t="str">
        <f ca="1">IFERROR(__xludf.DUMMYFUNCTION("GOOGLETRANSLATE(B1148,""en"",""zh"")"),"喂养")</f>
        <v>喂养</v>
      </c>
      <c r="I1148" s="2" t="str">
        <f ca="1">IFERROR(__xludf.DUMMYFUNCTION("GOOGLETRANSLATE(B1148,""en"",""gd"")"),"Biadhadh")</f>
        <v>Biadhadh</v>
      </c>
    </row>
    <row r="1149" spans="1:9" ht="14.25" customHeight="1" x14ac:dyDescent="0.3">
      <c r="A1149" s="2">
        <v>1148</v>
      </c>
      <c r="B1149" s="3" t="s">
        <v>1156</v>
      </c>
      <c r="C1149" s="2" t="str">
        <f ca="1">IFERROR(__xludf.DUMMYFUNCTION("GOOGLETRANSLATE(B1149, ""en"",""es"")"),"dolor")</f>
        <v>dolor</v>
      </c>
      <c r="D1149" s="2" t="str">
        <f ca="1">IFERROR(__xludf.DUMMYFUNCTION("GOOGLETRANSLATE(B1149,""en"",""ig"")"),"mgbu")</f>
        <v>mgbu</v>
      </c>
      <c r="E1149" s="2" t="str">
        <f ca="1">IFERROR(__xludf.DUMMYFUNCTION("GOOGLETRANSLATE(B1149,""en"",""fr"")"),"douleur")</f>
        <v>douleur</v>
      </c>
      <c r="F1149" s="2" t="str">
        <f ca="1">IFERROR(__xludf.DUMMYFUNCTION("GOOGLETRANSLATE(B1149,""en"",""it"")"),"Dolore")</f>
        <v>Dolore</v>
      </c>
      <c r="G1149" s="2" t="str">
        <f ca="1">IFERROR(__xludf.DUMMYFUNCTION("GOOGLETRANSLATE(B1149,""en"",""de"")"),"Schmerz")</f>
        <v>Schmerz</v>
      </c>
      <c r="H1149" s="2" t="str">
        <f ca="1">IFERROR(__xludf.DUMMYFUNCTION("GOOGLETRANSLATE(B1149,""en"",""zh"")"),"疼痛")</f>
        <v>疼痛</v>
      </c>
      <c r="I1149" s="2" t="str">
        <f ca="1">IFERROR(__xludf.DUMMYFUNCTION("GOOGLETRANSLATE(B1149,""en"",""gd"")"),"pian")</f>
        <v>pian</v>
      </c>
    </row>
    <row r="1150" spans="1:9" ht="14.25" customHeight="1" x14ac:dyDescent="0.3">
      <c r="A1150" s="2">
        <v>1149</v>
      </c>
      <c r="B1150" s="3" t="s">
        <v>1157</v>
      </c>
      <c r="C1150" s="2" t="str">
        <f ca="1">IFERROR(__xludf.DUMMYFUNCTION("GOOGLETRANSLATE(B1150, ""en"",""es"")"),"sector")</f>
        <v>sector</v>
      </c>
      <c r="D1150" s="2" t="str">
        <f ca="1">IFERROR(__xludf.DUMMYFUNCTION("GOOGLETRANSLATE(B1150,""en"",""ig"")"),"mpaghara")</f>
        <v>mpaghara</v>
      </c>
      <c r="E1150" s="2" t="str">
        <f ca="1">IFERROR(__xludf.DUMMYFUNCTION("GOOGLETRANSLATE(B1150,""en"",""fr"")"),"secteur")</f>
        <v>secteur</v>
      </c>
      <c r="F1150" s="2" t="str">
        <f ca="1">IFERROR(__xludf.DUMMYFUNCTION("GOOGLETRANSLATE(B1150,""en"",""it"")"),"settore")</f>
        <v>settore</v>
      </c>
      <c r="G1150" s="2" t="str">
        <f ca="1">IFERROR(__xludf.DUMMYFUNCTION("GOOGLETRANSLATE(B1150,""en"",""de"")"),"Sektor")</f>
        <v>Sektor</v>
      </c>
      <c r="H1150" s="2" t="str">
        <f ca="1">IFERROR(__xludf.DUMMYFUNCTION("GOOGLETRANSLATE(B1150,""en"",""zh"")"),"部门")</f>
        <v>部门</v>
      </c>
      <c r="I1150" s="2" t="str">
        <f ca="1">IFERROR(__xludf.DUMMYFUNCTION("GOOGLETRANSLATE(B1150,""en"",""gd"")"),"Roinn")</f>
        <v>Roinn</v>
      </c>
    </row>
    <row r="1151" spans="1:9" ht="14.25" customHeight="1" x14ac:dyDescent="0.3">
      <c r="A1151" s="2">
        <v>1150</v>
      </c>
      <c r="B1151" s="3" t="s">
        <v>1158</v>
      </c>
      <c r="C1151" s="2" t="str">
        <f ca="1">IFERROR(__xludf.DUMMYFUNCTION("GOOGLETRANSLATE(B1151, ""en"",""es"")"),"error")</f>
        <v>error</v>
      </c>
      <c r="D1151" s="2" t="str">
        <f ca="1">IFERROR(__xludf.DUMMYFUNCTION("GOOGLETRANSLATE(B1151,""en"",""ig"")"),"mmejo")</f>
        <v>mmejo</v>
      </c>
      <c r="E1151" s="2" t="str">
        <f ca="1">IFERROR(__xludf.DUMMYFUNCTION("GOOGLETRANSLATE(B1151,""en"",""fr"")"),"erreur")</f>
        <v>erreur</v>
      </c>
      <c r="F1151" s="2" t="str">
        <f ca="1">IFERROR(__xludf.DUMMYFUNCTION("GOOGLETRANSLATE(B1151,""en"",""it"")"),"errore")</f>
        <v>errore</v>
      </c>
      <c r="G1151" s="2" t="str">
        <f ca="1">IFERROR(__xludf.DUMMYFUNCTION("GOOGLETRANSLATE(B1151,""en"",""de"")"),"Fehler")</f>
        <v>Fehler</v>
      </c>
      <c r="H1151" s="2" t="str">
        <f ca="1">IFERROR(__xludf.DUMMYFUNCTION("GOOGLETRANSLATE(B1151,""en"",""zh"")"),"错误")</f>
        <v>错误</v>
      </c>
      <c r="I1151" s="2" t="str">
        <f ca="1">IFERROR(__xludf.DUMMYFUNCTION("GOOGLETRANSLATE(B1151,""en"",""gd"")"),"mearachd")</f>
        <v>mearachd</v>
      </c>
    </row>
    <row r="1152" spans="1:9" ht="14.25" customHeight="1" x14ac:dyDescent="0.3">
      <c r="A1152" s="2">
        <v>1151</v>
      </c>
      <c r="B1152" s="3" t="s">
        <v>1159</v>
      </c>
      <c r="C1152" s="2" t="str">
        <f ca="1">IFERROR(__xludf.DUMMYFUNCTION("GOOGLETRANSLATE(B1152, ""en"",""es"")"),"asegurar")</f>
        <v>asegurar</v>
      </c>
      <c r="D1152" s="2" t="str">
        <f ca="1">IFERROR(__xludf.DUMMYFUNCTION("GOOGLETRANSLATE(B1152,""en"",""ig"")"),"ihu na emere")</f>
        <v>ihu na emere</v>
      </c>
      <c r="E1152" s="2" t="str">
        <f ca="1">IFERROR(__xludf.DUMMYFUNCTION("GOOGLETRANSLATE(B1152,""en"",""fr"")"),"assurer")</f>
        <v>assurer</v>
      </c>
      <c r="F1152" s="2" t="str">
        <f ca="1">IFERROR(__xludf.DUMMYFUNCTION("GOOGLETRANSLATE(B1152,""en"",""it"")"),"garantire")</f>
        <v>garantire</v>
      </c>
      <c r="G1152" s="2" t="str">
        <f ca="1">IFERROR(__xludf.DUMMYFUNCTION("GOOGLETRANSLATE(B1152,""en"",""de"")"),"sicherstellen")</f>
        <v>sicherstellen</v>
      </c>
      <c r="H1152" s="2" t="str">
        <f ca="1">IFERROR(__xludf.DUMMYFUNCTION("GOOGLETRANSLATE(B1152,""en"",""zh"")"),"确保")</f>
        <v>确保</v>
      </c>
      <c r="I1152" s="2" t="str">
        <f ca="1">IFERROR(__xludf.DUMMYFUNCTION("GOOGLETRANSLATE(B1152,""en"",""gd"")"),"Dèan cinnteach")</f>
        <v>Dèan cinnteach</v>
      </c>
    </row>
    <row r="1153" spans="1:9" ht="14.25" customHeight="1" x14ac:dyDescent="0.3">
      <c r="A1153" s="2">
        <v>1152</v>
      </c>
      <c r="B1153" s="3" t="s">
        <v>1160</v>
      </c>
      <c r="C1153" s="2" t="str">
        <f ca="1">IFERROR(__xludf.DUMMYFUNCTION("GOOGLETRANSLATE(B1153, ""en"",""es"")"),"satisfacer")</f>
        <v>satisfacer</v>
      </c>
      <c r="D1153" s="2" t="str">
        <f ca="1">IFERROR(__xludf.DUMMYFUNCTION("GOOGLETRANSLATE(B1153,""en"",""ig"")"),"juafo")</f>
        <v>juafo</v>
      </c>
      <c r="E1153" s="2" t="str">
        <f ca="1">IFERROR(__xludf.DUMMYFUNCTION("GOOGLETRANSLATE(B1153,""en"",""fr"")"),"satisfaire")</f>
        <v>satisfaire</v>
      </c>
      <c r="F1153" s="2" t="str">
        <f ca="1">IFERROR(__xludf.DUMMYFUNCTION("GOOGLETRANSLATE(B1153,""en"",""it"")"),"soddisfare")</f>
        <v>soddisfare</v>
      </c>
      <c r="G1153" s="2" t="str">
        <f ca="1">IFERROR(__xludf.DUMMYFUNCTION("GOOGLETRANSLATE(B1153,""en"",""de"")"),"erfüllen")</f>
        <v>erfüllen</v>
      </c>
      <c r="H1153" s="2" t="str">
        <f ca="1">IFERROR(__xludf.DUMMYFUNCTION("GOOGLETRANSLATE(B1153,""en"",""zh"")"),"满足")</f>
        <v>满足</v>
      </c>
      <c r="I1153" s="2" t="str">
        <f ca="1">IFERROR(__xludf.DUMMYFUNCTION("GOOGLETRANSLATE(B1153,""en"",""gd"")"),"sàsachadh")</f>
        <v>sàsachadh</v>
      </c>
    </row>
    <row r="1154" spans="1:9" ht="14.25" customHeight="1" x14ac:dyDescent="0.3">
      <c r="A1154" s="2">
        <v>1153</v>
      </c>
      <c r="B1154" s="3" t="s">
        <v>1161</v>
      </c>
      <c r="C1154" s="2" t="str">
        <f ca="1">IFERROR(__xludf.DUMMYFUNCTION("GOOGLETRANSLATE(B1154, ""en"",""es"")"),"jefe")</f>
        <v>jefe</v>
      </c>
      <c r="D1154" s="2" t="str">
        <f ca="1">IFERROR(__xludf.DUMMYFUNCTION("GOOGLETRANSLATE(B1154,""en"",""ig"")"),"chiifu")</f>
        <v>chiifu</v>
      </c>
      <c r="E1154" s="2" t="str">
        <f ca="1">IFERROR(__xludf.DUMMYFUNCTION("GOOGLETRANSLATE(B1154,""en"",""fr"")"),"chef")</f>
        <v>chef</v>
      </c>
      <c r="F1154" s="2" t="str">
        <f ca="1">IFERROR(__xludf.DUMMYFUNCTION("GOOGLETRANSLATE(B1154,""en"",""it"")"),"capo")</f>
        <v>capo</v>
      </c>
      <c r="G1154" s="2" t="str">
        <f ca="1">IFERROR(__xludf.DUMMYFUNCTION("GOOGLETRANSLATE(B1154,""en"",""de"")"),"Chef")</f>
        <v>Chef</v>
      </c>
      <c r="H1154" s="2" t="str">
        <f ca="1">IFERROR(__xludf.DUMMYFUNCTION("GOOGLETRANSLATE(B1154,""en"",""zh"")"),"首席")</f>
        <v>首席</v>
      </c>
      <c r="I1154" s="2" t="str">
        <f ca="1">IFERROR(__xludf.DUMMYFUNCTION("GOOGLETRANSLATE(B1154,""en"",""gd"")"),"Ceannard")</f>
        <v>Ceannard</v>
      </c>
    </row>
    <row r="1155" spans="1:9" ht="14.25" customHeight="1" x14ac:dyDescent="0.3">
      <c r="A1155" s="2">
        <v>1154</v>
      </c>
      <c r="B1155" s="3" t="s">
        <v>1162</v>
      </c>
      <c r="C1155" s="2" t="str">
        <f ca="1">IFERROR(__xludf.DUMMYFUNCTION("GOOGLETRANSLATE(B1155, ""en"",""es"")"),"Frío")</f>
        <v>Frío</v>
      </c>
      <c r="D1155" s="2" t="str">
        <f ca="1">IFERROR(__xludf.DUMMYFUNCTION("GOOGLETRANSLATE(B1155,""en"",""ig"")"),"kenwayo")</f>
        <v>kenwayo</v>
      </c>
      <c r="E1155" s="2" t="str">
        <f ca="1">IFERROR(__xludf.DUMMYFUNCTION("GOOGLETRANSLATE(B1155,""en"",""fr"")"),"cool")</f>
        <v>cool</v>
      </c>
      <c r="F1155" s="2" t="str">
        <f ca="1">IFERROR(__xludf.DUMMYFUNCTION("GOOGLETRANSLATE(B1155,""en"",""it"")"),"Freddo")</f>
        <v>Freddo</v>
      </c>
      <c r="G1155" s="2" t="str">
        <f ca="1">IFERROR(__xludf.DUMMYFUNCTION("GOOGLETRANSLATE(B1155,""en"",""de"")"),"Cool")</f>
        <v>Cool</v>
      </c>
      <c r="H1155" s="2" t="str">
        <f ca="1">IFERROR(__xludf.DUMMYFUNCTION("GOOGLETRANSLATE(B1155,""en"",""zh"")"),"凉爽的")</f>
        <v>凉爽的</v>
      </c>
      <c r="I1155" s="2" t="str">
        <f ca="1">IFERROR(__xludf.DUMMYFUNCTION("GOOGLETRANSLATE(B1155,""en"",""gd"")"),"tarraingeach")</f>
        <v>tarraingeach</v>
      </c>
    </row>
    <row r="1156" spans="1:9" ht="14.25" customHeight="1" x14ac:dyDescent="0.3">
      <c r="A1156" s="2">
        <v>1155</v>
      </c>
      <c r="B1156" s="3" t="s">
        <v>1163</v>
      </c>
      <c r="C1156" s="2" t="str">
        <f ca="1">IFERROR(__xludf.DUMMYFUNCTION("GOOGLETRANSLATE(B1156, ""en"",""es"")"),"experto")</f>
        <v>experto</v>
      </c>
      <c r="D1156" s="2" t="str">
        <f ca="1">IFERROR(__xludf.DUMMYFUNCTION("GOOGLETRANSLATE(B1156,""en"",""ig"")"),"dioka")</f>
        <v>dioka</v>
      </c>
      <c r="E1156" s="2" t="str">
        <f ca="1">IFERROR(__xludf.DUMMYFUNCTION("GOOGLETRANSLATE(B1156,""en"",""fr"")"),"expert")</f>
        <v>expert</v>
      </c>
      <c r="F1156" s="2" t="str">
        <f ca="1">IFERROR(__xludf.DUMMYFUNCTION("GOOGLETRANSLATE(B1156,""en"",""it"")"),"esperto")</f>
        <v>esperto</v>
      </c>
      <c r="G1156" s="2" t="str">
        <f ca="1">IFERROR(__xludf.DUMMYFUNCTION("GOOGLETRANSLATE(B1156,""en"",""de"")"),"Experte")</f>
        <v>Experte</v>
      </c>
      <c r="H1156" s="2" t="str">
        <f ca="1">IFERROR(__xludf.DUMMYFUNCTION("GOOGLETRANSLATE(B1156,""en"",""zh"")"),"专家")</f>
        <v>专家</v>
      </c>
      <c r="I1156" s="2" t="str">
        <f ca="1">IFERROR(__xludf.DUMMYFUNCTION("GOOGLETRANSLATE(B1156,""en"",""gd"")"),"eòlaiche")</f>
        <v>eòlaiche</v>
      </c>
    </row>
    <row r="1157" spans="1:9" ht="14.25" customHeight="1" x14ac:dyDescent="0.3">
      <c r="A1157" s="2">
        <v>1156</v>
      </c>
      <c r="B1157" s="3" t="s">
        <v>1164</v>
      </c>
      <c r="C1157" s="2" t="str">
        <f ca="1">IFERROR(__xludf.DUMMYFUNCTION("GOOGLETRANSLATE(B1157, ""en"",""es"")"),"ola")</f>
        <v>ola</v>
      </c>
      <c r="D1157" s="2" t="str">
        <f ca="1">IFERROR(__xludf.DUMMYFUNCTION("GOOGLETRANSLATE(B1157,""en"",""ig"")"),"fee")</f>
        <v>fee</v>
      </c>
      <c r="E1157" s="2" t="str">
        <f ca="1">IFERROR(__xludf.DUMMYFUNCTION("GOOGLETRANSLATE(B1157,""en"",""fr"")"),"vague")</f>
        <v>vague</v>
      </c>
      <c r="F1157" s="2" t="str">
        <f ca="1">IFERROR(__xludf.DUMMYFUNCTION("GOOGLETRANSLATE(B1157,""en"",""it"")"),"onda")</f>
        <v>onda</v>
      </c>
      <c r="G1157" s="2" t="str">
        <f ca="1">IFERROR(__xludf.DUMMYFUNCTION("GOOGLETRANSLATE(B1157,""en"",""de"")"),"Welle")</f>
        <v>Welle</v>
      </c>
      <c r="H1157" s="2" t="str">
        <f ca="1">IFERROR(__xludf.DUMMYFUNCTION("GOOGLETRANSLATE(B1157,""en"",""zh"")"),"海浪")</f>
        <v>海浪</v>
      </c>
      <c r="I1157" s="2" t="str">
        <f ca="1">IFERROR(__xludf.DUMMYFUNCTION("GOOGLETRANSLATE(B1157,""en"",""gd"")"),"tonn")</f>
        <v>tonn</v>
      </c>
    </row>
    <row r="1158" spans="1:9" ht="14.25" customHeight="1" x14ac:dyDescent="0.3">
      <c r="A1158" s="2">
        <v>1157</v>
      </c>
      <c r="B1158" s="3" t="s">
        <v>1165</v>
      </c>
      <c r="C1158" s="2" t="str">
        <f ca="1">IFERROR(__xludf.DUMMYFUNCTION("GOOGLETRANSLATE(B1158, ""en"",""es"")"),"sur")</f>
        <v>sur</v>
      </c>
      <c r="D1158" s="2" t="str">
        <f ca="1">IFERROR(__xludf.DUMMYFUNCTION("GOOGLETRANSLATE(B1158,""en"",""ig"")"),"ndida")</f>
        <v>ndida</v>
      </c>
      <c r="E1158" s="2" t="str">
        <f ca="1">IFERROR(__xludf.DUMMYFUNCTION("GOOGLETRANSLATE(B1158,""en"",""fr"")"),"sud")</f>
        <v>sud</v>
      </c>
      <c r="F1158" s="2" t="str">
        <f ca="1">IFERROR(__xludf.DUMMYFUNCTION("GOOGLETRANSLATE(B1158,""en"",""it"")"),"Sud")</f>
        <v>Sud</v>
      </c>
      <c r="G1158" s="2" t="str">
        <f ca="1">IFERROR(__xludf.DUMMYFUNCTION("GOOGLETRANSLATE(B1158,""en"",""de"")"),"Süd")</f>
        <v>Süd</v>
      </c>
      <c r="H1158" s="2" t="str">
        <f ca="1">IFERROR(__xludf.DUMMYFUNCTION("GOOGLETRANSLATE(B1158,""en"",""zh"")"),"南")</f>
        <v>南</v>
      </c>
      <c r="I1158" s="2" t="str">
        <f ca="1">IFERROR(__xludf.DUMMYFUNCTION("GOOGLETRANSLATE(B1158,""en"",""gd"")"),"deas")</f>
        <v>deas</v>
      </c>
    </row>
    <row r="1159" spans="1:9" ht="14.25" customHeight="1" x14ac:dyDescent="0.3">
      <c r="A1159" s="2">
        <v>1158</v>
      </c>
      <c r="B1159" s="3" t="s">
        <v>1166</v>
      </c>
      <c r="C1159" s="2" t="str">
        <f ca="1">IFERROR(__xludf.DUMMYFUNCTION("GOOGLETRANSLATE(B1159, ""en"",""es"")"),"mano de obra")</f>
        <v>mano de obra</v>
      </c>
      <c r="D1159" s="2" t="str">
        <f ca="1">IFERROR(__xludf.DUMMYFUNCTION("GOOGLETRANSLATE(B1159,""en"",""ig"")"),"ime omume")</f>
        <v>ime omume</v>
      </c>
      <c r="E1159" s="2" t="str">
        <f ca="1">IFERROR(__xludf.DUMMYFUNCTION("GOOGLETRANSLATE(B1159,""en"",""fr"")"),"travail")</f>
        <v>travail</v>
      </c>
      <c r="F1159" s="2" t="str">
        <f ca="1">IFERROR(__xludf.DUMMYFUNCTION("GOOGLETRANSLATE(B1159,""en"",""it"")"),"lavoro")</f>
        <v>lavoro</v>
      </c>
      <c r="G1159" s="2" t="str">
        <f ca="1">IFERROR(__xludf.DUMMYFUNCTION("GOOGLETRANSLATE(B1159,""en"",""de"")"),"Arbeit")</f>
        <v>Arbeit</v>
      </c>
      <c r="H1159" s="2" t="str">
        <f ca="1">IFERROR(__xludf.DUMMYFUNCTION("GOOGLETRANSLATE(B1159,""en"",""zh"")"),"劳动")</f>
        <v>劳动</v>
      </c>
      <c r="I1159" s="2" t="str">
        <f ca="1">IFERROR(__xludf.DUMMYFUNCTION("GOOGLETRANSLATE(B1159,""en"",""gd"")"),"Làbarach")</f>
        <v>Làbarach</v>
      </c>
    </row>
    <row r="1160" spans="1:9" ht="14.25" customHeight="1" x14ac:dyDescent="0.3">
      <c r="A1160" s="2">
        <v>1159</v>
      </c>
      <c r="B1160" s="3" t="s">
        <v>1167</v>
      </c>
      <c r="C1160" s="2" t="str">
        <f ca="1">IFERROR(__xludf.DUMMYFUNCTION("GOOGLETRANSLATE(B1160, ""en"",""es"")"),"superficie")</f>
        <v>superficie</v>
      </c>
      <c r="D1160" s="2" t="str">
        <f ca="1">IFERROR(__xludf.DUMMYFUNCTION("GOOGLETRANSLATE(B1160,""en"",""ig"")"),"elu")</f>
        <v>elu</v>
      </c>
      <c r="E1160" s="2" t="str">
        <f ca="1">IFERROR(__xludf.DUMMYFUNCTION("GOOGLETRANSLATE(B1160,""en"",""fr"")"),"surface")</f>
        <v>surface</v>
      </c>
      <c r="F1160" s="2" t="str">
        <f ca="1">IFERROR(__xludf.DUMMYFUNCTION("GOOGLETRANSLATE(B1160,""en"",""it"")"),"superficie")</f>
        <v>superficie</v>
      </c>
      <c r="G1160" s="2" t="str">
        <f ca="1">IFERROR(__xludf.DUMMYFUNCTION("GOOGLETRANSLATE(B1160,""en"",""de"")"),"Oberfläche")</f>
        <v>Oberfläche</v>
      </c>
      <c r="H1160" s="2" t="str">
        <f ca="1">IFERROR(__xludf.DUMMYFUNCTION("GOOGLETRANSLATE(B1160,""en"",""zh"")"),"表面")</f>
        <v>表面</v>
      </c>
      <c r="I1160" s="2" t="str">
        <f ca="1">IFERROR(__xludf.DUMMYFUNCTION("GOOGLETRANSLATE(B1160,""en"",""gd"")"),"uachdar")</f>
        <v>uachdar</v>
      </c>
    </row>
    <row r="1161" spans="1:9" ht="14.25" customHeight="1" x14ac:dyDescent="0.3">
      <c r="A1161" s="2">
        <v>1160</v>
      </c>
      <c r="B1161" s="3" t="s">
        <v>1168</v>
      </c>
      <c r="C1161" s="2" t="str">
        <f ca="1">IFERROR(__xludf.DUMMYFUNCTION("GOOGLETRANSLATE(B1161, ""en"",""es"")"),"biblioteca")</f>
        <v>biblioteca</v>
      </c>
      <c r="D1161" s="2" t="str">
        <f ca="1">IFERROR(__xludf.DUMMYFUNCTION("GOOGLETRANSLATE(B1161,""en"",""ig"")"),"oba akwukwo")</f>
        <v>oba akwukwo</v>
      </c>
      <c r="E1161" s="2" t="str">
        <f ca="1">IFERROR(__xludf.DUMMYFUNCTION("GOOGLETRANSLATE(B1161,""en"",""fr"")"),"bibliothèque")</f>
        <v>bibliothèque</v>
      </c>
      <c r="F1161" s="2" t="str">
        <f ca="1">IFERROR(__xludf.DUMMYFUNCTION("GOOGLETRANSLATE(B1161,""en"",""it"")"),"biblioteca")</f>
        <v>biblioteca</v>
      </c>
      <c r="G1161" s="2" t="str">
        <f ca="1">IFERROR(__xludf.DUMMYFUNCTION("GOOGLETRANSLATE(B1161,""en"",""de"")"),"Bibliothek")</f>
        <v>Bibliothek</v>
      </c>
      <c r="H1161" s="2" t="str">
        <f ca="1">IFERROR(__xludf.DUMMYFUNCTION("GOOGLETRANSLATE(B1161,""en"",""zh"")"),"图书馆")</f>
        <v>图书馆</v>
      </c>
      <c r="I1161" s="2" t="str">
        <f ca="1">IFERROR(__xludf.DUMMYFUNCTION("GOOGLETRANSLATE(B1161,""en"",""gd"")"),"Leabharlann")</f>
        <v>Leabharlann</v>
      </c>
    </row>
    <row r="1162" spans="1:9" ht="14.25" customHeight="1" x14ac:dyDescent="0.3">
      <c r="A1162" s="2">
        <v>1161</v>
      </c>
      <c r="B1162" s="3" t="s">
        <v>1169</v>
      </c>
      <c r="C1162" s="2" t="str">
        <f ca="1">IFERROR(__xludf.DUMMYFUNCTION("GOOGLETRANSLATE(B1162, ""en"",""es"")"),"excelente")</f>
        <v>excelente</v>
      </c>
      <c r="D1162" s="2" t="str">
        <f ca="1">IFERROR(__xludf.DUMMYFUNCTION("GOOGLETRANSLATE(B1162,""en"",""ig"")"),"kacha mma")</f>
        <v>kacha mma</v>
      </c>
      <c r="E1162" s="2" t="str">
        <f ca="1">IFERROR(__xludf.DUMMYFUNCTION("GOOGLETRANSLATE(B1162,""en"",""fr"")"),"excellent")</f>
        <v>excellent</v>
      </c>
      <c r="F1162" s="2" t="str">
        <f ca="1">IFERROR(__xludf.DUMMYFUNCTION("GOOGLETRANSLATE(B1162,""en"",""it"")"),"eccellente")</f>
        <v>eccellente</v>
      </c>
      <c r="G1162" s="2" t="str">
        <f ca="1">IFERROR(__xludf.DUMMYFUNCTION("GOOGLETRANSLATE(B1162,""en"",""de"")"),"exzellent")</f>
        <v>exzellent</v>
      </c>
      <c r="H1162" s="2" t="str">
        <f ca="1">IFERROR(__xludf.DUMMYFUNCTION("GOOGLETRANSLATE(B1162,""en"",""zh"")"),"出色的")</f>
        <v>出色的</v>
      </c>
      <c r="I1162" s="2" t="str">
        <f ca="1">IFERROR(__xludf.DUMMYFUNCTION("GOOGLETRANSLATE(B1162,""en"",""gd"")"),"Sgoinneil")</f>
        <v>Sgoinneil</v>
      </c>
    </row>
    <row r="1163" spans="1:9" ht="14.25" customHeight="1" x14ac:dyDescent="0.3">
      <c r="A1163" s="2">
        <v>1162</v>
      </c>
      <c r="B1163" s="3" t="s">
        <v>1170</v>
      </c>
      <c r="C1163" s="2" t="str">
        <f ca="1">IFERROR(__xludf.DUMMYFUNCTION("GOOGLETRANSLATE(B1163, ""en"",""es"")"),"borde")</f>
        <v>borde</v>
      </c>
      <c r="D1163" s="2" t="str">
        <f ca="1">IFERROR(__xludf.DUMMYFUNCTION("GOOGLETRANSLATE(B1163,""en"",""ig"")"),"onu")</f>
        <v>onu</v>
      </c>
      <c r="E1163" s="2" t="str">
        <f ca="1">IFERROR(__xludf.DUMMYFUNCTION("GOOGLETRANSLATE(B1163,""en"",""fr"")"),"bord")</f>
        <v>bord</v>
      </c>
      <c r="F1163" s="2" t="str">
        <f ca="1">IFERROR(__xludf.DUMMYFUNCTION("GOOGLETRANSLATE(B1163,""en"",""it"")"),"bordo")</f>
        <v>bordo</v>
      </c>
      <c r="G1163" s="2" t="str">
        <f ca="1">IFERROR(__xludf.DUMMYFUNCTION("GOOGLETRANSLATE(B1163,""en"",""de"")"),"Rand")</f>
        <v>Rand</v>
      </c>
      <c r="H1163" s="2" t="str">
        <f ca="1">IFERROR(__xludf.DUMMYFUNCTION("GOOGLETRANSLATE(B1163,""en"",""zh"")"),"边缘")</f>
        <v>边缘</v>
      </c>
      <c r="I1163" s="2" t="str">
        <f ca="1">IFERROR(__xludf.DUMMYFUNCTION("GOOGLETRANSLATE(B1163,""en"",""gd"")"),"oir")</f>
        <v>oir</v>
      </c>
    </row>
    <row r="1164" spans="1:9" ht="14.25" customHeight="1" x14ac:dyDescent="0.3">
      <c r="A1164" s="2">
        <v>1163</v>
      </c>
      <c r="B1164" s="3" t="s">
        <v>1171</v>
      </c>
      <c r="C1164" s="2" t="str">
        <f ca="1">IFERROR(__xludf.DUMMYFUNCTION("GOOGLETRANSLATE(B1164, ""en"",""es"")"),"acampar")</f>
        <v>acampar</v>
      </c>
      <c r="D1164" s="2" t="str">
        <f ca="1">IFERROR(__xludf.DUMMYFUNCTION("GOOGLETRANSLATE(B1164,""en"",""ig"")"),"kampu")</f>
        <v>kampu</v>
      </c>
      <c r="E1164" s="2" t="str">
        <f ca="1">IFERROR(__xludf.DUMMYFUNCTION("GOOGLETRANSLATE(B1164,""en"",""fr"")"),"camp")</f>
        <v>camp</v>
      </c>
      <c r="F1164" s="2" t="str">
        <f ca="1">IFERROR(__xludf.DUMMYFUNCTION("GOOGLETRANSLATE(B1164,""en"",""it"")"),"campo")</f>
        <v>campo</v>
      </c>
      <c r="G1164" s="2" t="str">
        <f ca="1">IFERROR(__xludf.DUMMYFUNCTION("GOOGLETRANSLATE(B1164,""en"",""de"")"),"Lager")</f>
        <v>Lager</v>
      </c>
      <c r="H1164" s="2" t="str">
        <f ca="1">IFERROR(__xludf.DUMMYFUNCTION("GOOGLETRANSLATE(B1164,""en"",""zh"")"),"营")</f>
        <v>营</v>
      </c>
      <c r="I1164" s="2" t="str">
        <f ca="1">IFERROR(__xludf.DUMMYFUNCTION("GOOGLETRANSLATE(B1164,""en"",""gd"")"),"Campa")</f>
        <v>Campa</v>
      </c>
    </row>
    <row r="1165" spans="1:9" ht="14.25" customHeight="1" x14ac:dyDescent="0.3">
      <c r="A1165" s="2">
        <v>1164</v>
      </c>
      <c r="B1165" s="3" t="s">
        <v>1172</v>
      </c>
      <c r="C1165" s="2" t="str">
        <f ca="1">IFERROR(__xludf.DUMMYFUNCTION("GOOGLETRANSLATE(B1165, ""en"",""es"")"),"audiencia")</f>
        <v>audiencia</v>
      </c>
      <c r="D1165" s="2" t="str">
        <f ca="1">IFERROR(__xludf.DUMMYFUNCTION("GOOGLETRANSLATE(B1165,""en"",""ig"")"),"ndi nkiri")</f>
        <v>ndi nkiri</v>
      </c>
      <c r="E1165" s="2" t="str">
        <f ca="1">IFERROR(__xludf.DUMMYFUNCTION("GOOGLETRANSLATE(B1165,""en"",""fr"")"),"public")</f>
        <v>public</v>
      </c>
      <c r="F1165" s="2" t="str">
        <f ca="1">IFERROR(__xludf.DUMMYFUNCTION("GOOGLETRANSLATE(B1165,""en"",""it"")"),"pubblico")</f>
        <v>pubblico</v>
      </c>
      <c r="G1165" s="2" t="str">
        <f ca="1">IFERROR(__xludf.DUMMYFUNCTION("GOOGLETRANSLATE(B1165,""en"",""de"")"),"Publikum")</f>
        <v>Publikum</v>
      </c>
      <c r="H1165" s="2" t="str">
        <f ca="1">IFERROR(__xludf.DUMMYFUNCTION("GOOGLETRANSLATE(B1165,""en"",""zh"")"),"观众")</f>
        <v>观众</v>
      </c>
      <c r="I1165" s="2" t="str">
        <f ca="1">IFERROR(__xludf.DUMMYFUNCTION("GOOGLETRANSLATE(B1165,""en"",""gd"")"),"Luchd-amais")</f>
        <v>Luchd-amais</v>
      </c>
    </row>
    <row r="1166" spans="1:9" ht="14.25" customHeight="1" x14ac:dyDescent="0.3">
      <c r="A1166" s="2">
        <v>1165</v>
      </c>
      <c r="B1166" s="3" t="s">
        <v>1173</v>
      </c>
      <c r="C1166" s="2" t="str">
        <f ca="1">IFERROR(__xludf.DUMMYFUNCTION("GOOGLETRANSLATE(B1166, ""en"",""es"")"),"elevar")</f>
        <v>elevar</v>
      </c>
      <c r="D1166" s="2" t="str">
        <f ca="1">IFERROR(__xludf.DUMMYFUNCTION("GOOGLETRANSLATE(B1166,""en"",""ig"")"),"inwego")</f>
        <v>inwego</v>
      </c>
      <c r="E1166" s="2" t="str">
        <f ca="1">IFERROR(__xludf.DUMMYFUNCTION("GOOGLETRANSLATE(B1166,""en"",""fr"")"),"ascenseur")</f>
        <v>ascenseur</v>
      </c>
      <c r="F1166" s="2" t="str">
        <f ca="1">IFERROR(__xludf.DUMMYFUNCTION("GOOGLETRANSLATE(B1166,""en"",""it"")"),"sollevare")</f>
        <v>sollevare</v>
      </c>
      <c r="G1166" s="2" t="str">
        <f ca="1">IFERROR(__xludf.DUMMYFUNCTION("GOOGLETRANSLATE(B1166,""en"",""de"")"),"Aufzug")</f>
        <v>Aufzug</v>
      </c>
      <c r="H1166" s="2" t="str">
        <f ca="1">IFERROR(__xludf.DUMMYFUNCTION("GOOGLETRANSLATE(B1166,""en"",""zh"")"),"举起")</f>
        <v>举起</v>
      </c>
      <c r="I1166" s="2" t="str">
        <f ca="1">IFERROR(__xludf.DUMMYFUNCTION("GOOGLETRANSLATE(B1166,""en"",""gd"")"),"lioft")</f>
        <v>lioft</v>
      </c>
    </row>
    <row r="1167" spans="1:9" ht="14.25" customHeight="1" x14ac:dyDescent="0.3">
      <c r="A1167" s="2">
        <v>1166</v>
      </c>
      <c r="B1167" s="3" t="s">
        <v>1174</v>
      </c>
      <c r="C1167" s="2" t="str">
        <f ca="1">IFERROR(__xludf.DUMMYFUNCTION("GOOGLETRANSLATE(B1167, ""en"",""es"")"),"procedimiento")</f>
        <v>procedimiento</v>
      </c>
      <c r="D1167" s="2" t="str">
        <f ca="1">IFERROR(__xludf.DUMMYFUNCTION("GOOGLETRANSLATE(B1167,""en"",""ig"")"),"uzo esi eme ihe")</f>
        <v>uzo esi eme ihe</v>
      </c>
      <c r="E1167" s="2" t="str">
        <f ca="1">IFERROR(__xludf.DUMMYFUNCTION("GOOGLETRANSLATE(B1167,""en"",""fr"")"),"procédure")</f>
        <v>procédure</v>
      </c>
      <c r="F1167" s="2" t="str">
        <f ca="1">IFERROR(__xludf.DUMMYFUNCTION("GOOGLETRANSLATE(B1167,""en"",""it"")"),"procedura")</f>
        <v>procedura</v>
      </c>
      <c r="G1167" s="2" t="str">
        <f ca="1">IFERROR(__xludf.DUMMYFUNCTION("GOOGLETRANSLATE(B1167,""en"",""de"")"),"Verfahren")</f>
        <v>Verfahren</v>
      </c>
      <c r="H1167" s="2" t="str">
        <f ca="1">IFERROR(__xludf.DUMMYFUNCTION("GOOGLETRANSLATE(B1167,""en"",""zh"")"),"程序")</f>
        <v>程序</v>
      </c>
      <c r="I1167" s="2" t="str">
        <f ca="1">IFERROR(__xludf.DUMMYFUNCTION("GOOGLETRANSLATE(B1167,""en"",""gd"")"),"modh-obrach")</f>
        <v>modh-obrach</v>
      </c>
    </row>
    <row r="1168" spans="1:9" ht="14.25" customHeight="1" x14ac:dyDescent="0.3">
      <c r="A1168" s="2">
        <v>1167</v>
      </c>
      <c r="B1168" s="3" t="s">
        <v>1175</v>
      </c>
      <c r="C1168" s="2" t="str">
        <f ca="1">IFERROR(__xludf.DUMMYFUNCTION("GOOGLETRANSLATE(B1168, ""en"",""es"")"),"correo electrónico")</f>
        <v>correo electrónico</v>
      </c>
      <c r="D1168" s="2" t="str">
        <f ca="1">IFERROR(__xludf.DUMMYFUNCTION("GOOGLETRANSLATE(B1168,""en"",""ig"")"),"eobi")</f>
        <v>eobi</v>
      </c>
      <c r="E1168" s="2" t="str">
        <f ca="1">IFERROR(__xludf.DUMMYFUNCTION("GOOGLETRANSLATE(B1168,""en"",""fr"")"),"e-mail")</f>
        <v>e-mail</v>
      </c>
      <c r="F1168" s="2" t="str">
        <f ca="1">IFERROR(__xludf.DUMMYFUNCTION("GOOGLETRANSLATE(B1168,""en"",""it"")"),"e-mail")</f>
        <v>e-mail</v>
      </c>
      <c r="G1168" s="2" t="str">
        <f ca="1">IFERROR(__xludf.DUMMYFUNCTION("GOOGLETRANSLATE(B1168,""en"",""de"")"),"Email")</f>
        <v>Email</v>
      </c>
      <c r="H1168" s="2" t="str">
        <f ca="1">IFERROR(__xludf.DUMMYFUNCTION("GOOGLETRANSLATE(B1168,""en"",""zh"")"),"电子邮件")</f>
        <v>电子邮件</v>
      </c>
      <c r="I1168" s="2" t="str">
        <f ca="1">IFERROR(__xludf.DUMMYFUNCTION("GOOGLETRANSLATE(B1168,""en"",""gd"")"),"Post-d")</f>
        <v>Post-d</v>
      </c>
    </row>
    <row r="1169" spans="1:9" ht="14.25" customHeight="1" x14ac:dyDescent="0.3">
      <c r="A1169" s="2">
        <v>1168</v>
      </c>
      <c r="B1169" s="3" t="s">
        <v>1176</v>
      </c>
      <c r="C1169" s="2" t="str">
        <f ca="1">IFERROR(__xludf.DUMMYFUNCTION("GOOGLETRANSLATE(B1169, ""en"",""es"")"),"global")</f>
        <v>global</v>
      </c>
      <c r="D1169" s="2" t="str">
        <f ca="1">IFERROR(__xludf.DUMMYFUNCTION("GOOGLETRANSLATE(B1169,""en"",""ig"")"),"uwa")</f>
        <v>uwa</v>
      </c>
      <c r="E1169" s="2" t="str">
        <f ca="1">IFERROR(__xludf.DUMMYFUNCTION("GOOGLETRANSLATE(B1169,""en"",""fr"")"),"mondial")</f>
        <v>mondial</v>
      </c>
      <c r="F1169" s="2" t="str">
        <f ca="1">IFERROR(__xludf.DUMMYFUNCTION("GOOGLETRANSLATE(B1169,""en"",""it"")"),"globale")</f>
        <v>globale</v>
      </c>
      <c r="G1169" s="2" t="str">
        <f ca="1">IFERROR(__xludf.DUMMYFUNCTION("GOOGLETRANSLATE(B1169,""en"",""de"")"),"global")</f>
        <v>global</v>
      </c>
      <c r="H1169" s="2" t="str">
        <f ca="1">IFERROR(__xludf.DUMMYFUNCTION("GOOGLETRANSLATE(B1169,""en"",""zh"")"),"全球的")</f>
        <v>全球的</v>
      </c>
      <c r="I1169" s="2" t="str">
        <f ca="1">IFERROR(__xludf.DUMMYFUNCTION("GOOGLETRANSLATE(B1169,""en"",""gd"")"),"Cruinneil")</f>
        <v>Cruinneil</v>
      </c>
    </row>
    <row r="1170" spans="1:9" ht="14.25" customHeight="1" x14ac:dyDescent="0.3">
      <c r="A1170" s="2">
        <v>1169</v>
      </c>
      <c r="B1170" s="3" t="s">
        <v>1177</v>
      </c>
      <c r="C1170" s="2" t="str">
        <f ca="1">IFERROR(__xludf.DUMMYFUNCTION("GOOGLETRANSLATE(B1170, ""en"",""es"")"),"lucha")</f>
        <v>lucha</v>
      </c>
      <c r="D1170" s="2" t="str">
        <f ca="1">IFERROR(__xludf.DUMMYFUNCTION("GOOGLETRANSLATE(B1170,""en"",""ig"")"),"ndoli")</f>
        <v>ndoli</v>
      </c>
      <c r="E1170" s="2" t="str">
        <f ca="1">IFERROR(__xludf.DUMMYFUNCTION("GOOGLETRANSLATE(B1170,""en"",""fr"")"),"lutte")</f>
        <v>lutte</v>
      </c>
      <c r="F1170" s="2" t="str">
        <f ca="1">IFERROR(__xludf.DUMMYFUNCTION("GOOGLETRANSLATE(B1170,""en"",""it"")"),"lotta")</f>
        <v>lotta</v>
      </c>
      <c r="G1170" s="2" t="str">
        <f ca="1">IFERROR(__xludf.DUMMYFUNCTION("GOOGLETRANSLATE(B1170,""en"",""de"")"),"Kampf")</f>
        <v>Kampf</v>
      </c>
      <c r="H1170" s="2" t="str">
        <f ca="1">IFERROR(__xludf.DUMMYFUNCTION("GOOGLETRANSLATE(B1170,""en"",""zh"")"),"斗争")</f>
        <v>斗争</v>
      </c>
      <c r="I1170" s="2" t="str">
        <f ca="1">IFERROR(__xludf.DUMMYFUNCTION("GOOGLETRANSLATE(B1170,""en"",""gd"")"),"strì")</f>
        <v>strì</v>
      </c>
    </row>
    <row r="1171" spans="1:9" ht="14.25" customHeight="1" x14ac:dyDescent="0.3">
      <c r="A1171" s="2">
        <v>1170</v>
      </c>
      <c r="B1171" s="3" t="s">
        <v>1178</v>
      </c>
      <c r="C1171" s="2" t="str">
        <f ca="1">IFERROR(__xludf.DUMMYFUNCTION("GOOGLETRANSLATE(B1171, ""en"",""es"")"),"anunciar")</f>
        <v>anunciar</v>
      </c>
      <c r="D1171" s="2" t="str">
        <f ca="1">IFERROR(__xludf.DUMMYFUNCTION("GOOGLETRANSLATE(B1171,""en"",""ig"")"),"igbasa ozi ahia")</f>
        <v>igbasa ozi ahia</v>
      </c>
      <c r="E1171" s="2" t="str">
        <f ca="1">IFERROR(__xludf.DUMMYFUNCTION("GOOGLETRANSLATE(B1171,""en"",""fr"")"),"afficher")</f>
        <v>afficher</v>
      </c>
      <c r="F1171" s="2" t="str">
        <f ca="1">IFERROR(__xludf.DUMMYFUNCTION("GOOGLETRANSLATE(B1171,""en"",""it"")"),"pubblicizzare")</f>
        <v>pubblicizzare</v>
      </c>
      <c r="G1171" s="2" t="str">
        <f ca="1">IFERROR(__xludf.DUMMYFUNCTION("GOOGLETRANSLATE(B1171,""en"",""de"")"),"werben")</f>
        <v>werben</v>
      </c>
      <c r="H1171" s="2" t="str">
        <f ca="1">IFERROR(__xludf.DUMMYFUNCTION("GOOGLETRANSLATE(B1171,""en"",""zh"")"),"广告")</f>
        <v>广告</v>
      </c>
      <c r="I1171" s="2" t="str">
        <f ca="1">IFERROR(__xludf.DUMMYFUNCTION("GOOGLETRANSLATE(B1171,""en"",""gd"")"),"Dèan sanasachd")</f>
        <v>Dèan sanasachd</v>
      </c>
    </row>
    <row r="1172" spans="1:9" ht="14.25" customHeight="1" x14ac:dyDescent="0.3">
      <c r="A1172" s="2">
        <v>1171</v>
      </c>
      <c r="B1172" s="3" t="s">
        <v>1179</v>
      </c>
      <c r="C1172" s="2" t="str">
        <f ca="1">IFERROR(__xludf.DUMMYFUNCTION("GOOGLETRANSLATE(B1172, ""en"",""es"")"),"seleccionar")</f>
        <v>seleccionar</v>
      </c>
      <c r="D1172" s="2" t="str">
        <f ca="1">IFERROR(__xludf.DUMMYFUNCTION("GOOGLETRANSLATE(B1172,""en"",""ig"")"),"ighoputa")</f>
        <v>ighoputa</v>
      </c>
      <c r="E1172" s="2" t="str">
        <f ca="1">IFERROR(__xludf.DUMMYFUNCTION("GOOGLETRANSLATE(B1172,""en"",""fr"")"),"sélectionner")</f>
        <v>sélectionner</v>
      </c>
      <c r="F1172" s="2" t="str">
        <f ca="1">IFERROR(__xludf.DUMMYFUNCTION("GOOGLETRANSLATE(B1172,""en"",""it"")"),"Selezionare")</f>
        <v>Selezionare</v>
      </c>
      <c r="G1172" s="2" t="str">
        <f ca="1">IFERROR(__xludf.DUMMYFUNCTION("GOOGLETRANSLATE(B1172,""en"",""de"")"),"wählen")</f>
        <v>wählen</v>
      </c>
      <c r="H1172" s="2" t="str">
        <f ca="1">IFERROR(__xludf.DUMMYFUNCTION("GOOGLETRANSLATE(B1172,""en"",""zh"")"),"选择")</f>
        <v>选择</v>
      </c>
      <c r="I1172" s="2" t="str">
        <f ca="1">IFERROR(__xludf.DUMMYFUNCTION("GOOGLETRANSLATE(B1172,""en"",""gd"")"),"Tagh")</f>
        <v>Tagh</v>
      </c>
    </row>
    <row r="1173" spans="1:9" ht="14.25" customHeight="1" x14ac:dyDescent="0.3">
      <c r="A1173" s="2">
        <v>1172</v>
      </c>
      <c r="B1173" s="3" t="s">
        <v>1180</v>
      </c>
      <c r="C1173" s="2" t="str">
        <f ca="1">IFERROR(__xludf.DUMMYFUNCTION("GOOGLETRANSLATE(B1173, ""en"",""es"")"),"rodear")</f>
        <v>rodear</v>
      </c>
      <c r="D1173" s="2" t="str">
        <f ca="1">IFERROR(__xludf.DUMMYFUNCTION("GOOGLETRANSLATE(B1173,""en"",""ig"")"),"igbagburugburu")</f>
        <v>igbagburugburu</v>
      </c>
      <c r="E1173" s="2" t="str">
        <f ca="1">IFERROR(__xludf.DUMMYFUNCTION("GOOGLETRANSLATE(B1173,""en"",""fr"")"),"entourer")</f>
        <v>entourer</v>
      </c>
      <c r="F1173" s="2" t="str">
        <f ca="1">IFERROR(__xludf.DUMMYFUNCTION("GOOGLETRANSLATE(B1173,""en"",""it"")"),"circondarsi")</f>
        <v>circondarsi</v>
      </c>
      <c r="G1173" s="2" t="str">
        <f ca="1">IFERROR(__xludf.DUMMYFUNCTION("GOOGLETRANSLATE(B1173,""en"",""de"")"),"umgeben")</f>
        <v>umgeben</v>
      </c>
      <c r="H1173" s="2" t="str">
        <f ca="1">IFERROR(__xludf.DUMMYFUNCTION("GOOGLETRANSLATE(B1173,""en"",""zh"")"),"环绕")</f>
        <v>环绕</v>
      </c>
      <c r="I1173" s="2" t="str">
        <f ca="1">IFERROR(__xludf.DUMMYFUNCTION("GOOGLETRANSLATE(B1173,""en"",""gd"")"),"Cuairtich")</f>
        <v>Cuairtich</v>
      </c>
    </row>
    <row r="1174" spans="1:9" ht="14.25" customHeight="1" x14ac:dyDescent="0.3">
      <c r="A1174" s="2">
        <v>1173</v>
      </c>
      <c r="B1174" s="3" t="s">
        <v>1181</v>
      </c>
      <c r="C1174" s="2" t="str">
        <f ca="1">IFERROR(__xludf.DUMMYFUNCTION("GOOGLETRANSLATE(B1174, ""en"",""es"")"),"medida")</f>
        <v>medida</v>
      </c>
      <c r="D1174" s="2" t="str">
        <f ca="1">IFERROR(__xludf.DUMMYFUNCTION("GOOGLETRANSLATE(B1174,""en"",""ig"")"),"oruru")</f>
        <v>oruru</v>
      </c>
      <c r="E1174" s="2" t="str">
        <f ca="1">IFERROR(__xludf.DUMMYFUNCTION("GOOGLETRANSLATE(B1174,""en"",""fr"")"),"étendue")</f>
        <v>étendue</v>
      </c>
      <c r="F1174" s="2" t="str">
        <f ca="1">IFERROR(__xludf.DUMMYFUNCTION("GOOGLETRANSLATE(B1174,""en"",""it"")"),"estensione")</f>
        <v>estensione</v>
      </c>
      <c r="G1174" s="2" t="str">
        <f ca="1">IFERROR(__xludf.DUMMYFUNCTION("GOOGLETRANSLATE(B1174,""en"",""de"")"),"Ausmaß")</f>
        <v>Ausmaß</v>
      </c>
      <c r="H1174" s="2" t="str">
        <f ca="1">IFERROR(__xludf.DUMMYFUNCTION("GOOGLETRANSLATE(B1174,""en"",""zh"")"),"程度")</f>
        <v>程度</v>
      </c>
      <c r="I1174" s="2" t="str">
        <f ca="1">IFERROR(__xludf.DUMMYFUNCTION("GOOGLETRANSLATE(B1174,""en"",""gd"")"),"ìre")</f>
        <v>ìre</v>
      </c>
    </row>
    <row r="1175" spans="1:9" ht="14.25" customHeight="1" x14ac:dyDescent="0.3">
      <c r="A1175" s="2">
        <v>1174</v>
      </c>
      <c r="B1175" s="3" t="s">
        <v>1182</v>
      </c>
      <c r="C1175" s="2" t="str">
        <f ca="1">IFERROR(__xludf.DUMMYFUNCTION("GOOGLETRANSLATE(B1175, ""en"",""es"")"),"río")</f>
        <v>río</v>
      </c>
      <c r="D1175" s="2" t="str">
        <f ca="1">IFERROR(__xludf.DUMMYFUNCTION("GOOGLETRANSLATE(B1175,""en"",""ig"")"),"osimiri")</f>
        <v>osimiri</v>
      </c>
      <c r="E1175" s="2" t="str">
        <f ca="1">IFERROR(__xludf.DUMMYFUNCTION("GOOGLETRANSLATE(B1175,""en"",""fr"")"),"rivière")</f>
        <v>rivière</v>
      </c>
      <c r="F1175" s="2" t="str">
        <f ca="1">IFERROR(__xludf.DUMMYFUNCTION("GOOGLETRANSLATE(B1175,""en"",""it"")"),"fiume")</f>
        <v>fiume</v>
      </c>
      <c r="G1175" s="2" t="str">
        <f ca="1">IFERROR(__xludf.DUMMYFUNCTION("GOOGLETRANSLATE(B1175,""en"",""de"")"),"Fluss")</f>
        <v>Fluss</v>
      </c>
      <c r="H1175" s="2" t="str">
        <f ca="1">IFERROR(__xludf.DUMMYFUNCTION("GOOGLETRANSLATE(B1175,""en"",""zh"")"),"河")</f>
        <v>河</v>
      </c>
      <c r="I1175" s="2" t="str">
        <f ca="1">IFERROR(__xludf.DUMMYFUNCTION("GOOGLETRANSLATE(B1175,""en"",""gd"")"),"Abhainn")</f>
        <v>Abhainn</v>
      </c>
    </row>
    <row r="1176" spans="1:9" ht="14.25" customHeight="1" x14ac:dyDescent="0.3">
      <c r="A1176" s="2">
        <v>1175</v>
      </c>
      <c r="B1176" s="3" t="s">
        <v>1183</v>
      </c>
      <c r="C1176" s="2" t="str">
        <f ca="1">IFERROR(__xludf.DUMMYFUNCTION("GOOGLETRANSLATE(B1176, ""en"",""es"")"),"anual")</f>
        <v>anual</v>
      </c>
      <c r="D1176" s="2" t="str">
        <f ca="1">IFERROR(__xludf.DUMMYFUNCTION("GOOGLETRANSLATE(B1176,""en"",""ig"")"),"keafo")</f>
        <v>keafo</v>
      </c>
      <c r="E1176" s="2" t="str">
        <f ca="1">IFERROR(__xludf.DUMMYFUNCTION("GOOGLETRANSLATE(B1176,""en"",""fr"")"),"annuel")</f>
        <v>annuel</v>
      </c>
      <c r="F1176" s="2" t="str">
        <f ca="1">IFERROR(__xludf.DUMMYFUNCTION("GOOGLETRANSLATE(B1176,""en"",""it"")"),"annuale")</f>
        <v>annuale</v>
      </c>
      <c r="G1176" s="2" t="str">
        <f ca="1">IFERROR(__xludf.DUMMYFUNCTION("GOOGLETRANSLATE(B1176,""en"",""de"")"),"jährlich")</f>
        <v>jährlich</v>
      </c>
      <c r="H1176" s="2" t="str">
        <f ca="1">IFERROR(__xludf.DUMMYFUNCTION("GOOGLETRANSLATE(B1176,""en"",""zh"")"),"年度的")</f>
        <v>年度的</v>
      </c>
      <c r="I1176" s="2" t="str">
        <f ca="1">IFERROR(__xludf.DUMMYFUNCTION("GOOGLETRANSLATE(B1176,""en"",""gd"")"),"Bliadhnail Bliadhnail")</f>
        <v>Bliadhnail Bliadhnail</v>
      </c>
    </row>
    <row r="1177" spans="1:9" ht="14.25" customHeight="1" x14ac:dyDescent="0.3">
      <c r="A1177" s="2">
        <v>1176</v>
      </c>
      <c r="B1177" s="3" t="s">
        <v>1184</v>
      </c>
      <c r="C1177" s="2" t="str">
        <f ca="1">IFERROR(__xludf.DUMMYFUNCTION("GOOGLETRANSLATE(B1177, ""en"",""es"")"),"completamente")</f>
        <v>completamente</v>
      </c>
      <c r="D1177" s="2" t="str">
        <f ca="1">IFERROR(__xludf.DUMMYFUNCTION("GOOGLETRANSLATE(B1177,""en"",""ig"")"),"nke zuru oke")</f>
        <v>nke zuru oke</v>
      </c>
      <c r="E1177" s="2" t="str">
        <f ca="1">IFERROR(__xludf.DUMMYFUNCTION("GOOGLETRANSLATE(B1177,""en"",""fr"")"),"pleinement")</f>
        <v>pleinement</v>
      </c>
      <c r="F1177" s="2" t="str">
        <f ca="1">IFERROR(__xludf.DUMMYFUNCTION("GOOGLETRANSLATE(B1177,""en"",""it"")"),"completamente")</f>
        <v>completamente</v>
      </c>
      <c r="G1177" s="2" t="str">
        <f ca="1">IFERROR(__xludf.DUMMYFUNCTION("GOOGLETRANSLATE(B1177,""en"",""de"")"),"völlig")</f>
        <v>völlig</v>
      </c>
      <c r="H1177" s="2" t="str">
        <f ca="1">IFERROR(__xludf.DUMMYFUNCTION("GOOGLETRANSLATE(B1177,""en"",""zh"")"),"完全")</f>
        <v>完全</v>
      </c>
      <c r="I1177" s="2" t="str">
        <f ca="1">IFERROR(__xludf.DUMMYFUNCTION("GOOGLETRANSLATE(B1177,""en"",""gd"")"),"gu h-iomlan")</f>
        <v>gu h-iomlan</v>
      </c>
    </row>
    <row r="1178" spans="1:9" ht="14.25" customHeight="1" x14ac:dyDescent="0.3">
      <c r="A1178" s="2">
        <v>1177</v>
      </c>
      <c r="B1178" s="3" t="s">
        <v>1185</v>
      </c>
      <c r="C1178" s="2" t="str">
        <f ca="1">IFERROR(__xludf.DUMMYFUNCTION("GOOGLETRANSLATE(B1178, ""en"",""es"")"),"contraste")</f>
        <v>contraste</v>
      </c>
      <c r="D1178" s="2" t="str">
        <f ca="1">IFERROR(__xludf.DUMMYFUNCTION("GOOGLETRANSLATE(B1178,""en"",""ig"")"),"ndiiche")</f>
        <v>ndiiche</v>
      </c>
      <c r="E1178" s="2" t="str">
        <f ca="1">IFERROR(__xludf.DUMMYFUNCTION("GOOGLETRANSLATE(B1178,""en"",""fr"")"),"contraste")</f>
        <v>contraste</v>
      </c>
      <c r="F1178" s="2" t="str">
        <f ca="1">IFERROR(__xludf.DUMMYFUNCTION("GOOGLETRANSLATE(B1178,""en"",""it"")"),"contrasto")</f>
        <v>contrasto</v>
      </c>
      <c r="G1178" s="2" t="str">
        <f ca="1">IFERROR(__xludf.DUMMYFUNCTION("GOOGLETRANSLATE(B1178,""en"",""de"")"),"Kontrast")</f>
        <v>Kontrast</v>
      </c>
      <c r="H1178" s="2" t="str">
        <f ca="1">IFERROR(__xludf.DUMMYFUNCTION("GOOGLETRANSLATE(B1178,""en"",""zh"")"),"对比")</f>
        <v>对比</v>
      </c>
      <c r="I1178" s="2" t="str">
        <f ca="1">IFERROR(__xludf.DUMMYFUNCTION("GOOGLETRANSLATE(B1178,""en"",""gd"")"),"Contrast")</f>
        <v>Contrast</v>
      </c>
    </row>
    <row r="1179" spans="1:9" ht="14.25" customHeight="1" x14ac:dyDescent="0.3">
      <c r="A1179" s="2">
        <v>1178</v>
      </c>
      <c r="B1179" s="3" t="s">
        <v>1186</v>
      </c>
      <c r="C1179" s="2" t="str">
        <f ca="1">IFERROR(__xludf.DUMMYFUNCTION("GOOGLETRANSLATE(B1179, ""en"",""es"")"),"rollo")</f>
        <v>rollo</v>
      </c>
      <c r="D1179" s="2" t="str">
        <f ca="1">IFERROR(__xludf.DUMMYFUNCTION("GOOGLETRANSLATE(B1179,""en"",""ig"")"),"rolu pepa")</f>
        <v>rolu pepa</v>
      </c>
      <c r="E1179" s="2" t="str">
        <f ca="1">IFERROR(__xludf.DUMMYFUNCTION("GOOGLETRANSLATE(B1179,""en"",""fr"")"),"rouler")</f>
        <v>rouler</v>
      </c>
      <c r="F1179" s="2" t="str">
        <f ca="1">IFERROR(__xludf.DUMMYFUNCTION("GOOGLETRANSLATE(B1179,""en"",""it"")"),"rotolo")</f>
        <v>rotolo</v>
      </c>
      <c r="G1179" s="2" t="str">
        <f ca="1">IFERROR(__xludf.DUMMYFUNCTION("GOOGLETRANSLATE(B1179,""en"",""de"")"),"rollen")</f>
        <v>rollen</v>
      </c>
      <c r="H1179" s="2" t="str">
        <f ca="1">IFERROR(__xludf.DUMMYFUNCTION("GOOGLETRANSLATE(B1179,""en"",""zh"")"),"卷")</f>
        <v>卷</v>
      </c>
      <c r="I1179" s="2" t="str">
        <f ca="1">IFERROR(__xludf.DUMMYFUNCTION("GOOGLETRANSLATE(B1179,""en"",""gd"")"),"rolla")</f>
        <v>rolla</v>
      </c>
    </row>
    <row r="1180" spans="1:9" ht="14.25" customHeight="1" x14ac:dyDescent="0.3">
      <c r="A1180" s="2">
        <v>1179</v>
      </c>
      <c r="B1180" s="3" t="s">
        <v>1187</v>
      </c>
      <c r="C1180" s="2" t="str">
        <f ca="1">IFERROR(__xludf.DUMMYFUNCTION("GOOGLETRANSLATE(B1180, ""en"",""es"")"),"realidad")</f>
        <v>realidad</v>
      </c>
      <c r="D1180" s="2" t="str">
        <f ca="1">IFERROR(__xludf.DUMMYFUNCTION("GOOGLETRANSLATE(B1180,""en"",""ig"")"),"nsiridi")</f>
        <v>nsiridi</v>
      </c>
      <c r="E1180" s="2" t="str">
        <f ca="1">IFERROR(__xludf.DUMMYFUNCTION("GOOGLETRANSLATE(B1180,""en"",""fr"")"),"réalité")</f>
        <v>réalité</v>
      </c>
      <c r="F1180" s="2" t="str">
        <f ca="1">IFERROR(__xludf.DUMMYFUNCTION("GOOGLETRANSLATE(B1180,""en"",""it"")"),"la realtà")</f>
        <v>la realtà</v>
      </c>
      <c r="G1180" s="2" t="str">
        <f ca="1">IFERROR(__xludf.DUMMYFUNCTION("GOOGLETRANSLATE(B1180,""en"",""de"")"),"Wirklichkeit")</f>
        <v>Wirklichkeit</v>
      </c>
      <c r="H1180" s="2" t="str">
        <f ca="1">IFERROR(__xludf.DUMMYFUNCTION("GOOGLETRANSLATE(B1180,""en"",""zh"")"),"现实")</f>
        <v>现实</v>
      </c>
      <c r="I1180" s="2" t="str">
        <f ca="1">IFERROR(__xludf.DUMMYFUNCTION("GOOGLETRANSLATE(B1180,""en"",""gd"")"),"fìrinn")</f>
        <v>fìrinn</v>
      </c>
    </row>
    <row r="1181" spans="1:9" ht="14.25" customHeight="1" x14ac:dyDescent="0.3">
      <c r="A1181" s="2">
        <v>1180</v>
      </c>
      <c r="B1181" s="3" t="s">
        <v>1188</v>
      </c>
      <c r="C1181" s="2" t="str">
        <f ca="1">IFERROR(__xludf.DUMMYFUNCTION("GOOGLETRANSLATE(B1181, ""en"",""es"")"),"fotografía")</f>
        <v>fotografía</v>
      </c>
      <c r="D1181" s="2" t="str">
        <f ca="1">IFERROR(__xludf.DUMMYFUNCTION("GOOGLETRANSLATE(B1181,""en"",""ig"")"),"foto")</f>
        <v>foto</v>
      </c>
      <c r="E1181" s="2" t="str">
        <f ca="1">IFERROR(__xludf.DUMMYFUNCTION("GOOGLETRANSLATE(B1181,""en"",""fr"")"),"photographier")</f>
        <v>photographier</v>
      </c>
      <c r="F1181" s="2" t="str">
        <f ca="1">IFERROR(__xludf.DUMMYFUNCTION("GOOGLETRANSLATE(B1181,""en"",""it"")"),"fotografia")</f>
        <v>fotografia</v>
      </c>
      <c r="G1181" s="2" t="str">
        <f ca="1">IFERROR(__xludf.DUMMYFUNCTION("GOOGLETRANSLATE(B1181,""en"",""de"")"),"Foto")</f>
        <v>Foto</v>
      </c>
      <c r="H1181" s="2" t="str">
        <f ca="1">IFERROR(__xludf.DUMMYFUNCTION("GOOGLETRANSLATE(B1181,""en"",""zh"")"),"照片")</f>
        <v>照片</v>
      </c>
      <c r="I1181" s="2" t="str">
        <f ca="1">IFERROR(__xludf.DUMMYFUNCTION("GOOGLETRANSLATE(B1181,""en"",""gd"")"),"dealbh")</f>
        <v>dealbh</v>
      </c>
    </row>
    <row r="1182" spans="1:9" ht="14.25" customHeight="1" x14ac:dyDescent="0.3">
      <c r="A1182" s="2">
        <v>1181</v>
      </c>
      <c r="B1182" s="3" t="s">
        <v>1189</v>
      </c>
      <c r="C1182" s="2" t="str">
        <f ca="1">IFERROR(__xludf.DUMMYFUNCTION("GOOGLETRANSLATE(B1182, ""en"",""es"")"),"artista")</f>
        <v>artista</v>
      </c>
      <c r="D1182" s="2" t="str">
        <f ca="1">IFERROR(__xludf.DUMMYFUNCTION("GOOGLETRANSLATE(B1182,""en"",""ig"")"),"omenka")</f>
        <v>omenka</v>
      </c>
      <c r="E1182" s="2" t="str">
        <f ca="1">IFERROR(__xludf.DUMMYFUNCTION("GOOGLETRANSLATE(B1182,""en"",""fr"")"),"artiste")</f>
        <v>artiste</v>
      </c>
      <c r="F1182" s="2" t="str">
        <f ca="1">IFERROR(__xludf.DUMMYFUNCTION("GOOGLETRANSLATE(B1182,""en"",""it"")"),"artista")</f>
        <v>artista</v>
      </c>
      <c r="G1182" s="2" t="str">
        <f ca="1">IFERROR(__xludf.DUMMYFUNCTION("GOOGLETRANSLATE(B1182,""en"",""de"")"),"Künstler")</f>
        <v>Künstler</v>
      </c>
      <c r="H1182" s="2" t="str">
        <f ca="1">IFERROR(__xludf.DUMMYFUNCTION("GOOGLETRANSLATE(B1182,""en"",""zh"")"),"艺术家")</f>
        <v>艺术家</v>
      </c>
      <c r="I1182" s="2" t="str">
        <f ca="1">IFERROR(__xludf.DUMMYFUNCTION("GOOGLETRANSLATE(B1182,""en"",""gd"")"),"Neach-ealain")</f>
        <v>Neach-ealain</v>
      </c>
    </row>
    <row r="1183" spans="1:9" ht="14.25" customHeight="1" x14ac:dyDescent="0.3">
      <c r="A1183" s="2">
        <v>1182</v>
      </c>
      <c r="B1183" s="3" t="s">
        <v>1190</v>
      </c>
      <c r="C1183" s="2" t="str">
        <f ca="1">IFERROR(__xludf.DUMMYFUNCTION("GOOGLETRANSLATE(B1183, ""en"",""es"")"),"conflicto")</f>
        <v>conflicto</v>
      </c>
      <c r="D1183" s="2" t="str">
        <f ca="1">IFERROR(__xludf.DUMMYFUNCTION("GOOGLETRANSLATE(B1183,""en"",""ig"")"),"ndokorita")</f>
        <v>ndokorita</v>
      </c>
      <c r="E1183" s="2" t="str">
        <f ca="1">IFERROR(__xludf.DUMMYFUNCTION("GOOGLETRANSLATE(B1183,""en"",""fr"")"),"conflit")</f>
        <v>conflit</v>
      </c>
      <c r="F1183" s="2" t="str">
        <f ca="1">IFERROR(__xludf.DUMMYFUNCTION("GOOGLETRANSLATE(B1183,""en"",""it"")"),"conflitto")</f>
        <v>conflitto</v>
      </c>
      <c r="G1183" s="2" t="str">
        <f ca="1">IFERROR(__xludf.DUMMYFUNCTION("GOOGLETRANSLATE(B1183,""en"",""de"")"),"Konflikt")</f>
        <v>Konflikt</v>
      </c>
      <c r="H1183" s="2" t="str">
        <f ca="1">IFERROR(__xludf.DUMMYFUNCTION("GOOGLETRANSLATE(B1183,""en"",""zh"")"),"冲突")</f>
        <v>冲突</v>
      </c>
      <c r="I1183" s="2" t="str">
        <f ca="1">IFERROR(__xludf.DUMMYFUNCTION("GOOGLETRANSLATE(B1183,""en"",""gd"")"),"Còmhstri")</f>
        <v>Còmhstri</v>
      </c>
    </row>
    <row r="1184" spans="1:9" ht="14.25" customHeight="1" x14ac:dyDescent="0.3">
      <c r="A1184" s="2">
        <v>1183</v>
      </c>
      <c r="B1184" s="3" t="s">
        <v>1191</v>
      </c>
      <c r="C1184" s="2" t="str">
        <f ca="1">IFERROR(__xludf.DUMMYFUNCTION("GOOGLETRANSLATE(B1184, ""en"",""es"")"),"completo")</f>
        <v>completo</v>
      </c>
      <c r="D1184" s="2" t="str">
        <f ca="1">IFERROR(__xludf.DUMMYFUNCTION("GOOGLETRANSLATE(B1184,""en"",""ig"")"),"iba")</f>
        <v>iba</v>
      </c>
      <c r="E1184" s="2" t="str">
        <f ca="1">IFERROR(__xludf.DUMMYFUNCTION("GOOGLETRANSLATE(B1184,""en"",""fr"")"),"entier")</f>
        <v>entier</v>
      </c>
      <c r="F1184" s="2" t="str">
        <f ca="1">IFERROR(__xludf.DUMMYFUNCTION("GOOGLETRANSLATE(B1184,""en"",""it"")"),"tutto")</f>
        <v>tutto</v>
      </c>
      <c r="G1184" s="2" t="str">
        <f ca="1">IFERROR(__xludf.DUMMYFUNCTION("GOOGLETRANSLATE(B1184,""en"",""de"")"),"gesamte")</f>
        <v>gesamte</v>
      </c>
      <c r="H1184" s="2" t="str">
        <f ca="1">IFERROR(__xludf.DUMMYFUNCTION("GOOGLETRANSLATE(B1184,""en"",""zh"")"),"全部的")</f>
        <v>全部的</v>
      </c>
      <c r="I1184" s="2" t="str">
        <f ca="1">IFERROR(__xludf.DUMMYFUNCTION("GOOGLETRANSLATE(B1184,""en"",""gd"")"),"Gu h-iomlan")</f>
        <v>Gu h-iomlan</v>
      </c>
    </row>
    <row r="1185" spans="1:9" ht="14.25" customHeight="1" x14ac:dyDescent="0.3">
      <c r="A1185" s="2">
        <v>1184</v>
      </c>
      <c r="B1185" s="3" t="s">
        <v>1192</v>
      </c>
      <c r="C1185" s="2" t="str">
        <f ca="1">IFERROR(__xludf.DUMMYFUNCTION("GOOGLETRANSLATE(B1185, ""en"",""es"")"),"presencia")</f>
        <v>presencia</v>
      </c>
      <c r="D1185" s="2" t="str">
        <f ca="1">IFERROR(__xludf.DUMMYFUNCTION("GOOGLETRANSLATE(B1185,""en"",""ig"")"),"nonyere")</f>
        <v>nonyere</v>
      </c>
      <c r="E1185" s="2" t="str">
        <f ca="1">IFERROR(__xludf.DUMMYFUNCTION("GOOGLETRANSLATE(B1185,""en"",""fr"")"),"présence")</f>
        <v>présence</v>
      </c>
      <c r="F1185" s="2" t="str">
        <f ca="1">IFERROR(__xludf.DUMMYFUNCTION("GOOGLETRANSLATE(B1185,""en"",""it"")"),"presenza")</f>
        <v>presenza</v>
      </c>
      <c r="G1185" s="2" t="str">
        <f ca="1">IFERROR(__xludf.DUMMYFUNCTION("GOOGLETRANSLATE(B1185,""en"",""de"")"),"Gegenwart")</f>
        <v>Gegenwart</v>
      </c>
      <c r="H1185" s="2" t="str">
        <f ca="1">IFERROR(__xludf.DUMMYFUNCTION("GOOGLETRANSLATE(B1185,""en"",""zh"")"),"在场")</f>
        <v>在场</v>
      </c>
      <c r="I1185" s="2" t="str">
        <f ca="1">IFERROR(__xludf.DUMMYFUNCTION("GOOGLETRANSLATE(B1185,""en"",""gd"")"),"làthaireachd")</f>
        <v>làthaireachd</v>
      </c>
    </row>
    <row r="1186" spans="1:9" ht="14.25" customHeight="1" x14ac:dyDescent="0.3">
      <c r="A1186" s="2">
        <v>1185</v>
      </c>
      <c r="B1186" s="3" t="s">
        <v>1193</v>
      </c>
      <c r="C1186" s="2" t="str">
        <f ca="1">IFERROR(__xludf.DUMMYFUNCTION("GOOGLETRANSLATE(B1186, ""en"",""es"")"),"multitud")</f>
        <v>multitud</v>
      </c>
      <c r="D1186" s="2" t="str">
        <f ca="1">IFERROR(__xludf.DUMMYFUNCTION("GOOGLETRANSLATE(B1186,""en"",""ig"")"),"igwurube mmadu")</f>
        <v>igwurube mmadu</v>
      </c>
      <c r="E1186" s="2" t="str">
        <f ca="1">IFERROR(__xludf.DUMMYFUNCTION("GOOGLETRANSLATE(B1186,""en"",""fr"")"),"foule")</f>
        <v>foule</v>
      </c>
      <c r="F1186" s="2" t="str">
        <f ca="1">IFERROR(__xludf.DUMMYFUNCTION("GOOGLETRANSLATE(B1186,""en"",""it"")"),"folla")</f>
        <v>folla</v>
      </c>
      <c r="G1186" s="2" t="str">
        <f ca="1">IFERROR(__xludf.DUMMYFUNCTION("GOOGLETRANSLATE(B1186,""en"",""de"")"),"Menge")</f>
        <v>Menge</v>
      </c>
      <c r="H1186" s="2" t="str">
        <f ca="1">IFERROR(__xludf.DUMMYFUNCTION("GOOGLETRANSLATE(B1186,""en"",""zh"")"),"人群")</f>
        <v>人群</v>
      </c>
      <c r="I1186" s="2" t="str">
        <f ca="1">IFERROR(__xludf.DUMMYFUNCTION("GOOGLETRANSLATE(B1186,""en"",""gd"")"),"Sluagh")</f>
        <v>Sluagh</v>
      </c>
    </row>
    <row r="1187" spans="1:9" ht="14.25" customHeight="1" x14ac:dyDescent="0.3">
      <c r="A1187" s="2">
        <v>1186</v>
      </c>
      <c r="B1187" s="3" t="s">
        <v>1194</v>
      </c>
      <c r="C1187" s="2" t="str">
        <f ca="1">IFERROR(__xludf.DUMMYFUNCTION("GOOGLETRANSLATE(B1187, ""en"",""es"")"),"esquina")</f>
        <v>esquina</v>
      </c>
      <c r="D1187" s="2" t="str">
        <f ca="1">IFERROR(__xludf.DUMMYFUNCTION("GOOGLETRANSLATE(B1187,""en"",""ig"")"),"akuku")</f>
        <v>akuku</v>
      </c>
      <c r="E1187" s="2" t="str">
        <f ca="1">IFERROR(__xludf.DUMMYFUNCTION("GOOGLETRANSLATE(B1187,""en"",""fr"")"),"coin")</f>
        <v>coin</v>
      </c>
      <c r="F1187" s="2" t="str">
        <f ca="1">IFERROR(__xludf.DUMMYFUNCTION("GOOGLETRANSLATE(B1187,""en"",""it"")"),"angolo")</f>
        <v>angolo</v>
      </c>
      <c r="G1187" s="2" t="str">
        <f ca="1">IFERROR(__xludf.DUMMYFUNCTION("GOOGLETRANSLATE(B1187,""en"",""de"")"),"Ecke")</f>
        <v>Ecke</v>
      </c>
      <c r="H1187" s="2" t="str">
        <f ca="1">IFERROR(__xludf.DUMMYFUNCTION("GOOGLETRANSLATE(B1187,""en"",""zh"")"),"角落")</f>
        <v>角落</v>
      </c>
      <c r="I1187" s="2" t="str">
        <f ca="1">IFERROR(__xludf.DUMMYFUNCTION("GOOGLETRANSLATE(B1187,""en"",""gd"")"),"Oisean")</f>
        <v>Oisean</v>
      </c>
    </row>
    <row r="1188" spans="1:9" ht="14.25" customHeight="1" x14ac:dyDescent="0.3">
      <c r="A1188" s="2">
        <v>1187</v>
      </c>
      <c r="B1188" s="3" t="s">
        <v>1195</v>
      </c>
      <c r="C1188" s="2" t="str">
        <f ca="1">IFERROR(__xludf.DUMMYFUNCTION("GOOGLETRANSLATE(B1188, ""en"",""es"")"),"gas")</f>
        <v>gas</v>
      </c>
      <c r="D1188" s="2" t="str">
        <f ca="1">IFERROR(__xludf.DUMMYFUNCTION("GOOGLETRANSLATE(B1188,""en"",""ig"")"),"gaasi")</f>
        <v>gaasi</v>
      </c>
      <c r="E1188" s="2" t="str">
        <f ca="1">IFERROR(__xludf.DUMMYFUNCTION("GOOGLETRANSLATE(B1188,""en"",""fr"")"),"gaz")</f>
        <v>gaz</v>
      </c>
      <c r="F1188" s="2" t="str">
        <f ca="1">IFERROR(__xludf.DUMMYFUNCTION("GOOGLETRANSLATE(B1188,""en"",""it"")"),"gas")</f>
        <v>gas</v>
      </c>
      <c r="G1188" s="2" t="str">
        <f ca="1">IFERROR(__xludf.DUMMYFUNCTION("GOOGLETRANSLATE(B1188,""en"",""de"")"),"Gas")</f>
        <v>Gas</v>
      </c>
      <c r="H1188" s="2" t="str">
        <f ca="1">IFERROR(__xludf.DUMMYFUNCTION("GOOGLETRANSLATE(B1188,""en"",""zh"")"),"气体")</f>
        <v>气体</v>
      </c>
      <c r="I1188" s="2" t="str">
        <f ca="1">IFERROR(__xludf.DUMMYFUNCTION("GOOGLETRANSLATE(B1188,""en"",""gd"")"),"gas")</f>
        <v>gas</v>
      </c>
    </row>
    <row r="1189" spans="1:9" ht="14.25" customHeight="1" x14ac:dyDescent="0.3">
      <c r="A1189" s="2">
        <v>1188</v>
      </c>
      <c r="B1189" s="3" t="s">
        <v>1196</v>
      </c>
      <c r="C1189" s="2" t="str">
        <f ca="1">IFERROR(__xludf.DUMMYFUNCTION("GOOGLETRANSLATE(B1189, ""en"",""es"")"),"cambio")</f>
        <v>cambio</v>
      </c>
      <c r="D1189" s="2" t="str">
        <f ca="1">IFERROR(__xludf.DUMMYFUNCTION("GOOGLETRANSLATE(B1189,""en"",""ig"")"),"nnofega")</f>
        <v>nnofega</v>
      </c>
      <c r="E1189" s="2" t="str">
        <f ca="1">IFERROR(__xludf.DUMMYFUNCTION("GOOGLETRANSLATE(B1189,""en"",""fr"")"),"changement")</f>
        <v>changement</v>
      </c>
      <c r="F1189" s="2" t="str">
        <f ca="1">IFERROR(__xludf.DUMMYFUNCTION("GOOGLETRANSLATE(B1189,""en"",""it"")"),"spostare")</f>
        <v>spostare</v>
      </c>
      <c r="G1189" s="2" t="str">
        <f ca="1">IFERROR(__xludf.DUMMYFUNCTION("GOOGLETRANSLATE(B1189,""en"",""de"")"),"Schicht")</f>
        <v>Schicht</v>
      </c>
      <c r="H1189" s="2" t="str">
        <f ca="1">IFERROR(__xludf.DUMMYFUNCTION("GOOGLETRANSLATE(B1189,""en"",""zh"")"),"转移")</f>
        <v>转移</v>
      </c>
      <c r="I1189" s="2" t="str">
        <f ca="1">IFERROR(__xludf.DUMMYFUNCTION("GOOGLETRANSLATE(B1189,""en"",""gd"")"),"Shift")</f>
        <v>Shift</v>
      </c>
    </row>
    <row r="1190" spans="1:9" ht="14.25" customHeight="1" x14ac:dyDescent="0.3">
      <c r="A1190" s="2">
        <v>1189</v>
      </c>
      <c r="B1190" s="3" t="s">
        <v>1197</v>
      </c>
      <c r="C1190" s="2" t="str">
        <f ca="1">IFERROR(__xludf.DUMMYFUNCTION("GOOGLETRANSLATE(B1190, ""en"",""es"")"),"neto")</f>
        <v>neto</v>
      </c>
      <c r="D1190" s="2" t="str">
        <f ca="1">IFERROR(__xludf.DUMMYFUNCTION("GOOGLETRANSLATE(B1190,""en"",""ig"")"),"ugbu")</f>
        <v>ugbu</v>
      </c>
      <c r="E1190" s="2" t="str">
        <f ca="1">IFERROR(__xludf.DUMMYFUNCTION("GOOGLETRANSLATE(B1190,""en"",""fr"")"),"filet")</f>
        <v>filet</v>
      </c>
      <c r="F1190" s="2" t="str">
        <f ca="1">IFERROR(__xludf.DUMMYFUNCTION("GOOGLETRANSLATE(B1190,""en"",""it"")"),"netto")</f>
        <v>netto</v>
      </c>
      <c r="G1190" s="2" t="str">
        <f ca="1">IFERROR(__xludf.DUMMYFUNCTION("GOOGLETRANSLATE(B1190,""en"",""de"")"),"Netz")</f>
        <v>Netz</v>
      </c>
      <c r="H1190" s="2" t="str">
        <f ca="1">IFERROR(__xludf.DUMMYFUNCTION("GOOGLETRANSLATE(B1190,""en"",""zh"")"),"网")</f>
        <v>网</v>
      </c>
      <c r="I1190" s="2" t="str">
        <f ca="1">IFERROR(__xludf.DUMMYFUNCTION("GOOGLETRANSLATE(B1190,""en"",""gd"")"),"lìon")</f>
        <v>lìon</v>
      </c>
    </row>
    <row r="1191" spans="1:9" ht="14.25" customHeight="1" x14ac:dyDescent="0.3">
      <c r="A1191" s="2">
        <v>1190</v>
      </c>
      <c r="B1191" s="3" t="s">
        <v>1198</v>
      </c>
      <c r="C1191" s="2" t="str">
        <f ca="1">IFERROR(__xludf.DUMMYFUNCTION("GOOGLETRANSLATE(B1191, ""en"",""es"")"),"categoría")</f>
        <v>categoría</v>
      </c>
      <c r="D1191" s="2" t="str">
        <f ca="1">IFERROR(__xludf.DUMMYFUNCTION("GOOGLETRANSLATE(B1191,""en"",""ig"")"),"udi udi")</f>
        <v>udi udi</v>
      </c>
      <c r="E1191" s="2" t="str">
        <f ca="1">IFERROR(__xludf.DUMMYFUNCTION("GOOGLETRANSLATE(B1191,""en"",""fr"")"),"catégorie")</f>
        <v>catégorie</v>
      </c>
      <c r="F1191" s="2" t="str">
        <f ca="1">IFERROR(__xludf.DUMMYFUNCTION("GOOGLETRANSLATE(B1191,""en"",""it"")"),"categoria")</f>
        <v>categoria</v>
      </c>
      <c r="G1191" s="2" t="str">
        <f ca="1">IFERROR(__xludf.DUMMYFUNCTION("GOOGLETRANSLATE(B1191,""en"",""de"")"),"Kategorie")</f>
        <v>Kategorie</v>
      </c>
      <c r="H1191" s="2" t="str">
        <f ca="1">IFERROR(__xludf.DUMMYFUNCTION("GOOGLETRANSLATE(B1191,""en"",""zh"")"),"类别")</f>
        <v>类别</v>
      </c>
      <c r="I1191" s="2" t="str">
        <f ca="1">IFERROR(__xludf.DUMMYFUNCTION("GOOGLETRANSLATE(B1191,""en"",""gd"")"),"Roinn-seòrsa")</f>
        <v>Roinn-seòrsa</v>
      </c>
    </row>
    <row r="1192" spans="1:9" ht="14.25" customHeight="1" x14ac:dyDescent="0.3">
      <c r="A1192" s="2">
        <v>1191</v>
      </c>
      <c r="B1192" s="3" t="s">
        <v>1199</v>
      </c>
      <c r="C1192" s="2" t="str">
        <f ca="1">IFERROR(__xludf.DUMMYFUNCTION("GOOGLETRANSLATE(B1192, ""en"",""es"")"),"secretario")</f>
        <v>secretario</v>
      </c>
      <c r="D1192" s="2" t="str">
        <f ca="1">IFERROR(__xludf.DUMMYFUNCTION("GOOGLETRANSLATE(B1192,""en"",""ig"")"),"odeakwukwo nwoke")</f>
        <v>odeakwukwo nwoke</v>
      </c>
      <c r="E1192" s="2" t="str">
        <f ca="1">IFERROR(__xludf.DUMMYFUNCTION("GOOGLETRANSLATE(B1192,""en"",""fr"")"),"secrétaire")</f>
        <v>secrétaire</v>
      </c>
      <c r="F1192" s="2" t="str">
        <f ca="1">IFERROR(__xludf.DUMMYFUNCTION("GOOGLETRANSLATE(B1192,""en"",""it"")"),"segretario")</f>
        <v>segretario</v>
      </c>
      <c r="G1192" s="2" t="str">
        <f ca="1">IFERROR(__xludf.DUMMYFUNCTION("GOOGLETRANSLATE(B1192,""en"",""de"")"),"Sekretär")</f>
        <v>Sekretär</v>
      </c>
      <c r="H1192" s="2" t="str">
        <f ca="1">IFERROR(__xludf.DUMMYFUNCTION("GOOGLETRANSLATE(B1192,""en"",""zh"")"),"秘书")</f>
        <v>秘书</v>
      </c>
      <c r="I1192" s="2" t="str">
        <f ca="1">IFERROR(__xludf.DUMMYFUNCTION("GOOGLETRANSLATE(B1192,""en"",""gd"")"),"Rùnaire")</f>
        <v>Rùnaire</v>
      </c>
    </row>
    <row r="1193" spans="1:9" ht="14.25" customHeight="1" x14ac:dyDescent="0.3">
      <c r="A1193" s="2">
        <v>1192</v>
      </c>
      <c r="B1193" s="3" t="s">
        <v>1200</v>
      </c>
      <c r="C1193" s="2" t="str">
        <f ca="1">IFERROR(__xludf.DUMMYFUNCTION("GOOGLETRANSLATE(B1193, ""en"",""es"")"),"defensa")</f>
        <v>defensa</v>
      </c>
      <c r="D1193" s="2" t="str">
        <f ca="1">IFERROR(__xludf.DUMMYFUNCTION("GOOGLETRANSLATE(B1193,""en"",""ig"")"),"ozize")</f>
        <v>ozize</v>
      </c>
      <c r="E1193" s="2" t="str">
        <f ca="1">IFERROR(__xludf.DUMMYFUNCTION("GOOGLETRANSLATE(B1193,""en"",""fr"")"),"la défense")</f>
        <v>la défense</v>
      </c>
      <c r="F1193" s="2" t="str">
        <f ca="1">IFERROR(__xludf.DUMMYFUNCTION("GOOGLETRANSLATE(B1193,""en"",""it"")"),"difesa")</f>
        <v>difesa</v>
      </c>
      <c r="G1193" s="2" t="str">
        <f ca="1">IFERROR(__xludf.DUMMYFUNCTION("GOOGLETRANSLATE(B1193,""en"",""de"")"),"Verteidigung")</f>
        <v>Verteidigung</v>
      </c>
      <c r="H1193" s="2" t="str">
        <f ca="1">IFERROR(__xludf.DUMMYFUNCTION("GOOGLETRANSLATE(B1193,""en"",""zh"")"),"防御")</f>
        <v>防御</v>
      </c>
      <c r="I1193" s="2" t="str">
        <f ca="1">IFERROR(__xludf.DUMMYFUNCTION("GOOGLETRANSLATE(B1193,""en"",""gd"")"),"dìon")</f>
        <v>dìon</v>
      </c>
    </row>
    <row r="1194" spans="1:9" ht="14.25" customHeight="1" x14ac:dyDescent="0.3">
      <c r="A1194" s="2">
        <v>1193</v>
      </c>
      <c r="B1194" s="3" t="s">
        <v>1201</v>
      </c>
      <c r="C1194" s="2" t="str">
        <f ca="1">IFERROR(__xludf.DUMMYFUNCTION("GOOGLETRANSLATE(B1194, ""en"",""es"")"),"rápido")</f>
        <v>rápido</v>
      </c>
      <c r="D1194" s="2" t="str">
        <f ca="1">IFERROR(__xludf.DUMMYFUNCTION("GOOGLETRANSLATE(B1194,""en"",""ig"")"),"ngwa")</f>
        <v>ngwa</v>
      </c>
      <c r="E1194" s="2" t="str">
        <f ca="1">IFERROR(__xludf.DUMMYFUNCTION("GOOGLETRANSLATE(B1194,""en"",""fr"")"),"rapide")</f>
        <v>rapide</v>
      </c>
      <c r="F1194" s="2" t="str">
        <f ca="1">IFERROR(__xludf.DUMMYFUNCTION("GOOGLETRANSLATE(B1194,""en"",""it"")"),"presto")</f>
        <v>presto</v>
      </c>
      <c r="G1194" s="2" t="str">
        <f ca="1">IFERROR(__xludf.DUMMYFUNCTION("GOOGLETRANSLATE(B1194,""en"",""de"")"),"schnell")</f>
        <v>schnell</v>
      </c>
      <c r="H1194" s="2" t="str">
        <f ca="1">IFERROR(__xludf.DUMMYFUNCTION("GOOGLETRANSLATE(B1194,""en"",""zh"")"),"快的")</f>
        <v>快的</v>
      </c>
      <c r="I1194" s="2" t="str">
        <f ca="1">IFERROR(__xludf.DUMMYFUNCTION("GOOGLETRANSLATE(B1194,""en"",""gd"")"),"luath")</f>
        <v>luath</v>
      </c>
    </row>
    <row r="1195" spans="1:9" ht="14.25" customHeight="1" x14ac:dyDescent="0.3">
      <c r="A1195" s="2">
        <v>1194</v>
      </c>
      <c r="B1195" s="3" t="s">
        <v>1202</v>
      </c>
      <c r="C1195" s="2" t="str">
        <f ca="1">IFERROR(__xludf.DUMMYFUNCTION("GOOGLETRANSLATE(B1195, ""en"",""es"")"),"cocinar")</f>
        <v>cocinar</v>
      </c>
      <c r="D1195" s="2" t="str">
        <f ca="1">IFERROR(__xludf.DUMMYFUNCTION("GOOGLETRANSLATE(B1195,""en"",""ig"")"),"isi nri")</f>
        <v>isi nri</v>
      </c>
      <c r="E1195" s="2" t="str">
        <f ca="1">IFERROR(__xludf.DUMMYFUNCTION("GOOGLETRANSLATE(B1195,""en"",""fr"")"),"cuisiner")</f>
        <v>cuisiner</v>
      </c>
      <c r="F1195" s="2" t="str">
        <f ca="1">IFERROR(__xludf.DUMMYFUNCTION("GOOGLETRANSLATE(B1195,""en"",""it"")"),"cucinare")</f>
        <v>cucinare</v>
      </c>
      <c r="G1195" s="2" t="str">
        <f ca="1">IFERROR(__xludf.DUMMYFUNCTION("GOOGLETRANSLATE(B1195,""en"",""de"")"),"kochen")</f>
        <v>kochen</v>
      </c>
      <c r="H1195" s="2" t="str">
        <f ca="1">IFERROR(__xludf.DUMMYFUNCTION("GOOGLETRANSLATE(B1195,""en"",""zh"")"),"厨师")</f>
        <v>厨师</v>
      </c>
      <c r="I1195" s="2" t="str">
        <f ca="1">IFERROR(__xludf.DUMMYFUNCTION("GOOGLETRANSLATE(B1195,""en"",""gd"")"),"bruich")</f>
        <v>bruich</v>
      </c>
    </row>
    <row r="1196" spans="1:9" ht="14.25" customHeight="1" x14ac:dyDescent="0.3">
      <c r="A1196" s="2">
        <v>1195</v>
      </c>
      <c r="B1196" s="3" t="s">
        <v>1203</v>
      </c>
      <c r="C1196" s="2" t="str">
        <f ca="1">IFERROR(__xludf.DUMMYFUNCTION("GOOGLETRANSLATE(B1196, ""en"",""es"")"),"desparramar")</f>
        <v>desparramar</v>
      </c>
      <c r="D1196" s="2" t="str">
        <f ca="1">IFERROR(__xludf.DUMMYFUNCTION("GOOGLETRANSLATE(B1196,""en"",""ig"")"),"kesaa")</f>
        <v>kesaa</v>
      </c>
      <c r="E1196" s="2" t="str">
        <f ca="1">IFERROR(__xludf.DUMMYFUNCTION("GOOGLETRANSLATE(B1196,""en"",""fr"")"),"propagé")</f>
        <v>propagé</v>
      </c>
      <c r="F1196" s="2" t="str">
        <f ca="1">IFERROR(__xludf.DUMMYFUNCTION("GOOGLETRANSLATE(B1196,""en"",""it"")"),"diffusione")</f>
        <v>diffusione</v>
      </c>
      <c r="G1196" s="2" t="str">
        <f ca="1">IFERROR(__xludf.DUMMYFUNCTION("GOOGLETRANSLATE(B1196,""en"",""de"")"),"verbreiten")</f>
        <v>verbreiten</v>
      </c>
      <c r="H1196" s="2" t="str">
        <f ca="1">IFERROR(__xludf.DUMMYFUNCTION("GOOGLETRANSLATE(B1196,""en"",""zh"")"),"传播")</f>
        <v>传播</v>
      </c>
      <c r="I1196" s="2" t="str">
        <f ca="1">IFERROR(__xludf.DUMMYFUNCTION("GOOGLETRANSLATE(B1196,""en"",""gd"")"),"sgaoil")</f>
        <v>sgaoil</v>
      </c>
    </row>
    <row r="1197" spans="1:9" ht="14.25" customHeight="1" x14ac:dyDescent="0.3">
      <c r="A1197" s="2">
        <v>1196</v>
      </c>
      <c r="B1197" s="3" t="s">
        <v>1204</v>
      </c>
      <c r="C1197" s="2" t="str">
        <f ca="1">IFERROR(__xludf.DUMMYFUNCTION("GOOGLETRANSLATE(B1197, ""en"",""es"")"),"nuclear")</f>
        <v>nuclear</v>
      </c>
      <c r="D1197" s="2" t="str">
        <f ca="1">IFERROR(__xludf.DUMMYFUNCTION("GOOGLETRANSLATE(B1197,""en"",""ig"")"),"nukia")</f>
        <v>nukia</v>
      </c>
      <c r="E1197" s="2" t="str">
        <f ca="1">IFERROR(__xludf.DUMMYFUNCTION("GOOGLETRANSLATE(B1197,""en"",""fr"")"),"nucléaire")</f>
        <v>nucléaire</v>
      </c>
      <c r="F1197" s="2" t="str">
        <f ca="1">IFERROR(__xludf.DUMMYFUNCTION("GOOGLETRANSLATE(B1197,""en"",""it"")"),"nucleare")</f>
        <v>nucleare</v>
      </c>
      <c r="G1197" s="2" t="str">
        <f ca="1">IFERROR(__xludf.DUMMYFUNCTION("GOOGLETRANSLATE(B1197,""en"",""de"")"),"Nuklear")</f>
        <v>Nuklear</v>
      </c>
      <c r="H1197" s="2" t="str">
        <f ca="1">IFERROR(__xludf.DUMMYFUNCTION("GOOGLETRANSLATE(B1197,""en"",""zh"")"),"核")</f>
        <v>核</v>
      </c>
      <c r="I1197" s="2" t="str">
        <f ca="1">IFERROR(__xludf.DUMMYFUNCTION("GOOGLETRANSLATE(B1197,""en"",""gd"")"),"niùclasach")</f>
        <v>niùclasach</v>
      </c>
    </row>
    <row r="1198" spans="1:9" ht="14.25" customHeight="1" x14ac:dyDescent="0.3">
      <c r="A1198" s="2">
        <v>1197</v>
      </c>
      <c r="B1198" s="3" t="s">
        <v>1205</v>
      </c>
      <c r="C1198" s="2" t="str">
        <f ca="1">IFERROR(__xludf.DUMMYFUNCTION("GOOGLETRANSLATE(B1198, ""en"",""es"")"),"escala")</f>
        <v>escala</v>
      </c>
      <c r="D1198" s="2" t="str">
        <f ca="1">IFERROR(__xludf.DUMMYFUNCTION("GOOGLETRANSLATE(B1198,""en"",""ig"")"),"nha")</f>
        <v>nha</v>
      </c>
      <c r="E1198" s="2" t="str">
        <f ca="1">IFERROR(__xludf.DUMMYFUNCTION("GOOGLETRANSLATE(B1198,""en"",""fr"")"),"échelle")</f>
        <v>échelle</v>
      </c>
      <c r="F1198" s="2" t="str">
        <f ca="1">IFERROR(__xludf.DUMMYFUNCTION("GOOGLETRANSLATE(B1198,""en"",""it"")"),"scala")</f>
        <v>scala</v>
      </c>
      <c r="G1198" s="2" t="str">
        <f ca="1">IFERROR(__xludf.DUMMYFUNCTION("GOOGLETRANSLATE(B1198,""en"",""de"")"),"Skala")</f>
        <v>Skala</v>
      </c>
      <c r="H1198" s="2" t="str">
        <f ca="1">IFERROR(__xludf.DUMMYFUNCTION("GOOGLETRANSLATE(B1198,""en"",""zh"")"),"规模")</f>
        <v>规模</v>
      </c>
      <c r="I1198" s="2" t="str">
        <f ca="1">IFERROR(__xludf.DUMMYFUNCTION("GOOGLETRANSLATE(B1198,""en"",""gd"")"),"sgèile")</f>
        <v>sgèile</v>
      </c>
    </row>
    <row r="1199" spans="1:9" ht="14.25" customHeight="1" x14ac:dyDescent="0.3">
      <c r="A1199" s="2">
        <v>1198</v>
      </c>
      <c r="B1199" s="3" t="s">
        <v>1206</v>
      </c>
      <c r="C1199" s="2" t="str">
        <f ca="1">IFERROR(__xludf.DUMMYFUNCTION("GOOGLETRANSLATE(B1199, ""en"",""es"")"),"conductor")</f>
        <v>conductor</v>
      </c>
      <c r="D1199" s="2" t="str">
        <f ca="1">IFERROR(__xludf.DUMMYFUNCTION("GOOGLETRANSLATE(B1199,""en"",""ig"")"),"diraiva")</f>
        <v>diraiva</v>
      </c>
      <c r="E1199" s="2" t="str">
        <f ca="1">IFERROR(__xludf.DUMMYFUNCTION("GOOGLETRANSLATE(B1199,""en"",""fr"")"),"conducteur")</f>
        <v>conducteur</v>
      </c>
      <c r="F1199" s="2" t="str">
        <f ca="1">IFERROR(__xludf.DUMMYFUNCTION("GOOGLETRANSLATE(B1199,""en"",""it"")"),"autista")</f>
        <v>autista</v>
      </c>
      <c r="G1199" s="2" t="str">
        <f ca="1">IFERROR(__xludf.DUMMYFUNCTION("GOOGLETRANSLATE(B1199,""en"",""de"")"),"Treiber")</f>
        <v>Treiber</v>
      </c>
      <c r="H1199" s="2" t="str">
        <f ca="1">IFERROR(__xludf.DUMMYFUNCTION("GOOGLETRANSLATE(B1199,""en"",""zh"")"),"司机")</f>
        <v>司机</v>
      </c>
      <c r="I1199" s="2" t="str">
        <f ca="1">IFERROR(__xludf.DUMMYFUNCTION("GOOGLETRANSLATE(B1199,""en"",""gd"")"),"Dràibhear")</f>
        <v>Dràibhear</v>
      </c>
    </row>
    <row r="1200" spans="1:9" ht="14.25" customHeight="1" x14ac:dyDescent="0.3">
      <c r="A1200" s="2">
        <v>1199</v>
      </c>
      <c r="B1200" s="3" t="s">
        <v>1207</v>
      </c>
      <c r="C1200" s="2" t="str">
        <f ca="1">IFERROR(__xludf.DUMMYFUNCTION("GOOGLETRANSLATE(B1200, ""en"",""es"")"),"pelota")</f>
        <v>pelota</v>
      </c>
      <c r="D1200" s="2" t="str">
        <f ca="1">IFERROR(__xludf.DUMMYFUNCTION("GOOGLETRANSLATE(B1200,""en"",""ig"")"),"bowi")</f>
        <v>bowi</v>
      </c>
      <c r="E1200" s="2" t="str">
        <f ca="1">IFERROR(__xludf.DUMMYFUNCTION("GOOGLETRANSLATE(B1200,""en"",""fr"")"),"balle")</f>
        <v>balle</v>
      </c>
      <c r="F1200" s="2" t="str">
        <f ca="1">IFERROR(__xludf.DUMMYFUNCTION("GOOGLETRANSLATE(B1200,""en"",""it"")"),"palla")</f>
        <v>palla</v>
      </c>
      <c r="G1200" s="2" t="str">
        <f ca="1">IFERROR(__xludf.DUMMYFUNCTION("GOOGLETRANSLATE(B1200,""en"",""de"")"),"Ball")</f>
        <v>Ball</v>
      </c>
      <c r="H1200" s="2" t="str">
        <f ca="1">IFERROR(__xludf.DUMMYFUNCTION("GOOGLETRANSLATE(B1200,""en"",""zh"")"),"球")</f>
        <v>球</v>
      </c>
      <c r="I1200" s="2" t="str">
        <f ca="1">IFERROR(__xludf.DUMMYFUNCTION("GOOGLETRANSLATE(B1200,""en"",""gd"")"),"ball")</f>
        <v>ball</v>
      </c>
    </row>
    <row r="1201" spans="1:9" ht="14.25" customHeight="1" x14ac:dyDescent="0.3">
      <c r="A1201" s="2">
        <v>1200</v>
      </c>
      <c r="B1201" s="3" t="s">
        <v>1208</v>
      </c>
      <c r="C1201" s="2" t="str">
        <f ca="1">IFERROR(__xludf.DUMMYFUNCTION("GOOGLETRANSLATE(B1201, ""en"",""es"")"),"llorar")</f>
        <v>llorar</v>
      </c>
      <c r="D1201" s="2" t="str">
        <f ca="1">IFERROR(__xludf.DUMMYFUNCTION("GOOGLETRANSLATE(B1201,""en"",""ig"")"),"akwa")</f>
        <v>akwa</v>
      </c>
      <c r="E1201" s="2" t="str">
        <f ca="1">IFERROR(__xludf.DUMMYFUNCTION("GOOGLETRANSLATE(B1201,""en"",""fr"")"),"pleurer")</f>
        <v>pleurer</v>
      </c>
      <c r="F1201" s="2" t="str">
        <f ca="1">IFERROR(__xludf.DUMMYFUNCTION("GOOGLETRANSLATE(B1201,""en"",""it"")"),"gridare")</f>
        <v>gridare</v>
      </c>
      <c r="G1201" s="2" t="str">
        <f ca="1">IFERROR(__xludf.DUMMYFUNCTION("GOOGLETRANSLATE(B1201,""en"",""de"")"),"weinen")</f>
        <v>weinen</v>
      </c>
      <c r="H1201" s="2" t="str">
        <f ca="1">IFERROR(__xludf.DUMMYFUNCTION("GOOGLETRANSLATE(B1201,""en"",""zh"")"),"哭")</f>
        <v>哭</v>
      </c>
      <c r="I1201" s="2" t="str">
        <f ca="1">IFERROR(__xludf.DUMMYFUNCTION("GOOGLETRANSLATE(B1201,""en"",""gd"")"),"caoin")</f>
        <v>caoin</v>
      </c>
    </row>
    <row r="1202" spans="1:9" ht="14.25" customHeight="1" x14ac:dyDescent="0.3">
      <c r="A1202" s="2">
        <v>1201</v>
      </c>
      <c r="B1202" s="3" t="s">
        <v>1209</v>
      </c>
      <c r="C1202" s="2" t="str">
        <f ca="1">IFERROR(__xludf.DUMMYFUNCTION("GOOGLETRANSLATE(B1202, ""en"",""es"")"),"introducción")</f>
        <v>introducción</v>
      </c>
      <c r="D1202" s="2" t="str">
        <f ca="1">IFERROR(__xludf.DUMMYFUNCTION("GOOGLETRANSLATE(B1202,""en"",""ig"")"),"ndubata")</f>
        <v>ndubata</v>
      </c>
      <c r="E1202" s="2" t="str">
        <f ca="1">IFERROR(__xludf.DUMMYFUNCTION("GOOGLETRANSLATE(B1202,""en"",""fr"")"),"introduction")</f>
        <v>introduction</v>
      </c>
      <c r="F1202" s="2" t="str">
        <f ca="1">IFERROR(__xludf.DUMMYFUNCTION("GOOGLETRANSLATE(B1202,""en"",""it"")"),"introduzione")</f>
        <v>introduzione</v>
      </c>
      <c r="G1202" s="2" t="str">
        <f ca="1">IFERROR(__xludf.DUMMYFUNCTION("GOOGLETRANSLATE(B1202,""en"",""de"")"),"Einführung")</f>
        <v>Einführung</v>
      </c>
      <c r="H1202" s="2" t="str">
        <f ca="1">IFERROR(__xludf.DUMMYFUNCTION("GOOGLETRANSLATE(B1202,""en"",""zh"")"),"介绍")</f>
        <v>介绍</v>
      </c>
      <c r="I1202" s="2" t="str">
        <f ca="1">IFERROR(__xludf.DUMMYFUNCTION("GOOGLETRANSLATE(B1202,""en"",""gd"")"),"Ro-ràdh")</f>
        <v>Ro-ràdh</v>
      </c>
    </row>
    <row r="1203" spans="1:9" ht="14.25" customHeight="1" x14ac:dyDescent="0.3">
      <c r="A1203" s="2">
        <v>1202</v>
      </c>
      <c r="B1203" s="3" t="s">
        <v>1210</v>
      </c>
      <c r="C1203" s="2" t="str">
        <f ca="1">IFERROR(__xludf.DUMMYFUNCTION("GOOGLETRANSLATE(B1203, ""en"",""es"")"),"requisito")</f>
        <v>requisito</v>
      </c>
      <c r="D1203" s="2" t="str">
        <f ca="1">IFERROR(__xludf.DUMMYFUNCTION("GOOGLETRANSLATE(B1203,""en"",""ig"")"),"iheachoro")</f>
        <v>iheachoro</v>
      </c>
      <c r="E1203" s="2" t="str">
        <f ca="1">IFERROR(__xludf.DUMMYFUNCTION("GOOGLETRANSLATE(B1203,""en"",""fr"")"),"exigence")</f>
        <v>exigence</v>
      </c>
      <c r="F1203" s="2" t="str">
        <f ca="1">IFERROR(__xludf.DUMMYFUNCTION("GOOGLETRANSLATE(B1203,""en"",""it"")"),"Requisiti")</f>
        <v>Requisiti</v>
      </c>
      <c r="G1203" s="2" t="str">
        <f ca="1">IFERROR(__xludf.DUMMYFUNCTION("GOOGLETRANSLATE(B1203,""en"",""de"")"),"Erfordernis")</f>
        <v>Erfordernis</v>
      </c>
      <c r="H1203" s="2" t="str">
        <f ca="1">IFERROR(__xludf.DUMMYFUNCTION("GOOGLETRANSLATE(B1203,""en"",""zh"")"),"要求")</f>
        <v>要求</v>
      </c>
      <c r="I1203" s="2" t="str">
        <f ca="1">IFERROR(__xludf.DUMMYFUNCTION("GOOGLETRANSLATE(B1203,""en"",""gd"")"),"riatanas")</f>
        <v>riatanas</v>
      </c>
    </row>
    <row r="1204" spans="1:9" ht="14.25" customHeight="1" x14ac:dyDescent="0.3">
      <c r="A1204" s="2">
        <v>1203</v>
      </c>
      <c r="B1204" s="3" t="s">
        <v>1211</v>
      </c>
      <c r="C1204" s="2" t="str">
        <f ca="1">IFERROR(__xludf.DUMMYFUNCTION("GOOGLETRANSLATE(B1204, ""en"",""es"")"),"norte")</f>
        <v>norte</v>
      </c>
      <c r="D1204" s="2" t="str">
        <f ca="1">IFERROR(__xludf.DUMMYFUNCTION("GOOGLETRANSLATE(B1204,""en"",""ig"")"),"ugwu")</f>
        <v>ugwu</v>
      </c>
      <c r="E1204" s="2" t="str">
        <f ca="1">IFERROR(__xludf.DUMMYFUNCTION("GOOGLETRANSLATE(B1204,""en"",""fr"")"),"nord")</f>
        <v>nord</v>
      </c>
      <c r="F1204" s="2" t="str">
        <f ca="1">IFERROR(__xludf.DUMMYFUNCTION("GOOGLETRANSLATE(B1204,""en"",""it"")"),"nord")</f>
        <v>nord</v>
      </c>
      <c r="G1204" s="2" t="str">
        <f ca="1">IFERROR(__xludf.DUMMYFUNCTION("GOOGLETRANSLATE(B1204,""en"",""de"")"),"Norden")</f>
        <v>Norden</v>
      </c>
      <c r="H1204" s="2" t="str">
        <f ca="1">IFERROR(__xludf.DUMMYFUNCTION("GOOGLETRANSLATE(B1204,""en"",""zh"")"),"北")</f>
        <v>北</v>
      </c>
      <c r="I1204" s="2" t="str">
        <f ca="1">IFERROR(__xludf.DUMMYFUNCTION("GOOGLETRANSLATE(B1204,""en"",""gd"")"),"tuath")</f>
        <v>tuath</v>
      </c>
    </row>
    <row r="1205" spans="1:9" ht="14.25" customHeight="1" x14ac:dyDescent="0.3">
      <c r="A1205" s="2">
        <v>1204</v>
      </c>
      <c r="B1205" s="3" t="s">
        <v>1212</v>
      </c>
      <c r="C1205" s="2" t="str">
        <f ca="1">IFERROR(__xludf.DUMMYFUNCTION("GOOGLETRANSLATE(B1205, ""en"",""es"")"),"confirmar")</f>
        <v>confirmar</v>
      </c>
      <c r="D1205" s="2" t="str">
        <f ca="1">IFERROR(__xludf.DUMMYFUNCTION("GOOGLETRANSLATE(B1205,""en"",""ig"")"),"ikwete")</f>
        <v>ikwete</v>
      </c>
      <c r="E1205" s="2" t="str">
        <f ca="1">IFERROR(__xludf.DUMMYFUNCTION("GOOGLETRANSLATE(B1205,""en"",""fr"")"),"confirmer")</f>
        <v>confirmer</v>
      </c>
      <c r="F1205" s="2" t="str">
        <f ca="1">IFERROR(__xludf.DUMMYFUNCTION("GOOGLETRANSLATE(B1205,""en"",""it"")"),"Confermare")</f>
        <v>Confermare</v>
      </c>
      <c r="G1205" s="2" t="str">
        <f ca="1">IFERROR(__xludf.DUMMYFUNCTION("GOOGLETRANSLATE(B1205,""en"",""de"")"),"bestätigen")</f>
        <v>bestätigen</v>
      </c>
      <c r="H1205" s="2" t="str">
        <f ca="1">IFERROR(__xludf.DUMMYFUNCTION("GOOGLETRANSLATE(B1205,""en"",""zh"")"),"确认")</f>
        <v>确认</v>
      </c>
      <c r="I1205" s="2" t="str">
        <f ca="1">IFERROR(__xludf.DUMMYFUNCTION("GOOGLETRANSLATE(B1205,""en"",""gd"")"),"Dearbhaich")</f>
        <v>Dearbhaich</v>
      </c>
    </row>
    <row r="1206" spans="1:9" ht="14.25" customHeight="1" x14ac:dyDescent="0.3">
      <c r="A1206" s="2">
        <v>1205</v>
      </c>
      <c r="B1206" s="3" t="s">
        <v>1213</v>
      </c>
      <c r="C1206" s="2" t="str">
        <f ca="1">IFERROR(__xludf.DUMMYFUNCTION("GOOGLETRANSLATE(B1206, ""en"",""es"")"),"sénior")</f>
        <v>sénior</v>
      </c>
      <c r="D1206" s="2" t="str">
        <f ca="1">IFERROR(__xludf.DUMMYFUNCTION("GOOGLETRANSLATE(B1206,""en"",""ig"")"),"nke toro")</f>
        <v>nke toro</v>
      </c>
      <c r="E1206" s="2" t="str">
        <f ca="1">IFERROR(__xludf.DUMMYFUNCTION("GOOGLETRANSLATE(B1206,""en"",""fr"")"),"senior")</f>
        <v>senior</v>
      </c>
      <c r="F1206" s="2" t="str">
        <f ca="1">IFERROR(__xludf.DUMMYFUNCTION("GOOGLETRANSLATE(B1206,""en"",""it"")"),"anziano")</f>
        <v>anziano</v>
      </c>
      <c r="G1206" s="2" t="str">
        <f ca="1">IFERROR(__xludf.DUMMYFUNCTION("GOOGLETRANSLATE(B1206,""en"",""de"")"),"Senior")</f>
        <v>Senior</v>
      </c>
      <c r="H1206" s="2" t="str">
        <f ca="1">IFERROR(__xludf.DUMMYFUNCTION("GOOGLETRANSLATE(B1206,""en"",""zh"")"),"高级的")</f>
        <v>高级的</v>
      </c>
      <c r="I1206" s="2" t="str">
        <f ca="1">IFERROR(__xludf.DUMMYFUNCTION("GOOGLETRANSLATE(B1206,""en"",""gd"")"),"Prìomh")</f>
        <v>Prìomh</v>
      </c>
    </row>
    <row r="1207" spans="1:9" ht="14.25" customHeight="1" x14ac:dyDescent="0.3">
      <c r="A1207" s="2">
        <v>1206</v>
      </c>
      <c r="B1207" s="3" t="s">
        <v>1214</v>
      </c>
      <c r="C1207" s="2" t="str">
        <f ca="1">IFERROR(__xludf.DUMMYFUNCTION("GOOGLETRANSLATE(B1207, ""en"",""es"")"),"foto")</f>
        <v>foto</v>
      </c>
      <c r="D1207" s="2" t="str">
        <f ca="1">IFERROR(__xludf.DUMMYFUNCTION("GOOGLETRANSLATE(B1207,""en"",""ig"")"),"foto")</f>
        <v>foto</v>
      </c>
      <c r="E1207" s="2" t="str">
        <f ca="1">IFERROR(__xludf.DUMMYFUNCTION("GOOGLETRANSLATE(B1207,""en"",""fr"")"),"photo")</f>
        <v>photo</v>
      </c>
      <c r="F1207" s="2" t="str">
        <f ca="1">IFERROR(__xludf.DUMMYFUNCTION("GOOGLETRANSLATE(B1207,""en"",""it"")"),"foto")</f>
        <v>foto</v>
      </c>
      <c r="G1207" s="2" t="str">
        <f ca="1">IFERROR(__xludf.DUMMYFUNCTION("GOOGLETRANSLATE(B1207,""en"",""de"")"),"Foto")</f>
        <v>Foto</v>
      </c>
      <c r="H1207" s="2" t="str">
        <f ca="1">IFERROR(__xludf.DUMMYFUNCTION("GOOGLETRANSLATE(B1207,""en"",""zh"")"),"照片")</f>
        <v>照片</v>
      </c>
      <c r="I1207" s="2" t="str">
        <f ca="1">IFERROR(__xludf.DUMMYFUNCTION("GOOGLETRANSLATE(B1207,""en"",""gd"")"),"Dealbh")</f>
        <v>Dealbh</v>
      </c>
    </row>
    <row r="1208" spans="1:9" ht="14.25" customHeight="1" x14ac:dyDescent="0.3">
      <c r="A1208" s="2">
        <v>1207</v>
      </c>
      <c r="B1208" s="3" t="s">
        <v>1215</v>
      </c>
      <c r="C1208" s="2" t="str">
        <f ca="1">IFERROR(__xludf.DUMMYFUNCTION("GOOGLETRANSLATE(B1208, ""en"",""es"")"),"rechazar")</f>
        <v>rechazar</v>
      </c>
      <c r="D1208" s="2" t="str">
        <f ca="1">IFERROR(__xludf.DUMMYFUNCTION("GOOGLETRANSLATE(B1208,""en"",""ig"")"),"ekwela")</f>
        <v>ekwela</v>
      </c>
      <c r="E1208" s="2" t="str">
        <f ca="1">IFERROR(__xludf.DUMMYFUNCTION("GOOGLETRANSLATE(B1208,""en"",""fr"")"),"refuser")</f>
        <v>refuser</v>
      </c>
      <c r="F1208" s="2" t="str">
        <f ca="1">IFERROR(__xludf.DUMMYFUNCTION("GOOGLETRANSLATE(B1208,""en"",""it"")"),"rifiutare")</f>
        <v>rifiutare</v>
      </c>
      <c r="G1208" s="2" t="str">
        <f ca="1">IFERROR(__xludf.DUMMYFUNCTION("GOOGLETRANSLATE(B1208,""en"",""de"")"),"verweigern")</f>
        <v>verweigern</v>
      </c>
      <c r="H1208" s="2" t="str">
        <f ca="1">IFERROR(__xludf.DUMMYFUNCTION("GOOGLETRANSLATE(B1208,""en"",""zh"")"),"拒绝")</f>
        <v>拒绝</v>
      </c>
      <c r="I1208" s="2" t="str">
        <f ca="1">IFERROR(__xludf.DUMMYFUNCTION("GOOGLETRANSLATE(B1208,""en"",""gd"")"),"diùltadh")</f>
        <v>diùltadh</v>
      </c>
    </row>
    <row r="1209" spans="1:9" ht="14.25" customHeight="1" x14ac:dyDescent="0.3">
      <c r="A1209" s="2">
        <v>1208</v>
      </c>
      <c r="B1209" s="3" t="s">
        <v>1216</v>
      </c>
      <c r="C1209" s="2" t="str">
        <f ca="1">IFERROR(__xludf.DUMMYFUNCTION("GOOGLETRANSLATE(B1209, ""en"",""es"")"),"transporte")</f>
        <v>transporte</v>
      </c>
      <c r="D1209" s="2" t="str">
        <f ca="1">IFERROR(__xludf.DUMMYFUNCTION("GOOGLETRANSLATE(B1209,""en"",""ig"")"),"iga")</f>
        <v>iga</v>
      </c>
      <c r="E1209" s="2" t="str">
        <f ca="1">IFERROR(__xludf.DUMMYFUNCTION("GOOGLETRANSLATE(B1209,""en"",""fr"")"),"transport")</f>
        <v>transport</v>
      </c>
      <c r="F1209" s="2" t="str">
        <f ca="1">IFERROR(__xludf.DUMMYFUNCTION("GOOGLETRANSLATE(B1209,""en"",""it"")"),"trasporto")</f>
        <v>trasporto</v>
      </c>
      <c r="G1209" s="2" t="str">
        <f ca="1">IFERROR(__xludf.DUMMYFUNCTION("GOOGLETRANSLATE(B1209,""en"",""de"")"),"Transport")</f>
        <v>Transport</v>
      </c>
      <c r="H1209" s="2" t="str">
        <f ca="1">IFERROR(__xludf.DUMMYFUNCTION("GOOGLETRANSLATE(B1209,""en"",""zh"")"),"运输")</f>
        <v>运输</v>
      </c>
      <c r="I1209" s="2" t="str">
        <f ca="1">IFERROR(__xludf.DUMMYFUNCTION("GOOGLETRANSLATE(B1209,""en"",""gd"")"),"Còmhdhail")</f>
        <v>Còmhdhail</v>
      </c>
    </row>
    <row r="1210" spans="1:9" ht="14.25" customHeight="1" x14ac:dyDescent="0.3">
      <c r="A1210" s="2">
        <v>1209</v>
      </c>
      <c r="B1210" s="3" t="s">
        <v>1217</v>
      </c>
      <c r="C1210" s="2" t="str">
        <f ca="1">IFERROR(__xludf.DUMMYFUNCTION("GOOGLETRANSLATE(B1210, ""en"",""es"")"),"surgir")</f>
        <v>surgir</v>
      </c>
      <c r="D1210" s="2" t="str">
        <f ca="1">IFERROR(__xludf.DUMMYFUNCTION("GOOGLETRANSLATE(B1210,""en"",""ig"")"),"iputa")</f>
        <v>iputa</v>
      </c>
      <c r="E1210" s="2" t="str">
        <f ca="1">IFERROR(__xludf.DUMMYFUNCTION("GOOGLETRANSLATE(B1210,""en"",""fr"")"),"émerger")</f>
        <v>émerger</v>
      </c>
      <c r="F1210" s="2" t="str">
        <f ca="1">IFERROR(__xludf.DUMMYFUNCTION("GOOGLETRANSLATE(B1210,""en"",""it"")"),"emergere")</f>
        <v>emergere</v>
      </c>
      <c r="G1210" s="2" t="str">
        <f ca="1">IFERROR(__xludf.DUMMYFUNCTION("GOOGLETRANSLATE(B1210,""en"",""de"")"),"auftauchen")</f>
        <v>auftauchen</v>
      </c>
      <c r="H1210" s="2" t="str">
        <f ca="1">IFERROR(__xludf.DUMMYFUNCTION("GOOGLETRANSLATE(B1210,""en"",""zh"")"),"出现")</f>
        <v>出现</v>
      </c>
      <c r="I1210" s="2" t="str">
        <f ca="1">IFERROR(__xludf.DUMMYFUNCTION("GOOGLETRANSLATE(B1210,""en"",""gd"")"),"nochdadh")</f>
        <v>nochdadh</v>
      </c>
    </row>
    <row r="1211" spans="1:9" ht="14.25" customHeight="1" x14ac:dyDescent="0.3">
      <c r="A1211" s="2">
        <v>1210</v>
      </c>
      <c r="B1211" s="3" t="s">
        <v>1218</v>
      </c>
      <c r="C1211" s="2" t="str">
        <f ca="1">IFERROR(__xludf.DUMMYFUNCTION("GOOGLETRANSLATE(B1211, ""en"",""es"")"),"mapa")</f>
        <v>mapa</v>
      </c>
      <c r="D1211" s="2" t="str">
        <f ca="1">IFERROR(__xludf.DUMMYFUNCTION("GOOGLETRANSLATE(B1211,""en"",""ig"")"),"maapu")</f>
        <v>maapu</v>
      </c>
      <c r="E1211" s="2" t="str">
        <f ca="1">IFERROR(__xludf.DUMMYFUNCTION("GOOGLETRANSLATE(B1211,""en"",""fr"")"),"carte")</f>
        <v>carte</v>
      </c>
      <c r="F1211" s="2" t="str">
        <f ca="1">IFERROR(__xludf.DUMMYFUNCTION("GOOGLETRANSLATE(B1211,""en"",""it"")"),"carta geografica")</f>
        <v>carta geografica</v>
      </c>
      <c r="G1211" s="2" t="str">
        <f ca="1">IFERROR(__xludf.DUMMYFUNCTION("GOOGLETRANSLATE(B1211,""en"",""de"")"),"Karte")</f>
        <v>Karte</v>
      </c>
      <c r="H1211" s="2" t="str">
        <f ca="1">IFERROR(__xludf.DUMMYFUNCTION("GOOGLETRANSLATE(B1211,""en"",""zh"")"),"地图")</f>
        <v>地图</v>
      </c>
      <c r="I1211" s="2" t="str">
        <f ca="1">IFERROR(__xludf.DUMMYFUNCTION("GOOGLETRANSLATE(B1211,""en"",""gd"")"),"mapa")</f>
        <v>mapa</v>
      </c>
    </row>
    <row r="1212" spans="1:9" ht="14.25" customHeight="1" x14ac:dyDescent="0.3">
      <c r="A1212" s="2">
        <v>1211</v>
      </c>
      <c r="B1212" s="3" t="s">
        <v>1219</v>
      </c>
      <c r="C1212" s="2" t="str">
        <f ca="1">IFERROR(__xludf.DUMMYFUNCTION("GOOGLETRANSLATE(B1212, ""en"",""es"")"),"concepto")</f>
        <v>concepto</v>
      </c>
      <c r="D1212" s="2" t="str">
        <f ca="1">IFERROR(__xludf.DUMMYFUNCTION("GOOGLETRANSLATE(B1212,""en"",""ig"")"),"echiche")</f>
        <v>echiche</v>
      </c>
      <c r="E1212" s="2" t="str">
        <f ca="1">IFERROR(__xludf.DUMMYFUNCTION("GOOGLETRANSLATE(B1212,""en"",""fr"")"),"concept")</f>
        <v>concept</v>
      </c>
      <c r="F1212" s="2" t="str">
        <f ca="1">IFERROR(__xludf.DUMMYFUNCTION("GOOGLETRANSLATE(B1212,""en"",""it"")"),"concetto")</f>
        <v>concetto</v>
      </c>
      <c r="G1212" s="2" t="str">
        <f ca="1">IFERROR(__xludf.DUMMYFUNCTION("GOOGLETRANSLATE(B1212,""en"",""de"")"),"Konzept")</f>
        <v>Konzept</v>
      </c>
      <c r="H1212" s="2" t="str">
        <f ca="1">IFERROR(__xludf.DUMMYFUNCTION("GOOGLETRANSLATE(B1212,""en"",""zh"")"),"概念")</f>
        <v>概念</v>
      </c>
      <c r="I1212" s="2" t="str">
        <f ca="1">IFERROR(__xludf.DUMMYFUNCTION("GOOGLETRANSLATE(B1212,""en"",""gd"")"),"bun-bheachd")</f>
        <v>bun-bheachd</v>
      </c>
    </row>
    <row r="1213" spans="1:9" ht="14.25" customHeight="1" x14ac:dyDescent="0.3">
      <c r="A1213" s="2">
        <v>1212</v>
      </c>
      <c r="B1213" s="3" t="s">
        <v>1220</v>
      </c>
      <c r="C1213" s="2" t="str">
        <f ca="1">IFERROR(__xludf.DUMMYFUNCTION("GOOGLETRANSLATE(B1213, ""en"",""es"")"),"isla")</f>
        <v>isla</v>
      </c>
      <c r="D1213" s="2" t="str">
        <f ca="1">IFERROR(__xludf.DUMMYFUNCTION("GOOGLETRANSLATE(B1213,""en"",""ig"")"),"nno na mmiri")</f>
        <v>nno na mmiri</v>
      </c>
      <c r="E1213" s="2" t="str">
        <f ca="1">IFERROR(__xludf.DUMMYFUNCTION("GOOGLETRANSLATE(B1213,""en"",""fr"")"),"île")</f>
        <v>île</v>
      </c>
      <c r="F1213" s="2" t="str">
        <f ca="1">IFERROR(__xludf.DUMMYFUNCTION("GOOGLETRANSLATE(B1213,""en"",""it"")"),"isola")</f>
        <v>isola</v>
      </c>
      <c r="G1213" s="2" t="str">
        <f ca="1">IFERROR(__xludf.DUMMYFUNCTION("GOOGLETRANSLATE(B1213,""en"",""de"")"),"Insel")</f>
        <v>Insel</v>
      </c>
      <c r="H1213" s="2" t="str">
        <f ca="1">IFERROR(__xludf.DUMMYFUNCTION("GOOGLETRANSLATE(B1213,""en"",""zh"")"),"岛")</f>
        <v>岛</v>
      </c>
      <c r="I1213" s="2" t="str">
        <f ca="1">IFERROR(__xludf.DUMMYFUNCTION("GOOGLETRANSLATE(B1213,""en"",""gd"")"),"eilean")</f>
        <v>eilean</v>
      </c>
    </row>
    <row r="1214" spans="1:9" ht="14.25" customHeight="1" x14ac:dyDescent="0.3">
      <c r="A1214" s="2">
        <v>1213</v>
      </c>
      <c r="B1214" s="3" t="s">
        <v>1221</v>
      </c>
      <c r="C1214" s="2" t="str">
        <f ca="1">IFERROR(__xludf.DUMMYFUNCTION("GOOGLETRANSLATE(B1214, ""en"",""es"")"),"reforma")</f>
        <v>reforma</v>
      </c>
      <c r="D1214" s="2" t="str">
        <f ca="1">IFERROR(__xludf.DUMMYFUNCTION("GOOGLETRANSLATE(B1214,""en"",""ig"")"),"mmezi")</f>
        <v>mmezi</v>
      </c>
      <c r="E1214" s="2" t="str">
        <f ca="1">IFERROR(__xludf.DUMMYFUNCTION("GOOGLETRANSLATE(B1214,""en"",""fr"")"),"réforme")</f>
        <v>réforme</v>
      </c>
      <c r="F1214" s="2" t="str">
        <f ca="1">IFERROR(__xludf.DUMMYFUNCTION("GOOGLETRANSLATE(B1214,""en"",""it"")"),"riforma")</f>
        <v>riforma</v>
      </c>
      <c r="G1214" s="2" t="str">
        <f ca="1">IFERROR(__xludf.DUMMYFUNCTION("GOOGLETRANSLATE(B1214,""en"",""de"")"),"Reform")</f>
        <v>Reform</v>
      </c>
      <c r="H1214" s="2" t="str">
        <f ca="1">IFERROR(__xludf.DUMMYFUNCTION("GOOGLETRANSLATE(B1214,""en"",""zh"")"),"改革")</f>
        <v>改革</v>
      </c>
      <c r="I1214" s="2" t="str">
        <f ca="1">IFERROR(__xludf.DUMMYFUNCTION("GOOGLETRANSLATE(B1214,""en"",""gd"")"),"Ath-leasachadh")</f>
        <v>Ath-leasachadh</v>
      </c>
    </row>
    <row r="1215" spans="1:9" ht="14.25" customHeight="1" x14ac:dyDescent="0.3">
      <c r="A1215" s="2">
        <v>1214</v>
      </c>
      <c r="B1215" s="3" t="s">
        <v>1222</v>
      </c>
      <c r="C1215" s="2" t="str">
        <f ca="1">IFERROR(__xludf.DUMMYFUNCTION("GOOGLETRANSLATE(B1215, ""en"",""es"")"),"ni")</f>
        <v>ni</v>
      </c>
      <c r="D1215" s="2" t="str">
        <f ca="1">IFERROR(__xludf.DUMMYFUNCTION("GOOGLETRANSLATE(B1215,""en"",""ig"")"),"abughi")</f>
        <v>abughi</v>
      </c>
      <c r="E1215" s="2" t="str">
        <f ca="1">IFERROR(__xludf.DUMMYFUNCTION("GOOGLETRANSLATE(B1215,""en"",""fr"")"),"ni l'un ni l'autre")</f>
        <v>ni l'un ni l'autre</v>
      </c>
      <c r="F1215" s="2" t="str">
        <f ca="1">IFERROR(__xludf.DUMMYFUNCTION("GOOGLETRANSLATE(B1215,""en"",""it"")"),"nessuno dei due")</f>
        <v>nessuno dei due</v>
      </c>
      <c r="G1215" s="2" t="str">
        <f ca="1">IFERROR(__xludf.DUMMYFUNCTION("GOOGLETRANSLATE(B1215,""en"",""de"")"),"weder")</f>
        <v>weder</v>
      </c>
      <c r="H1215" s="2" t="str">
        <f ca="1">IFERROR(__xludf.DUMMYFUNCTION("GOOGLETRANSLATE(B1215,""en"",""zh"")"),"两者都不")</f>
        <v>两者都不</v>
      </c>
      <c r="I1215" s="2" t="str">
        <f ca="1">IFERROR(__xludf.DUMMYFUNCTION("GOOGLETRANSLATE(B1215,""en"",""gd"")"),"ni")</f>
        <v>ni</v>
      </c>
    </row>
    <row r="1216" spans="1:9" ht="14.25" customHeight="1" x14ac:dyDescent="0.3">
      <c r="A1216" s="2">
        <v>1215</v>
      </c>
      <c r="B1216" s="3" t="s">
        <v>1223</v>
      </c>
      <c r="C1216" s="2" t="str">
        <f ca="1">IFERROR(__xludf.DUMMYFUNCTION("GOOGLETRANSLATE(B1216, ""en"",""es"")"),"fútbol americano")</f>
        <v>fútbol americano</v>
      </c>
      <c r="D1216" s="2" t="str">
        <f ca="1">IFERROR(__xludf.DUMMYFUNCTION("GOOGLETRANSLATE(B1216,""en"",""ig"")"),"kobloba")</f>
        <v>kobloba</v>
      </c>
      <c r="E1216" s="2" t="str">
        <f ca="1">IFERROR(__xludf.DUMMYFUNCTION("GOOGLETRANSLATE(B1216,""en"",""fr"")"),"football")</f>
        <v>football</v>
      </c>
      <c r="F1216" s="2" t="str">
        <f ca="1">IFERROR(__xludf.DUMMYFUNCTION("GOOGLETRANSLATE(B1216,""en"",""it"")"),"calcio")</f>
        <v>calcio</v>
      </c>
      <c r="G1216" s="2" t="str">
        <f ca="1">IFERROR(__xludf.DUMMYFUNCTION("GOOGLETRANSLATE(B1216,""en"",""de"")"),"Fußball")</f>
        <v>Fußball</v>
      </c>
      <c r="H1216" s="2" t="str">
        <f ca="1">IFERROR(__xludf.DUMMYFUNCTION("GOOGLETRANSLATE(B1216,""en"",""zh"")"),"足球")</f>
        <v>足球</v>
      </c>
      <c r="I1216" s="2" t="str">
        <f ca="1">IFERROR(__xludf.DUMMYFUNCTION("GOOGLETRANSLATE(B1216,""en"",""gd"")"),"ball-coise")</f>
        <v>ball-coise</v>
      </c>
    </row>
    <row r="1217" spans="1:9" ht="14.25" customHeight="1" x14ac:dyDescent="0.3">
      <c r="A1217" s="2">
        <v>1216</v>
      </c>
      <c r="B1217" s="3" t="s">
        <v>1224</v>
      </c>
      <c r="C1217" s="2" t="str">
        <f ca="1">IFERROR(__xludf.DUMMYFUNCTION("GOOGLETRANSLATE(B1217, ""en"",""es"")"),"sobrevivir")</f>
        <v>sobrevivir</v>
      </c>
      <c r="D1217" s="2" t="str">
        <f ca="1">IFERROR(__xludf.DUMMYFUNCTION("GOOGLETRANSLATE(B1217,""en"",""ig"")"),"nwufo")</f>
        <v>nwufo</v>
      </c>
      <c r="E1217" s="2" t="str">
        <f ca="1">IFERROR(__xludf.DUMMYFUNCTION("GOOGLETRANSLATE(B1217,""en"",""fr"")"),"survivre")</f>
        <v>survivre</v>
      </c>
      <c r="F1217" s="2" t="str">
        <f ca="1">IFERROR(__xludf.DUMMYFUNCTION("GOOGLETRANSLATE(B1217,""en"",""it"")"),"sopravvivere")</f>
        <v>sopravvivere</v>
      </c>
      <c r="G1217" s="2" t="str">
        <f ca="1">IFERROR(__xludf.DUMMYFUNCTION("GOOGLETRANSLATE(B1217,""en"",""de"")"),"überleben")</f>
        <v>überleben</v>
      </c>
      <c r="H1217" s="2" t="str">
        <f ca="1">IFERROR(__xludf.DUMMYFUNCTION("GOOGLETRANSLATE(B1217,""en"",""zh"")"),"存活")</f>
        <v>存活</v>
      </c>
      <c r="I1217" s="2" t="str">
        <f ca="1">IFERROR(__xludf.DUMMYFUNCTION("GOOGLETRANSLATE(B1217,""en"",""gd"")"),"mairsinn")</f>
        <v>mairsinn</v>
      </c>
    </row>
    <row r="1218" spans="1:9" ht="14.25" customHeight="1" x14ac:dyDescent="0.3">
      <c r="A1218" s="2">
        <v>1217</v>
      </c>
      <c r="B1218" s="3" t="s">
        <v>1225</v>
      </c>
      <c r="C1218" s="2" t="str">
        <f ca="1">IFERROR(__xludf.DUMMYFUNCTION("GOOGLETRANSLATE(B1218, ""en"",""es"")"),"vuelo")</f>
        <v>vuelo</v>
      </c>
      <c r="D1218" s="2" t="str">
        <f ca="1">IFERROR(__xludf.DUMMYFUNCTION("GOOGLETRANSLATE(B1218,""en"",""ig"")"),"njem ugbo elu")</f>
        <v>njem ugbo elu</v>
      </c>
      <c r="E1218" s="2" t="str">
        <f ca="1">IFERROR(__xludf.DUMMYFUNCTION("GOOGLETRANSLATE(B1218,""en"",""fr"")"),"vol")</f>
        <v>vol</v>
      </c>
      <c r="F1218" s="2" t="str">
        <f ca="1">IFERROR(__xludf.DUMMYFUNCTION("GOOGLETRANSLATE(B1218,""en"",""it"")"),"volo")</f>
        <v>volo</v>
      </c>
      <c r="G1218" s="2" t="str">
        <f ca="1">IFERROR(__xludf.DUMMYFUNCTION("GOOGLETRANSLATE(B1218,""en"",""de"")"),"Flug")</f>
        <v>Flug</v>
      </c>
      <c r="H1218" s="2" t="str">
        <f ca="1">IFERROR(__xludf.DUMMYFUNCTION("GOOGLETRANSLATE(B1218,""en"",""zh"")"),"航班")</f>
        <v>航班</v>
      </c>
      <c r="I1218" s="2" t="str">
        <f ca="1">IFERROR(__xludf.DUMMYFUNCTION("GOOGLETRANSLATE(B1218,""en"",""gd"")"),"Itealaich")</f>
        <v>Itealaich</v>
      </c>
    </row>
    <row r="1219" spans="1:9" ht="14.25" customHeight="1" x14ac:dyDescent="0.3">
      <c r="A1219" s="2">
        <v>1218</v>
      </c>
      <c r="B1219" s="3" t="s">
        <v>1226</v>
      </c>
      <c r="C1219" s="2" t="str">
        <f ca="1">IFERROR(__xludf.DUMMYFUNCTION("GOOGLETRANSLATE(B1219, ""en"",""es"")"),"izquierda")</f>
        <v>izquierda</v>
      </c>
      <c r="D1219" s="2" t="str">
        <f ca="1">IFERROR(__xludf.DUMMYFUNCTION("GOOGLETRANSLATE(B1219,""en"",""ig"")"),"keekpe")</f>
        <v>keekpe</v>
      </c>
      <c r="E1219" s="2" t="str">
        <f ca="1">IFERROR(__xludf.DUMMYFUNCTION("GOOGLETRANSLATE(B1219,""en"",""fr"")"),"gauche")</f>
        <v>gauche</v>
      </c>
      <c r="F1219" s="2" t="str">
        <f ca="1">IFERROR(__xludf.DUMMYFUNCTION("GOOGLETRANSLATE(B1219,""en"",""it"")"),"Sinistra")</f>
        <v>Sinistra</v>
      </c>
      <c r="G1219" s="2" t="str">
        <f ca="1">IFERROR(__xludf.DUMMYFUNCTION("GOOGLETRANSLATE(B1219,""en"",""de"")"),"links")</f>
        <v>links</v>
      </c>
      <c r="H1219" s="2" t="str">
        <f ca="1">IFERROR(__xludf.DUMMYFUNCTION("GOOGLETRANSLATE(B1219,""en"",""zh"")"),"左边")</f>
        <v>左边</v>
      </c>
      <c r="I1219" s="2" t="str">
        <f ca="1">IFERROR(__xludf.DUMMYFUNCTION("GOOGLETRANSLATE(B1219,""en"",""gd"")"),"clì")</f>
        <v>clì</v>
      </c>
    </row>
    <row r="1220" spans="1:9" ht="14.25" customHeight="1" x14ac:dyDescent="0.3">
      <c r="A1220" s="2">
        <v>1219</v>
      </c>
      <c r="B1220" s="3" t="s">
        <v>1227</v>
      </c>
      <c r="C1220" s="2" t="str">
        <f ca="1">IFERROR(__xludf.DUMMYFUNCTION("GOOGLETRANSLATE(B1220, ""en"",""es"")"),"resolver")</f>
        <v>resolver</v>
      </c>
      <c r="D1220" s="2" t="str">
        <f ca="1">IFERROR(__xludf.DUMMYFUNCTION("GOOGLETRANSLATE(B1220,""en"",""ig"")"),"isa")</f>
        <v>isa</v>
      </c>
      <c r="E1220" s="2" t="str">
        <f ca="1">IFERROR(__xludf.DUMMYFUNCTION("GOOGLETRANSLATE(B1220,""en"",""fr"")"),"résoudre")</f>
        <v>résoudre</v>
      </c>
      <c r="F1220" s="2" t="str">
        <f ca="1">IFERROR(__xludf.DUMMYFUNCTION("GOOGLETRANSLATE(B1220,""en"",""it"")"),"risolvere")</f>
        <v>risolvere</v>
      </c>
      <c r="G1220" s="2" t="str">
        <f ca="1">IFERROR(__xludf.DUMMYFUNCTION("GOOGLETRANSLATE(B1220,""en"",""de"")"),"lösen")</f>
        <v>lösen</v>
      </c>
      <c r="H1220" s="2" t="str">
        <f ca="1">IFERROR(__xludf.DUMMYFUNCTION("GOOGLETRANSLATE(B1220,""en"",""zh"")"),"解决")</f>
        <v>解决</v>
      </c>
      <c r="I1220" s="2" t="str">
        <f ca="1">IFERROR(__xludf.DUMMYFUNCTION("GOOGLETRANSLATE(B1220,""en"",""gd"")"),"fuasgladh")</f>
        <v>fuasgladh</v>
      </c>
    </row>
    <row r="1221" spans="1:9" ht="14.25" customHeight="1" x14ac:dyDescent="0.3">
      <c r="A1221" s="2">
        <v>1220</v>
      </c>
      <c r="B1221" s="3" t="s">
        <v>1228</v>
      </c>
      <c r="C1221" s="2" t="str">
        <f ca="1">IFERROR(__xludf.DUMMYFUNCTION("GOOGLETRANSLATE(B1221, ""en"",""es"")"),"vecino")</f>
        <v>vecino</v>
      </c>
      <c r="D1221" s="2" t="str">
        <f ca="1">IFERROR(__xludf.DUMMYFUNCTION("GOOGLETRANSLATE(B1221,""en"",""ig"")"),"onyeagbataobi")</f>
        <v>onyeagbataobi</v>
      </c>
      <c r="E1221" s="2" t="str">
        <f ca="1">IFERROR(__xludf.DUMMYFUNCTION("GOOGLETRANSLATE(B1221,""en"",""fr"")"),"voisin")</f>
        <v>voisin</v>
      </c>
      <c r="F1221" s="2" t="str">
        <f ca="1">IFERROR(__xludf.DUMMYFUNCTION("GOOGLETRANSLATE(B1221,""en"",""it"")"),"vicino")</f>
        <v>vicino</v>
      </c>
      <c r="G1221" s="2" t="str">
        <f ca="1">IFERROR(__xludf.DUMMYFUNCTION("GOOGLETRANSLATE(B1221,""en"",""de"")"),"Nachbar")</f>
        <v>Nachbar</v>
      </c>
      <c r="H1221" s="2" t="str">
        <f ca="1">IFERROR(__xludf.DUMMYFUNCTION("GOOGLETRANSLATE(B1221,""en"",""zh"")"),"邻居")</f>
        <v>邻居</v>
      </c>
      <c r="I1221" s="2" t="str">
        <f ca="1">IFERROR(__xludf.DUMMYFUNCTION("GOOGLETRANSLATE(B1221,""en"",""gd"")"),"nàbaidh")</f>
        <v>nàbaidh</v>
      </c>
    </row>
    <row r="1222" spans="1:9" ht="14.25" customHeight="1" x14ac:dyDescent="0.3">
      <c r="A1222" s="2">
        <v>1221</v>
      </c>
      <c r="B1222" s="3" t="s">
        <v>1229</v>
      </c>
      <c r="C1222" s="2" t="str">
        <f ca="1">IFERROR(__xludf.DUMMYFUNCTION("GOOGLETRANSLATE(B1222, ""en"",""es"")"),"fondo")</f>
        <v>fondo</v>
      </c>
      <c r="D1222" s="2" t="str">
        <f ca="1">IFERROR(__xludf.DUMMYFUNCTION("GOOGLETRANSLATE(B1222,""en"",""ig"")"),"ndabere")</f>
        <v>ndabere</v>
      </c>
      <c r="E1222" s="2" t="str">
        <f ca="1">IFERROR(__xludf.DUMMYFUNCTION("GOOGLETRANSLATE(B1222,""en"",""fr"")"),"arrière-plan")</f>
        <v>arrière-plan</v>
      </c>
      <c r="F1222" s="2" t="str">
        <f ca="1">IFERROR(__xludf.DUMMYFUNCTION("GOOGLETRANSLATE(B1222,""en"",""it"")"),"sfondo")</f>
        <v>sfondo</v>
      </c>
      <c r="G1222" s="2" t="str">
        <f ca="1">IFERROR(__xludf.DUMMYFUNCTION("GOOGLETRANSLATE(B1222,""en"",""de"")"),"Hintergrund")</f>
        <v>Hintergrund</v>
      </c>
      <c r="H1222" s="2" t="str">
        <f ca="1">IFERROR(__xludf.DUMMYFUNCTION("GOOGLETRANSLATE(B1222,""en"",""zh"")"),"背景")</f>
        <v>背景</v>
      </c>
      <c r="I1222" s="2" t="str">
        <f ca="1">IFERROR(__xludf.DUMMYFUNCTION("GOOGLETRANSLATE(B1222,""en"",""gd"")"),"Cùl-fhiosrachadh")</f>
        <v>Cùl-fhiosrachadh</v>
      </c>
    </row>
    <row r="1223" spans="1:9" ht="14.25" customHeight="1" x14ac:dyDescent="0.3">
      <c r="A1223" s="2">
        <v>1222</v>
      </c>
      <c r="B1223" s="3" t="s">
        <v>1230</v>
      </c>
      <c r="C1223" s="2" t="str">
        <f ca="1">IFERROR(__xludf.DUMMYFUNCTION("GOOGLETRANSLATE(B1223, ""en"",""es"")"),"técnica")</f>
        <v>técnica</v>
      </c>
      <c r="D1223" s="2" t="str">
        <f ca="1">IFERROR(__xludf.DUMMYFUNCTION("GOOGLETRANSLATE(B1223,""en"",""ig"")"),"teknik")</f>
        <v>teknik</v>
      </c>
      <c r="E1223" s="2" t="str">
        <f ca="1">IFERROR(__xludf.DUMMYFUNCTION("GOOGLETRANSLATE(B1223,""en"",""fr"")"),"technique")</f>
        <v>technique</v>
      </c>
      <c r="F1223" s="2" t="str">
        <f ca="1">IFERROR(__xludf.DUMMYFUNCTION("GOOGLETRANSLATE(B1223,""en"",""it"")"),"tecnica")</f>
        <v>tecnica</v>
      </c>
      <c r="G1223" s="2" t="str">
        <f ca="1">IFERROR(__xludf.DUMMYFUNCTION("GOOGLETRANSLATE(B1223,""en"",""de"")"),"Technik")</f>
        <v>Technik</v>
      </c>
      <c r="H1223" s="2" t="str">
        <f ca="1">IFERROR(__xludf.DUMMYFUNCTION("GOOGLETRANSLATE(B1223,""en"",""zh"")"),"技术")</f>
        <v>技术</v>
      </c>
      <c r="I1223" s="2" t="str">
        <f ca="1">IFERROR(__xludf.DUMMYFUNCTION("GOOGLETRANSLATE(B1223,""en"",""gd"")"),"Teicneòlas")</f>
        <v>Teicneòlas</v>
      </c>
    </row>
    <row r="1224" spans="1:9" ht="14.25" customHeight="1" x14ac:dyDescent="0.3">
      <c r="A1224" s="2">
        <v>1223</v>
      </c>
      <c r="B1224" s="3" t="s">
        <v>1231</v>
      </c>
      <c r="C1224" s="2" t="str">
        <f ca="1">IFERROR(__xludf.DUMMYFUNCTION("GOOGLETRANSLATE(B1224, ""en"",""es"")"),"tráfico")</f>
        <v>tráfico</v>
      </c>
      <c r="D1224" s="2" t="str">
        <f ca="1">IFERROR(__xludf.DUMMYFUNCTION("GOOGLETRANSLATE(B1224,""en"",""ig"")"),"trafik")</f>
        <v>trafik</v>
      </c>
      <c r="E1224" s="2" t="str">
        <f ca="1">IFERROR(__xludf.DUMMYFUNCTION("GOOGLETRANSLATE(B1224,""en"",""fr"")"),"trafic")</f>
        <v>trafic</v>
      </c>
      <c r="F1224" s="2" t="str">
        <f ca="1">IFERROR(__xludf.DUMMYFUNCTION("GOOGLETRANSLATE(B1224,""en"",""it"")"),"traffico")</f>
        <v>traffico</v>
      </c>
      <c r="G1224" s="2" t="str">
        <f ca="1">IFERROR(__xludf.DUMMYFUNCTION("GOOGLETRANSLATE(B1224,""en"",""de"")"),"Verkehr")</f>
        <v>Verkehr</v>
      </c>
      <c r="H1224" s="2" t="str">
        <f ca="1">IFERROR(__xludf.DUMMYFUNCTION("GOOGLETRANSLATE(B1224,""en"",""zh"")"),"交通")</f>
        <v>交通</v>
      </c>
      <c r="I1224" s="2" t="str">
        <f ca="1">IFERROR(__xludf.DUMMYFUNCTION("GOOGLETRANSLATE(B1224,""en"",""gd"")"),"trafaic")</f>
        <v>trafaic</v>
      </c>
    </row>
    <row r="1225" spans="1:9" ht="14.25" customHeight="1" x14ac:dyDescent="0.3">
      <c r="A1225" s="2">
        <v>1224</v>
      </c>
      <c r="B1225" s="3" t="s">
        <v>1232</v>
      </c>
      <c r="C1225" s="2" t="str">
        <f ca="1">IFERROR(__xludf.DUMMYFUNCTION("GOOGLETRANSLATE(B1225, ""en"",""es"")"),"mejora")</f>
        <v>mejora</v>
      </c>
      <c r="D1225" s="2" t="str">
        <f ca="1">IFERROR(__xludf.DUMMYFUNCTION("GOOGLETRANSLATE(B1225,""en"",""ig"")"),"oganiihu")</f>
        <v>oganiihu</v>
      </c>
      <c r="E1225" s="2" t="str">
        <f ca="1">IFERROR(__xludf.DUMMYFUNCTION("GOOGLETRANSLATE(B1225,""en"",""fr"")"),"amélioration")</f>
        <v>amélioration</v>
      </c>
      <c r="F1225" s="2" t="str">
        <f ca="1">IFERROR(__xludf.DUMMYFUNCTION("GOOGLETRANSLATE(B1225,""en"",""it"")"),"miglioramento")</f>
        <v>miglioramento</v>
      </c>
      <c r="G1225" s="2" t="str">
        <f ca="1">IFERROR(__xludf.DUMMYFUNCTION("GOOGLETRANSLATE(B1225,""en"",""de"")"),"Verbesserung")</f>
        <v>Verbesserung</v>
      </c>
      <c r="H1225" s="2" t="str">
        <f ca="1">IFERROR(__xludf.DUMMYFUNCTION("GOOGLETRANSLATE(B1225,""en"",""zh"")"),"改进")</f>
        <v>改进</v>
      </c>
      <c r="I1225" s="2" t="str">
        <f ca="1">IFERROR(__xludf.DUMMYFUNCTION("GOOGLETRANSLATE(B1225,""en"",""gd"")"),"Leasachadh")</f>
        <v>Leasachadh</v>
      </c>
    </row>
    <row r="1226" spans="1:9" ht="14.25" customHeight="1" x14ac:dyDescent="0.3">
      <c r="A1226" s="2">
        <v>1225</v>
      </c>
      <c r="B1226" s="3" t="s">
        <v>1233</v>
      </c>
      <c r="C1226" s="2" t="str">
        <f ca="1">IFERROR(__xludf.DUMMYFUNCTION("GOOGLETRANSLATE(B1226, ""en"",""es"")"),"herramienta")</f>
        <v>herramienta</v>
      </c>
      <c r="D1226" s="2" t="str">
        <f ca="1">IFERROR(__xludf.DUMMYFUNCTION("GOOGLETRANSLATE(B1226,""en"",""ig"")"),"ngwa oru")</f>
        <v>ngwa oru</v>
      </c>
      <c r="E1226" s="2" t="str">
        <f ca="1">IFERROR(__xludf.DUMMYFUNCTION("GOOGLETRANSLATE(B1226,""en"",""fr"")"),"outil")</f>
        <v>outil</v>
      </c>
      <c r="F1226" s="2" t="str">
        <f ca="1">IFERROR(__xludf.DUMMYFUNCTION("GOOGLETRANSLATE(B1226,""en"",""it"")"),"attrezzo")</f>
        <v>attrezzo</v>
      </c>
      <c r="G1226" s="2" t="str">
        <f ca="1">IFERROR(__xludf.DUMMYFUNCTION("GOOGLETRANSLATE(B1226,""en"",""de"")"),"Werkzeug")</f>
        <v>Werkzeug</v>
      </c>
      <c r="H1226" s="2" t="str">
        <f ca="1">IFERROR(__xludf.DUMMYFUNCTION("GOOGLETRANSLATE(B1226,""en"",""zh"")"),"工具")</f>
        <v>工具</v>
      </c>
      <c r="I1226" s="2" t="str">
        <f ca="1">IFERROR(__xludf.DUMMYFUNCTION("GOOGLETRANSLATE(B1226,""en"",""gd"")"),"Inneal")</f>
        <v>Inneal</v>
      </c>
    </row>
    <row r="1227" spans="1:9" ht="14.25" customHeight="1" x14ac:dyDescent="0.3">
      <c r="A1227" s="2">
        <v>1226</v>
      </c>
      <c r="B1227" s="3" t="s">
        <v>1234</v>
      </c>
      <c r="C1227" s="2" t="str">
        <f ca="1">IFERROR(__xludf.DUMMYFUNCTION("GOOGLETRANSLATE(B1227, ""en"",""es"")"),"consecuencia")</f>
        <v>consecuencia</v>
      </c>
      <c r="D1227" s="2" t="str">
        <f ca="1">IFERROR(__xludf.DUMMYFUNCTION("GOOGLETRANSLATE(B1227,""en"",""ig"")"),"rizootu")</f>
        <v>rizootu</v>
      </c>
      <c r="E1227" s="2" t="str">
        <f ca="1">IFERROR(__xludf.DUMMYFUNCTION("GOOGLETRANSLATE(B1227,""en"",""fr"")"),"conséquence")</f>
        <v>conséquence</v>
      </c>
      <c r="F1227" s="2" t="str">
        <f ca="1">IFERROR(__xludf.DUMMYFUNCTION("GOOGLETRANSLATE(B1227,""en"",""it"")"),"conseguenza")</f>
        <v>conseguenza</v>
      </c>
      <c r="G1227" s="2" t="str">
        <f ca="1">IFERROR(__xludf.DUMMYFUNCTION("GOOGLETRANSLATE(B1227,""en"",""de"")"),"Folge")</f>
        <v>Folge</v>
      </c>
      <c r="H1227" s="2" t="str">
        <f ca="1">IFERROR(__xludf.DUMMYFUNCTION("GOOGLETRANSLATE(B1227,""en"",""zh"")"),"结果")</f>
        <v>结果</v>
      </c>
      <c r="I1227" s="2" t="str">
        <f ca="1">IFERROR(__xludf.DUMMYFUNCTION("GOOGLETRANSLATE(B1227,""en"",""gd"")"),"buil")</f>
        <v>buil</v>
      </c>
    </row>
    <row r="1228" spans="1:9" ht="14.25" customHeight="1" x14ac:dyDescent="0.3">
      <c r="A1228" s="2">
        <v>1227</v>
      </c>
      <c r="B1228" s="3" t="s">
        <v>1235</v>
      </c>
      <c r="C1228" s="2" t="str">
        <f ca="1">IFERROR(__xludf.DUMMYFUNCTION("GOOGLETRANSLATE(B1228, ""en"",""es"")"),"circunstancia")</f>
        <v>circunstancia</v>
      </c>
      <c r="D1228" s="2" t="str">
        <f ca="1">IFERROR(__xludf.DUMMYFUNCTION("GOOGLETRANSLATE(B1228,""en"",""ig"")"),"inwe onodu")</f>
        <v>inwe onodu</v>
      </c>
      <c r="E1228" s="2" t="str">
        <f ca="1">IFERROR(__xludf.DUMMYFUNCTION("GOOGLETRANSLATE(B1228,""en"",""fr"")"),"circonstance")</f>
        <v>circonstance</v>
      </c>
      <c r="F1228" s="2" t="str">
        <f ca="1">IFERROR(__xludf.DUMMYFUNCTION("GOOGLETRANSLATE(B1228,""en"",""it"")"),"circostanza")</f>
        <v>circostanza</v>
      </c>
      <c r="G1228" s="2" t="str">
        <f ca="1">IFERROR(__xludf.DUMMYFUNCTION("GOOGLETRANSLATE(B1228,""en"",""de"")"),"Umstand")</f>
        <v>Umstand</v>
      </c>
      <c r="H1228" s="2" t="str">
        <f ca="1">IFERROR(__xludf.DUMMYFUNCTION("GOOGLETRANSLATE(B1228,""en"",""zh"")"),"环境")</f>
        <v>环境</v>
      </c>
      <c r="I1228" s="2" t="str">
        <f ca="1">IFERROR(__xludf.DUMMYFUNCTION("GOOGLETRANSLATE(B1228,""en"",""gd"")"),"suidheachadh")</f>
        <v>suidheachadh</v>
      </c>
    </row>
    <row r="1229" spans="1:9" ht="14.25" customHeight="1" x14ac:dyDescent="0.3">
      <c r="A1229" s="2">
        <v>1228</v>
      </c>
      <c r="B1229" s="3" t="s">
        <v>1236</v>
      </c>
      <c r="C1229" s="2" t="str">
        <f ca="1">IFERROR(__xludf.DUMMYFUNCTION("GOOGLETRANSLATE(B1229, ""en"",""es"")"),"fumar")</f>
        <v>fumar</v>
      </c>
      <c r="D1229" s="2" t="str">
        <f ca="1">IFERROR(__xludf.DUMMYFUNCTION("GOOGLETRANSLATE(B1229,""en"",""ig"")"),"inanoku")</f>
        <v>inanoku</v>
      </c>
      <c r="E1229" s="2" t="str">
        <f ca="1">IFERROR(__xludf.DUMMYFUNCTION("GOOGLETRANSLATE(B1229,""en"",""fr"")"),"fumée")</f>
        <v>fumée</v>
      </c>
      <c r="F1229" s="2" t="str">
        <f ca="1">IFERROR(__xludf.DUMMYFUNCTION("GOOGLETRANSLATE(B1229,""en"",""it"")"),"Fumo")</f>
        <v>Fumo</v>
      </c>
      <c r="G1229" s="2" t="str">
        <f ca="1">IFERROR(__xludf.DUMMYFUNCTION("GOOGLETRANSLATE(B1229,""en"",""de"")"),"Rauch")</f>
        <v>Rauch</v>
      </c>
      <c r="H1229" s="2" t="str">
        <f ca="1">IFERROR(__xludf.DUMMYFUNCTION("GOOGLETRANSLATE(B1229,""en"",""zh"")"),"抽烟")</f>
        <v>抽烟</v>
      </c>
      <c r="I1229" s="2" t="str">
        <f ca="1">IFERROR(__xludf.DUMMYFUNCTION("GOOGLETRANSLATE(B1229,""en"",""gd"")"),"Smoc")</f>
        <v>Smoc</v>
      </c>
    </row>
    <row r="1230" spans="1:9" ht="14.25" customHeight="1" x14ac:dyDescent="0.3">
      <c r="A1230" s="2">
        <v>1229</v>
      </c>
      <c r="B1230" s="3" t="s">
        <v>1237</v>
      </c>
      <c r="C1230" s="2" t="str">
        <f ca="1">IFERROR(__xludf.DUMMYFUNCTION("GOOGLETRANSLATE(B1230, ""en"",""es"")"),"reacción")</f>
        <v>reacción</v>
      </c>
      <c r="D1230" s="2" t="str">
        <f ca="1">IFERROR(__xludf.DUMMYFUNCTION("GOOGLETRANSLATE(B1230,""en"",""ig"")"),"mmegwara")</f>
        <v>mmegwara</v>
      </c>
      <c r="E1230" s="2" t="str">
        <f ca="1">IFERROR(__xludf.DUMMYFUNCTION("GOOGLETRANSLATE(B1230,""en"",""fr"")"),"réaction")</f>
        <v>réaction</v>
      </c>
      <c r="F1230" s="2" t="str">
        <f ca="1">IFERROR(__xludf.DUMMYFUNCTION("GOOGLETRANSLATE(B1230,""en"",""it"")"),"reazione")</f>
        <v>reazione</v>
      </c>
      <c r="G1230" s="2" t="str">
        <f ca="1">IFERROR(__xludf.DUMMYFUNCTION("GOOGLETRANSLATE(B1230,""en"",""de"")"),"Reaktion")</f>
        <v>Reaktion</v>
      </c>
      <c r="H1230" s="2" t="str">
        <f ca="1">IFERROR(__xludf.DUMMYFUNCTION("GOOGLETRANSLATE(B1230,""en"",""zh"")"),"反应")</f>
        <v>反应</v>
      </c>
      <c r="I1230" s="2" t="str">
        <f ca="1">IFERROR(__xludf.DUMMYFUNCTION("GOOGLETRANSLATE(B1230,""en"",""gd"")"),"Freagairt")</f>
        <v>Freagairt</v>
      </c>
    </row>
    <row r="1231" spans="1:9" ht="14.25" customHeight="1" x14ac:dyDescent="0.3">
      <c r="A1231" s="2">
        <v>1230</v>
      </c>
      <c r="B1231" s="3" t="s">
        <v>1238</v>
      </c>
      <c r="C1231" s="2" t="str">
        <f ca="1">IFERROR(__xludf.DUMMYFUNCTION("GOOGLETRANSLATE(B1231, ""en"",""es"")"),"lluvia")</f>
        <v>lluvia</v>
      </c>
      <c r="D1231" s="2" t="str">
        <f ca="1">IFERROR(__xludf.DUMMYFUNCTION("GOOGLETRANSLATE(B1231,""en"",""ig"")"),"mmiri ozuzo")</f>
        <v>mmiri ozuzo</v>
      </c>
      <c r="E1231" s="2" t="str">
        <f ca="1">IFERROR(__xludf.DUMMYFUNCTION("GOOGLETRANSLATE(B1231,""en"",""fr"")"),"pluie")</f>
        <v>pluie</v>
      </c>
      <c r="F1231" s="2" t="str">
        <f ca="1">IFERROR(__xludf.DUMMYFUNCTION("GOOGLETRANSLATE(B1231,""en"",""it"")"),"piovere")</f>
        <v>piovere</v>
      </c>
      <c r="G1231" s="2" t="str">
        <f ca="1">IFERROR(__xludf.DUMMYFUNCTION("GOOGLETRANSLATE(B1231,""en"",""de"")"),"Regen")</f>
        <v>Regen</v>
      </c>
      <c r="H1231" s="2" t="str">
        <f ca="1">IFERROR(__xludf.DUMMYFUNCTION("GOOGLETRANSLATE(B1231,""en"",""zh"")"),"雨")</f>
        <v>雨</v>
      </c>
      <c r="I1231" s="2" t="str">
        <f ca="1">IFERROR(__xludf.DUMMYFUNCTION("GOOGLETRANSLATE(B1231,""en"",""gd"")"),"uisge")</f>
        <v>uisge</v>
      </c>
    </row>
    <row r="1232" spans="1:9" ht="14.25" customHeight="1" x14ac:dyDescent="0.3">
      <c r="A1232" s="2">
        <v>1231</v>
      </c>
      <c r="B1232" s="3" t="s">
        <v>1239</v>
      </c>
      <c r="C1232" s="2" t="str">
        <f ca="1">IFERROR(__xludf.DUMMYFUNCTION("GOOGLETRANSLATE(B1232, ""en"",""es"")"),"ocupado")</f>
        <v>ocupado</v>
      </c>
      <c r="D1232" s="2" t="str">
        <f ca="1">IFERROR(__xludf.DUMMYFUNCTION("GOOGLETRANSLATE(B1232,""en"",""ig"")"),"keigbambo")</f>
        <v>keigbambo</v>
      </c>
      <c r="E1232" s="2" t="str">
        <f ca="1">IFERROR(__xludf.DUMMYFUNCTION("GOOGLETRANSLATE(B1232,""en"",""fr"")"),"occupé")</f>
        <v>occupé</v>
      </c>
      <c r="F1232" s="2" t="str">
        <f ca="1">IFERROR(__xludf.DUMMYFUNCTION("GOOGLETRANSLATE(B1232,""en"",""it"")"),"Occupato")</f>
        <v>Occupato</v>
      </c>
      <c r="G1232" s="2" t="str">
        <f ca="1">IFERROR(__xludf.DUMMYFUNCTION("GOOGLETRANSLATE(B1232,""en"",""de"")"),"beschäftigt")</f>
        <v>beschäftigt</v>
      </c>
      <c r="H1232" s="2" t="str">
        <f ca="1">IFERROR(__xludf.DUMMYFUNCTION("GOOGLETRANSLATE(B1232,""en"",""zh"")"),"忙碌的")</f>
        <v>忙碌的</v>
      </c>
      <c r="I1232" s="2" t="str">
        <f ca="1">IFERROR(__xludf.DUMMYFUNCTION("GOOGLETRANSLATE(B1232,""en"",""gd"")"),"trang")</f>
        <v>trang</v>
      </c>
    </row>
    <row r="1233" spans="1:9" ht="14.25" customHeight="1" x14ac:dyDescent="0.3">
      <c r="A1233" s="2">
        <v>1232</v>
      </c>
      <c r="B1233" s="3" t="s">
        <v>1240</v>
      </c>
      <c r="C1233" s="2" t="str">
        <f ca="1">IFERROR(__xludf.DUMMYFUNCTION("GOOGLETRANSLATE(B1233, ""en"",""es"")"),"lección")</f>
        <v>lección</v>
      </c>
      <c r="D1233" s="2" t="str">
        <f ca="1">IFERROR(__xludf.DUMMYFUNCTION("GOOGLETRANSLATE(B1233,""en"",""ig"")"),"omumu ihe")</f>
        <v>omumu ihe</v>
      </c>
      <c r="E1233" s="2" t="str">
        <f ca="1">IFERROR(__xludf.DUMMYFUNCTION("GOOGLETRANSLATE(B1233,""en"",""fr"")"),"leçon")</f>
        <v>leçon</v>
      </c>
      <c r="F1233" s="2" t="str">
        <f ca="1">IFERROR(__xludf.DUMMYFUNCTION("GOOGLETRANSLATE(B1233,""en"",""it"")"),"lezione")</f>
        <v>lezione</v>
      </c>
      <c r="G1233" s="2" t="str">
        <f ca="1">IFERROR(__xludf.DUMMYFUNCTION("GOOGLETRANSLATE(B1233,""en"",""de"")"),"Lektion")</f>
        <v>Lektion</v>
      </c>
      <c r="H1233" s="2" t="str">
        <f ca="1">IFERROR(__xludf.DUMMYFUNCTION("GOOGLETRANSLATE(B1233,""en"",""zh"")"),"课")</f>
        <v>课</v>
      </c>
      <c r="I1233" s="2" t="str">
        <f ca="1">IFERROR(__xludf.DUMMYFUNCTION("GOOGLETRANSLATE(B1233,""en"",""gd"")"),"Leasan")</f>
        <v>Leasan</v>
      </c>
    </row>
    <row r="1234" spans="1:9" ht="14.25" customHeight="1" x14ac:dyDescent="0.3">
      <c r="A1234" s="2">
        <v>1233</v>
      </c>
      <c r="B1234" s="3" t="s">
        <v>1241</v>
      </c>
      <c r="C1234" s="2" t="str">
        <f ca="1">IFERROR(__xludf.DUMMYFUNCTION("GOOGLETRANSLATE(B1234, ""en"",""es"")"),"cerebro")</f>
        <v>cerebro</v>
      </c>
      <c r="D1234" s="2" t="str">
        <f ca="1">IFERROR(__xludf.DUMMYFUNCTION("GOOGLETRANSLATE(B1234,""en"",""ig"")"),"uburu")</f>
        <v>uburu</v>
      </c>
      <c r="E1234" s="2" t="str">
        <f ca="1">IFERROR(__xludf.DUMMYFUNCTION("GOOGLETRANSLATE(B1234,""en"",""fr"")"),"cerveau")</f>
        <v>cerveau</v>
      </c>
      <c r="F1234" s="2" t="str">
        <f ca="1">IFERROR(__xludf.DUMMYFUNCTION("GOOGLETRANSLATE(B1234,""en"",""it"")"),"cervello")</f>
        <v>cervello</v>
      </c>
      <c r="G1234" s="2" t="str">
        <f ca="1">IFERROR(__xludf.DUMMYFUNCTION("GOOGLETRANSLATE(B1234,""en"",""de"")"),"Gehirn")</f>
        <v>Gehirn</v>
      </c>
      <c r="H1234" s="2" t="str">
        <f ca="1">IFERROR(__xludf.DUMMYFUNCTION("GOOGLETRANSLATE(B1234,""en"",""zh"")"),"脑")</f>
        <v>脑</v>
      </c>
      <c r="I1234" s="2" t="str">
        <f ca="1">IFERROR(__xludf.DUMMYFUNCTION("GOOGLETRANSLATE(B1234,""en"",""gd"")"),"Brain")</f>
        <v>Brain</v>
      </c>
    </row>
    <row r="1235" spans="1:9" ht="14.25" customHeight="1" x14ac:dyDescent="0.3">
      <c r="A1235" s="2">
        <v>1234</v>
      </c>
      <c r="B1235" s="3" t="s">
        <v>1242</v>
      </c>
      <c r="C1235" s="2" t="str">
        <f ca="1">IFERROR(__xludf.DUMMYFUNCTION("GOOGLETRANSLATE(B1235, ""en"",""es"")"),"masa")</f>
        <v>masa</v>
      </c>
      <c r="D1235" s="2" t="str">
        <f ca="1">IFERROR(__xludf.DUMMYFUNCTION("GOOGLETRANSLATE(B1235,""en"",""ig"")"),"uka")</f>
        <v>uka</v>
      </c>
      <c r="E1235" s="2" t="str">
        <f ca="1">IFERROR(__xludf.DUMMYFUNCTION("GOOGLETRANSLATE(B1235,""en"",""fr"")"),"masse")</f>
        <v>masse</v>
      </c>
      <c r="F1235" s="2" t="str">
        <f ca="1">IFERROR(__xludf.DUMMYFUNCTION("GOOGLETRANSLATE(B1235,""en"",""it"")"),"massa")</f>
        <v>massa</v>
      </c>
      <c r="G1235" s="2" t="str">
        <f ca="1">IFERROR(__xludf.DUMMYFUNCTION("GOOGLETRANSLATE(B1235,""en"",""de"")"),"Masse")</f>
        <v>Masse</v>
      </c>
      <c r="H1235" s="2" t="str">
        <f ca="1">IFERROR(__xludf.DUMMYFUNCTION("GOOGLETRANSLATE(B1235,""en"",""zh"")"),"大量的")</f>
        <v>大量的</v>
      </c>
      <c r="I1235" s="2" t="str">
        <f ca="1">IFERROR(__xludf.DUMMYFUNCTION("GOOGLETRANSLATE(B1235,""en"",""gd"")"),"maise")</f>
        <v>maise</v>
      </c>
    </row>
    <row r="1236" spans="1:9" ht="14.25" customHeight="1" x14ac:dyDescent="0.3">
      <c r="A1236" s="2">
        <v>1235</v>
      </c>
      <c r="B1236" s="3" t="s">
        <v>1243</v>
      </c>
      <c r="C1236" s="2" t="str">
        <f ca="1">IFERROR(__xludf.DUMMYFUNCTION("GOOGLETRANSLATE(B1236, ""en"",""es"")"),"divertido")</f>
        <v>divertido</v>
      </c>
      <c r="D1236" s="2" t="str">
        <f ca="1">IFERROR(__xludf.DUMMYFUNCTION("GOOGLETRANSLATE(B1236,""en"",""ig"")"),"di egwu")</f>
        <v>di egwu</v>
      </c>
      <c r="E1236" s="2" t="str">
        <f ca="1">IFERROR(__xludf.DUMMYFUNCTION("GOOGLETRANSLATE(B1236,""en"",""fr"")"),"drôle")</f>
        <v>drôle</v>
      </c>
      <c r="F1236" s="2" t="str">
        <f ca="1">IFERROR(__xludf.DUMMYFUNCTION("GOOGLETRANSLATE(B1236,""en"",""it"")"),"divertente")</f>
        <v>divertente</v>
      </c>
      <c r="G1236" s="2" t="str">
        <f ca="1">IFERROR(__xludf.DUMMYFUNCTION("GOOGLETRANSLATE(B1236,""en"",""de"")"),"lustig")</f>
        <v>lustig</v>
      </c>
      <c r="H1236" s="2" t="str">
        <f ca="1">IFERROR(__xludf.DUMMYFUNCTION("GOOGLETRANSLATE(B1236,""en"",""zh"")"),"有趣的")</f>
        <v>有趣的</v>
      </c>
      <c r="I1236" s="2" t="str">
        <f ca="1">IFERROR(__xludf.DUMMYFUNCTION("GOOGLETRANSLATE(B1236,""en"",""gd"")"),"èibhinn")</f>
        <v>èibhinn</v>
      </c>
    </row>
    <row r="1237" spans="1:9" ht="14.25" customHeight="1" x14ac:dyDescent="0.3">
      <c r="A1237" s="2">
        <v>1236</v>
      </c>
      <c r="B1237" s="3" t="s">
        <v>1244</v>
      </c>
      <c r="C1237" s="2" t="str">
        <f ca="1">IFERROR(__xludf.DUMMYFUNCTION("GOOGLETRANSLATE(B1237, ""en"",""es"")"),"contribuir")</f>
        <v>contribuir</v>
      </c>
      <c r="D1237" s="2" t="str">
        <f ca="1">IFERROR(__xludf.DUMMYFUNCTION("GOOGLETRANSLATE(B1237,""en"",""ig"")"),"itu utu")</f>
        <v>itu utu</v>
      </c>
      <c r="E1237" s="2" t="str">
        <f ca="1">IFERROR(__xludf.DUMMYFUNCTION("GOOGLETRANSLATE(B1237,""en"",""fr"")"),"contribuer")</f>
        <v>contribuer</v>
      </c>
      <c r="F1237" s="2" t="str">
        <f ca="1">IFERROR(__xludf.DUMMYFUNCTION("GOOGLETRANSLATE(B1237,""en"",""it"")"),"contribuire")</f>
        <v>contribuire</v>
      </c>
      <c r="G1237" s="2" t="str">
        <f ca="1">IFERROR(__xludf.DUMMYFUNCTION("GOOGLETRANSLATE(B1237,""en"",""de"")"),"beitragen")</f>
        <v>beitragen</v>
      </c>
      <c r="H1237" s="2" t="str">
        <f ca="1">IFERROR(__xludf.DUMMYFUNCTION("GOOGLETRANSLATE(B1237,""en"",""zh"")"),"贡献")</f>
        <v>贡献</v>
      </c>
      <c r="I1237" s="2" t="str">
        <f ca="1">IFERROR(__xludf.DUMMYFUNCTION("GOOGLETRANSLATE(B1237,""en"",""gd"")"),"cuir")</f>
        <v>cuir</v>
      </c>
    </row>
    <row r="1238" spans="1:9" ht="14.25" customHeight="1" x14ac:dyDescent="0.3">
      <c r="A1238" s="2">
        <v>1237</v>
      </c>
      <c r="B1238" s="3" t="s">
        <v>1245</v>
      </c>
      <c r="C1238" s="2" t="str">
        <f ca="1">IFERROR(__xludf.DUMMYFUNCTION("GOOGLETRANSLATE(B1238, ""en"",""es"")"),"falla")</f>
        <v>falla</v>
      </c>
      <c r="D1238" s="2" t="str">
        <f ca="1">IFERROR(__xludf.DUMMYFUNCTION("GOOGLETRANSLATE(B1238,""en"",""ig"")"),"odida")</f>
        <v>odida</v>
      </c>
      <c r="E1238" s="2" t="str">
        <f ca="1">IFERROR(__xludf.DUMMYFUNCTION("GOOGLETRANSLATE(B1238,""en"",""fr"")"),"échec")</f>
        <v>échec</v>
      </c>
      <c r="F1238" s="2" t="str">
        <f ca="1">IFERROR(__xludf.DUMMYFUNCTION("GOOGLETRANSLATE(B1238,""en"",""it"")"),"fallimento")</f>
        <v>fallimento</v>
      </c>
      <c r="G1238" s="2" t="str">
        <f ca="1">IFERROR(__xludf.DUMMYFUNCTION("GOOGLETRANSLATE(B1238,""en"",""de"")"),"Versagen")</f>
        <v>Versagen</v>
      </c>
      <c r="H1238" s="2" t="str">
        <f ca="1">IFERROR(__xludf.DUMMYFUNCTION("GOOGLETRANSLATE(B1238,""en"",""zh"")"),"失败")</f>
        <v>失败</v>
      </c>
      <c r="I1238" s="2" t="str">
        <f ca="1">IFERROR(__xludf.DUMMYFUNCTION("GOOGLETRANSLATE(B1238,""en"",""gd"")"),"fàilligeadh")</f>
        <v>fàilligeadh</v>
      </c>
    </row>
    <row r="1239" spans="1:9" ht="14.25" customHeight="1" x14ac:dyDescent="0.3">
      <c r="A1239" s="2">
        <v>1238</v>
      </c>
      <c r="B1239" s="3" t="s">
        <v>1246</v>
      </c>
      <c r="C1239" s="2" t="str">
        <f ca="1">IFERROR(__xludf.DUMMYFUNCTION("GOOGLETRANSLATE(B1239, ""en"",""es"")"),"cronograma")</f>
        <v>cronograma</v>
      </c>
      <c r="D1239" s="2" t="str">
        <f ca="1">IFERROR(__xludf.DUMMYFUNCTION("GOOGLETRANSLATE(B1239,""en"",""ig"")"),"skedul")</f>
        <v>skedul</v>
      </c>
      <c r="E1239" s="2" t="str">
        <f ca="1">IFERROR(__xludf.DUMMYFUNCTION("GOOGLETRANSLATE(B1239,""en"",""fr"")"),"calendrier")</f>
        <v>calendrier</v>
      </c>
      <c r="F1239" s="2" t="str">
        <f ca="1">IFERROR(__xludf.DUMMYFUNCTION("GOOGLETRANSLATE(B1239,""en"",""it"")"),"programma")</f>
        <v>programma</v>
      </c>
      <c r="G1239" s="2" t="str">
        <f ca="1">IFERROR(__xludf.DUMMYFUNCTION("GOOGLETRANSLATE(B1239,""en"",""de"")"),"Zeitplan")</f>
        <v>Zeitplan</v>
      </c>
      <c r="H1239" s="2" t="str">
        <f ca="1">IFERROR(__xludf.DUMMYFUNCTION("GOOGLETRANSLATE(B1239,""en"",""zh"")"),"日程")</f>
        <v>日程</v>
      </c>
      <c r="I1239" s="2" t="str">
        <f ca="1">IFERROR(__xludf.DUMMYFUNCTION("GOOGLETRANSLATE(B1239,""en"",""gd"")"),"Clàr")</f>
        <v>Clàr</v>
      </c>
    </row>
    <row r="1240" spans="1:9" ht="14.25" customHeight="1" x14ac:dyDescent="0.3">
      <c r="A1240" s="2">
        <v>1239</v>
      </c>
      <c r="B1240" s="3" t="s">
        <v>1247</v>
      </c>
      <c r="C1240" s="2" t="str">
        <f ca="1">IFERROR(__xludf.DUMMYFUNCTION("GOOGLETRANSLATE(B1240, ""en"",""es"")"),"vocero")</f>
        <v>vocero</v>
      </c>
      <c r="D1240" s="2" t="str">
        <f ca="1">IFERROR(__xludf.DUMMYFUNCTION("GOOGLETRANSLATE(B1240,""en"",""ig"")"),"onyeokwukwu nwoke")</f>
        <v>onyeokwukwu nwoke</v>
      </c>
      <c r="E1240" s="2" t="str">
        <f ca="1">IFERROR(__xludf.DUMMYFUNCTION("GOOGLETRANSLATE(B1240,""en"",""fr"")"),"conférencier")</f>
        <v>conférencier</v>
      </c>
      <c r="F1240" s="2" t="str">
        <f ca="1">IFERROR(__xludf.DUMMYFUNCTION("GOOGLETRANSLATE(B1240,""en"",""it"")"),"altoparlante")</f>
        <v>altoparlante</v>
      </c>
      <c r="G1240" s="2" t="str">
        <f ca="1">IFERROR(__xludf.DUMMYFUNCTION("GOOGLETRANSLATE(B1240,""en"",""de"")"),"Lautsprecher")</f>
        <v>Lautsprecher</v>
      </c>
      <c r="H1240" s="2" t="str">
        <f ca="1">IFERROR(__xludf.DUMMYFUNCTION("GOOGLETRANSLATE(B1240,""en"",""zh"")"),"扬声器")</f>
        <v>扬声器</v>
      </c>
      <c r="I1240" s="2" t="str">
        <f ca="1">IFERROR(__xludf.DUMMYFUNCTION("GOOGLETRANSLATE(B1240,""en"",""gd"")"),"Labhraiche")</f>
        <v>Labhraiche</v>
      </c>
    </row>
    <row r="1241" spans="1:9" ht="14.25" customHeight="1" x14ac:dyDescent="0.3">
      <c r="A1241" s="2">
        <v>1240</v>
      </c>
      <c r="B1241" s="3" t="s">
        <v>1248</v>
      </c>
      <c r="C1241" s="2" t="str">
        <f ca="1">IFERROR(__xludf.DUMMYFUNCTION("GOOGLETRANSLATE(B1241, ""en"",""es"")"),"abajo")</f>
        <v>abajo</v>
      </c>
      <c r="D1241" s="2" t="str">
        <f ca="1">IFERROR(__xludf.DUMMYFUNCTION("GOOGLETRANSLATE(B1241,""en"",""ig"")"),"ukwu")</f>
        <v>ukwu</v>
      </c>
      <c r="E1241" s="2" t="str">
        <f ca="1">IFERROR(__xludf.DUMMYFUNCTION("GOOGLETRANSLATE(B1241,""en"",""fr"")"),"bas")</f>
        <v>bas</v>
      </c>
      <c r="F1241" s="2" t="str">
        <f ca="1">IFERROR(__xludf.DUMMYFUNCTION("GOOGLETRANSLATE(B1241,""en"",""it"")"),"metter il fondo a")</f>
        <v>metter il fondo a</v>
      </c>
      <c r="G1241" s="2" t="str">
        <f ca="1">IFERROR(__xludf.DUMMYFUNCTION("GOOGLETRANSLATE(B1241,""en"",""de"")"),"unten")</f>
        <v>unten</v>
      </c>
      <c r="H1241" s="2" t="str">
        <f ca="1">IFERROR(__xludf.DUMMYFUNCTION("GOOGLETRANSLATE(B1241,""en"",""zh"")"),"底部")</f>
        <v>底部</v>
      </c>
      <c r="I1241" s="2" t="str">
        <f ca="1">IFERROR(__xludf.DUMMYFUNCTION("GOOGLETRANSLATE(B1241,""en"",""gd"")"),"Bun")</f>
        <v>Bun</v>
      </c>
    </row>
    <row r="1242" spans="1:9" ht="14.25" customHeight="1" x14ac:dyDescent="0.3">
      <c r="A1242" s="2">
        <v>1241</v>
      </c>
      <c r="B1242" s="3" t="s">
        <v>1249</v>
      </c>
      <c r="C1242" s="2" t="str">
        <f ca="1">IFERROR(__xludf.DUMMYFUNCTION("GOOGLETRANSLATE(B1242, ""en"",""es"")"),"adoptar")</f>
        <v>adoptar</v>
      </c>
      <c r="D1242" s="2" t="str">
        <f ca="1">IFERROR(__xludf.DUMMYFUNCTION("GOOGLETRANSLATE(B1242,""en"",""ig"")"),"ikporo")</f>
        <v>ikporo</v>
      </c>
      <c r="E1242" s="2" t="str">
        <f ca="1">IFERROR(__xludf.DUMMYFUNCTION("GOOGLETRANSLATE(B1242,""en"",""fr"")"),"adopter")</f>
        <v>adopter</v>
      </c>
      <c r="F1242" s="2" t="str">
        <f ca="1">IFERROR(__xludf.DUMMYFUNCTION("GOOGLETRANSLATE(B1242,""en"",""it"")"),"adottare")</f>
        <v>adottare</v>
      </c>
      <c r="G1242" s="2" t="str">
        <f ca="1">IFERROR(__xludf.DUMMYFUNCTION("GOOGLETRANSLATE(B1242,""en"",""de"")"),"adoptieren")</f>
        <v>adoptieren</v>
      </c>
      <c r="H1242" s="2" t="str">
        <f ca="1">IFERROR(__xludf.DUMMYFUNCTION("GOOGLETRANSLATE(B1242,""en"",""zh"")"),"采纳")</f>
        <v>采纳</v>
      </c>
      <c r="I1242" s="2" t="str">
        <f ca="1">IFERROR(__xludf.DUMMYFUNCTION("GOOGLETRANSLATE(B1242,""en"",""gd"")"),"gabhail ris")</f>
        <v>gabhail ris</v>
      </c>
    </row>
    <row r="1243" spans="1:9" ht="14.25" customHeight="1" x14ac:dyDescent="0.3">
      <c r="A1243" s="2">
        <v>1242</v>
      </c>
      <c r="B1243" s="3" t="s">
        <v>1250</v>
      </c>
      <c r="C1243" s="2" t="str">
        <f ca="1">IFERROR(__xludf.DUMMYFUNCTION("GOOGLETRANSLATE(B1243, ""en"",""es"")"),"combinar")</f>
        <v>combinar</v>
      </c>
      <c r="D1243" s="2" t="str">
        <f ca="1">IFERROR(__xludf.DUMMYFUNCTION("GOOGLETRANSLATE(B1243,""en"",""ig"")"),"igwakota")</f>
        <v>igwakota</v>
      </c>
      <c r="E1243" s="2" t="str">
        <f ca="1">IFERROR(__xludf.DUMMYFUNCTION("GOOGLETRANSLATE(B1243,""en"",""fr"")"),"combiner")</f>
        <v>combiner</v>
      </c>
      <c r="F1243" s="2" t="str">
        <f ca="1">IFERROR(__xludf.DUMMYFUNCTION("GOOGLETRANSLATE(B1243,""en"",""it"")"),"Combina")</f>
        <v>Combina</v>
      </c>
      <c r="G1243" s="2" t="str">
        <f ca="1">IFERROR(__xludf.DUMMYFUNCTION("GOOGLETRANSLATE(B1243,""en"",""de"")"),"kombinieren")</f>
        <v>kombinieren</v>
      </c>
      <c r="H1243" s="2" t="str">
        <f ca="1">IFERROR(__xludf.DUMMYFUNCTION("GOOGLETRANSLATE(B1243,""en"",""zh"")"),"结合")</f>
        <v>结合</v>
      </c>
      <c r="I1243" s="2" t="str">
        <f ca="1">IFERROR(__xludf.DUMMYFUNCTION("GOOGLETRANSLATE(B1243,""en"",""gd"")"),"cothlamadh")</f>
        <v>cothlamadh</v>
      </c>
    </row>
    <row r="1244" spans="1:9" ht="14.25" customHeight="1" x14ac:dyDescent="0.3">
      <c r="A1244" s="2">
        <v>1243</v>
      </c>
      <c r="B1244" s="3" t="s">
        <v>1251</v>
      </c>
      <c r="C1244" s="2" t="str">
        <f ca="1">IFERROR(__xludf.DUMMYFUNCTION("GOOGLETRANSLATE(B1244, ""en"",""es"")"),"montaña")</f>
        <v>montaña</v>
      </c>
      <c r="D1244" s="2" t="str">
        <f ca="1">IFERROR(__xludf.DUMMYFUNCTION("GOOGLETRANSLATE(B1244,""en"",""ig"")"),"ugwu")</f>
        <v>ugwu</v>
      </c>
      <c r="E1244" s="2" t="str">
        <f ca="1">IFERROR(__xludf.DUMMYFUNCTION("GOOGLETRANSLATE(B1244,""en"",""fr"")"),"montagne")</f>
        <v>montagne</v>
      </c>
      <c r="F1244" s="2" t="str">
        <f ca="1">IFERROR(__xludf.DUMMYFUNCTION("GOOGLETRANSLATE(B1244,""en"",""it"")"),"montagna")</f>
        <v>montagna</v>
      </c>
      <c r="G1244" s="2" t="str">
        <f ca="1">IFERROR(__xludf.DUMMYFUNCTION("GOOGLETRANSLATE(B1244,""en"",""de"")"),"Berg")</f>
        <v>Berg</v>
      </c>
      <c r="H1244" s="2" t="str">
        <f ca="1">IFERROR(__xludf.DUMMYFUNCTION("GOOGLETRANSLATE(B1244,""en"",""zh"")"),"山")</f>
        <v>山</v>
      </c>
      <c r="I1244" s="2" t="str">
        <f ca="1">IFERROR(__xludf.DUMMYFUNCTION("GOOGLETRANSLATE(B1244,""en"",""gd"")"),"Beinn")</f>
        <v>Beinn</v>
      </c>
    </row>
    <row r="1245" spans="1:9" ht="14.25" customHeight="1" x14ac:dyDescent="0.3">
      <c r="A1245" s="2">
        <v>1244</v>
      </c>
      <c r="B1245" s="3" t="s">
        <v>1252</v>
      </c>
      <c r="C1245" s="2" t="str">
        <f ca="1">IFERROR(__xludf.DUMMYFUNCTION("GOOGLETRANSLATE(B1245, ""en"",""es"")"),"desperdiciar")</f>
        <v>desperdiciar</v>
      </c>
      <c r="D1245" s="2" t="str">
        <f ca="1">IFERROR(__xludf.DUMMYFUNCTION("GOOGLETRANSLATE(B1245,""en"",""ig"")"),"mmefu")</f>
        <v>mmefu</v>
      </c>
      <c r="E1245" s="2" t="str">
        <f ca="1">IFERROR(__xludf.DUMMYFUNCTION("GOOGLETRANSLATE(B1245,""en"",""fr"")"),"déchets")</f>
        <v>déchets</v>
      </c>
      <c r="F1245" s="2" t="str">
        <f ca="1">IFERROR(__xludf.DUMMYFUNCTION("GOOGLETRANSLATE(B1245,""en"",""it"")"),"sciupare")</f>
        <v>sciupare</v>
      </c>
      <c r="G1245" s="2" t="str">
        <f ca="1">IFERROR(__xludf.DUMMYFUNCTION("GOOGLETRANSLATE(B1245,""en"",""de"")"),"Abfall")</f>
        <v>Abfall</v>
      </c>
      <c r="H1245" s="2" t="str">
        <f ca="1">IFERROR(__xludf.DUMMYFUNCTION("GOOGLETRANSLATE(B1245,""en"",""zh"")"),"浪费")</f>
        <v>浪费</v>
      </c>
      <c r="I1245" s="2" t="str">
        <f ca="1">IFERROR(__xludf.DUMMYFUNCTION("GOOGLETRANSLATE(B1245,""en"",""gd"")"),"sgudal")</f>
        <v>sgudal</v>
      </c>
    </row>
    <row r="1246" spans="1:9" ht="14.25" customHeight="1" x14ac:dyDescent="0.3">
      <c r="A1246" s="2">
        <v>1245</v>
      </c>
      <c r="B1246" s="3" t="s">
        <v>1253</v>
      </c>
      <c r="C1246" s="2" t="str">
        <f ca="1">IFERROR(__xludf.DUMMYFUNCTION("GOOGLETRANSLATE(B1246, ""en"",""es"")"),"esconder")</f>
        <v>esconder</v>
      </c>
      <c r="D1246" s="2" t="str">
        <f ca="1">IFERROR(__xludf.DUMMYFUNCTION("GOOGLETRANSLATE(B1246,""en"",""ig"")"),"izo ezo")</f>
        <v>izo ezo</v>
      </c>
      <c r="E1246" s="2" t="str">
        <f ca="1">IFERROR(__xludf.DUMMYFUNCTION("GOOGLETRANSLATE(B1246,""en"",""fr"")"),"cacher")</f>
        <v>cacher</v>
      </c>
      <c r="F1246" s="2" t="str">
        <f ca="1">IFERROR(__xludf.DUMMYFUNCTION("GOOGLETRANSLATE(B1246,""en"",""it"")"),"nascondere")</f>
        <v>nascondere</v>
      </c>
      <c r="G1246" s="2" t="str">
        <f ca="1">IFERROR(__xludf.DUMMYFUNCTION("GOOGLETRANSLATE(B1246,""en"",""de"")"),"verstecken")</f>
        <v>verstecken</v>
      </c>
      <c r="H1246" s="2" t="str">
        <f ca="1">IFERROR(__xludf.DUMMYFUNCTION("GOOGLETRANSLATE(B1246,""en"",""zh"")"),"隐藏")</f>
        <v>隐藏</v>
      </c>
      <c r="I1246" s="2" t="str">
        <f ca="1">IFERROR(__xludf.DUMMYFUNCTION("GOOGLETRANSLATE(B1246,""en"",""gd"")"),"falach")</f>
        <v>falach</v>
      </c>
    </row>
    <row r="1247" spans="1:9" ht="14.25" customHeight="1" x14ac:dyDescent="0.3">
      <c r="A1247" s="2">
        <v>1246</v>
      </c>
      <c r="B1247" s="3" t="s">
        <v>1254</v>
      </c>
      <c r="C1247" s="2" t="str">
        <f ca="1">IFERROR(__xludf.DUMMYFUNCTION("GOOGLETRANSLATE(B1247, ""en"",""es"")"),"casamiento")</f>
        <v>casamiento</v>
      </c>
      <c r="D1247" s="2" t="str">
        <f ca="1">IFERROR(__xludf.DUMMYFUNCTION("GOOGLETRANSLATE(B1247,""en"",""ig"")"),"alumdi")</f>
        <v>alumdi</v>
      </c>
      <c r="E1247" s="2" t="str">
        <f ca="1">IFERROR(__xludf.DUMMYFUNCTION("GOOGLETRANSLATE(B1247,""en"",""fr"")"),"mariage")</f>
        <v>mariage</v>
      </c>
      <c r="F1247" s="2" t="str">
        <f ca="1">IFERROR(__xludf.DUMMYFUNCTION("GOOGLETRANSLATE(B1247,""en"",""it"")"),"matrimonio")</f>
        <v>matrimonio</v>
      </c>
      <c r="G1247" s="2" t="str">
        <f ca="1">IFERROR(__xludf.DUMMYFUNCTION("GOOGLETRANSLATE(B1247,""en"",""de"")"),"Hochzeit")</f>
        <v>Hochzeit</v>
      </c>
      <c r="H1247" s="2" t="str">
        <f ca="1">IFERROR(__xludf.DUMMYFUNCTION("GOOGLETRANSLATE(B1247,""en"",""zh"")"),"婚姻")</f>
        <v>婚姻</v>
      </c>
      <c r="I1247" s="2" t="str">
        <f ca="1">IFERROR(__xludf.DUMMYFUNCTION("GOOGLETRANSLATE(B1247,""en"",""gd"")"),"Pòsadh")</f>
        <v>Pòsadh</v>
      </c>
    </row>
    <row r="1248" spans="1:9" ht="14.25" customHeight="1" x14ac:dyDescent="0.3">
      <c r="A1248" s="2">
        <v>1247</v>
      </c>
      <c r="B1248" s="3" t="s">
        <v>1255</v>
      </c>
      <c r="C1248" s="2" t="str">
        <f ca="1">IFERROR(__xludf.DUMMYFUNCTION("GOOGLETRANSLATE(B1248, ""en"",""es"")"),"boleto")</f>
        <v>boleto</v>
      </c>
      <c r="D1248" s="2" t="str">
        <f ca="1">IFERROR(__xludf.DUMMYFUNCTION("GOOGLETRANSLATE(B1248,""en"",""ig"")"),"tiket")</f>
        <v>tiket</v>
      </c>
      <c r="E1248" s="2" t="str">
        <f ca="1">IFERROR(__xludf.DUMMYFUNCTION("GOOGLETRANSLATE(B1248,""en"",""fr"")"),"billet")</f>
        <v>billet</v>
      </c>
      <c r="F1248" s="2" t="str">
        <f ca="1">IFERROR(__xludf.DUMMYFUNCTION("GOOGLETRANSLATE(B1248,""en"",""it"")"),"biglietto")</f>
        <v>biglietto</v>
      </c>
      <c r="G1248" s="2" t="str">
        <f ca="1">IFERROR(__xludf.DUMMYFUNCTION("GOOGLETRANSLATE(B1248,""en"",""de"")"),"Fahrkarte")</f>
        <v>Fahrkarte</v>
      </c>
      <c r="H1248" s="2" t="str">
        <f ca="1">IFERROR(__xludf.DUMMYFUNCTION("GOOGLETRANSLATE(B1248,""en"",""zh"")"),"票")</f>
        <v>票</v>
      </c>
      <c r="I1248" s="2" t="str">
        <f ca="1">IFERROR(__xludf.DUMMYFUNCTION("GOOGLETRANSLATE(B1248,""en"",""gd"")"),"tiogaid")</f>
        <v>tiogaid</v>
      </c>
    </row>
    <row r="1249" spans="1:9" ht="14.25" customHeight="1" x14ac:dyDescent="0.3">
      <c r="A1249" s="2">
        <v>1248</v>
      </c>
      <c r="B1249" s="3" t="s">
        <v>1256</v>
      </c>
      <c r="C1249" s="2" t="str">
        <f ca="1">IFERROR(__xludf.DUMMYFUNCTION("GOOGLETRANSLATE(B1249, ""en"",""es"")"),"comida")</f>
        <v>comida</v>
      </c>
      <c r="D1249" s="2" t="str">
        <f ca="1">IFERROR(__xludf.DUMMYFUNCTION("GOOGLETRANSLATE(B1249,""en"",""ig"")"),"nri")</f>
        <v>nri</v>
      </c>
      <c r="E1249" s="2" t="str">
        <f ca="1">IFERROR(__xludf.DUMMYFUNCTION("GOOGLETRANSLATE(B1249,""en"",""fr"")"),"repas")</f>
        <v>repas</v>
      </c>
      <c r="F1249" s="2" t="str">
        <f ca="1">IFERROR(__xludf.DUMMYFUNCTION("GOOGLETRANSLATE(B1249,""en"",""it"")"),"pasto")</f>
        <v>pasto</v>
      </c>
      <c r="G1249" s="2" t="str">
        <f ca="1">IFERROR(__xludf.DUMMYFUNCTION("GOOGLETRANSLATE(B1249,""en"",""de"")"),"Mahlzeit")</f>
        <v>Mahlzeit</v>
      </c>
      <c r="H1249" s="2" t="str">
        <f ca="1">IFERROR(__xludf.DUMMYFUNCTION("GOOGLETRANSLATE(B1249,""en"",""zh"")"),"一顿饭")</f>
        <v>一顿饭</v>
      </c>
      <c r="I1249" s="2" t="str">
        <f ca="1">IFERROR(__xludf.DUMMYFUNCTION("GOOGLETRANSLATE(B1249,""en"",""gd"")"),"biadh")</f>
        <v>biadh</v>
      </c>
    </row>
    <row r="1250" spans="1:9" ht="14.25" customHeight="1" x14ac:dyDescent="0.3">
      <c r="A1250" s="2">
        <v>1249</v>
      </c>
      <c r="B1250" s="3" t="s">
        <v>1257</v>
      </c>
      <c r="C1250" s="2" t="str">
        <f ca="1">IFERROR(__xludf.DUMMYFUNCTION("GOOGLETRANSLATE(B1250, ""en"",""es"")"),"colega")</f>
        <v>colega</v>
      </c>
      <c r="D1250" s="2" t="str">
        <f ca="1">IFERROR(__xludf.DUMMYFUNCTION("GOOGLETRANSLATE(B1250,""en"",""ig"")"),"onye otu")</f>
        <v>onye otu</v>
      </c>
      <c r="E1250" s="2" t="str">
        <f ca="1">IFERROR(__xludf.DUMMYFUNCTION("GOOGLETRANSLATE(B1250,""en"",""fr"")"),"collègue")</f>
        <v>collègue</v>
      </c>
      <c r="F1250" s="2" t="str">
        <f ca="1">IFERROR(__xludf.DUMMYFUNCTION("GOOGLETRANSLATE(B1250,""en"",""it"")"),"collega")</f>
        <v>collega</v>
      </c>
      <c r="G1250" s="2" t="str">
        <f ca="1">IFERROR(__xludf.DUMMYFUNCTION("GOOGLETRANSLATE(B1250,""en"",""de"")"),"Kollege")</f>
        <v>Kollege</v>
      </c>
      <c r="H1250" s="2" t="str">
        <f ca="1">IFERROR(__xludf.DUMMYFUNCTION("GOOGLETRANSLATE(B1250,""en"",""zh"")"),"同事")</f>
        <v>同事</v>
      </c>
      <c r="I1250" s="2" t="str">
        <f ca="1">IFERROR(__xludf.DUMMYFUNCTION("GOOGLETRANSLATE(B1250,""en"",""gd"")"),"co-obraiche")</f>
        <v>co-obraiche</v>
      </c>
    </row>
    <row r="1251" spans="1:9" ht="14.25" customHeight="1" x14ac:dyDescent="0.3">
      <c r="A1251" s="2">
        <v>1250</v>
      </c>
      <c r="B1251" s="3" t="s">
        <v>1258</v>
      </c>
      <c r="C1251" s="2" t="str">
        <f ca="1">IFERROR(__xludf.DUMMYFUNCTION("GOOGLETRANSLATE(B1251, ""en"",""es"")"),"bolsa")</f>
        <v>bolsa</v>
      </c>
      <c r="D1251" s="2" t="str">
        <f ca="1">IFERROR(__xludf.DUMMYFUNCTION("GOOGLETRANSLATE(B1251,""en"",""ig"")"),"akpa")</f>
        <v>akpa</v>
      </c>
      <c r="E1251" s="2" t="str">
        <f ca="1">IFERROR(__xludf.DUMMYFUNCTION("GOOGLETRANSLATE(B1251,""en"",""fr"")"),"sac")</f>
        <v>sac</v>
      </c>
      <c r="F1251" s="2" t="str">
        <f ca="1">IFERROR(__xludf.DUMMYFUNCTION("GOOGLETRANSLATE(B1251,""en"",""it"")"),"borsa")</f>
        <v>borsa</v>
      </c>
      <c r="G1251" s="2" t="str">
        <f ca="1">IFERROR(__xludf.DUMMYFUNCTION("GOOGLETRANSLATE(B1251,""en"",""de"")"),"Tasche")</f>
        <v>Tasche</v>
      </c>
      <c r="H1251" s="2" t="str">
        <f ca="1">IFERROR(__xludf.DUMMYFUNCTION("GOOGLETRANSLATE(B1251,""en"",""zh"")"),"包")</f>
        <v>包</v>
      </c>
      <c r="I1251" s="2" t="str">
        <f ca="1">IFERROR(__xludf.DUMMYFUNCTION("GOOGLETRANSLATE(B1251,""en"",""gd"")"),"poca")</f>
        <v>poca</v>
      </c>
    </row>
    <row r="1252" spans="1:9" ht="14.25" customHeight="1" x14ac:dyDescent="0.3">
      <c r="A1252" s="2">
        <v>1251</v>
      </c>
      <c r="B1252" s="3" t="s">
        <v>1259</v>
      </c>
      <c r="C1252" s="2" t="str">
        <f ca="1">IFERROR(__xludf.DUMMYFUNCTION("GOOGLETRANSLATE(B1252, ""en"",""es"")"),"repetir")</f>
        <v>repetir</v>
      </c>
      <c r="D1252" s="2" t="str">
        <f ca="1">IFERROR(__xludf.DUMMYFUNCTION("GOOGLETRANSLATE(B1252,""en"",""ig"")"),"imekwa")</f>
        <v>imekwa</v>
      </c>
      <c r="E1252" s="2" t="str">
        <f ca="1">IFERROR(__xludf.DUMMYFUNCTION("GOOGLETRANSLATE(B1252,""en"",""fr"")"),"répéter")</f>
        <v>répéter</v>
      </c>
      <c r="F1252" s="2" t="str">
        <f ca="1">IFERROR(__xludf.DUMMYFUNCTION("GOOGLETRANSLATE(B1252,""en"",""it"")"),"ripetere")</f>
        <v>ripetere</v>
      </c>
      <c r="G1252" s="2" t="str">
        <f ca="1">IFERROR(__xludf.DUMMYFUNCTION("GOOGLETRANSLATE(B1252,""en"",""de"")"),"wiederholen")</f>
        <v>wiederholen</v>
      </c>
      <c r="H1252" s="2" t="str">
        <f ca="1">IFERROR(__xludf.DUMMYFUNCTION("GOOGLETRANSLATE(B1252,""en"",""zh"")"),"重复")</f>
        <v>重复</v>
      </c>
      <c r="I1252" s="2" t="str">
        <f ca="1">IFERROR(__xludf.DUMMYFUNCTION("GOOGLETRANSLATE(B1252,""en"",""gd"")"),"ath-aithris")</f>
        <v>ath-aithris</v>
      </c>
    </row>
    <row r="1253" spans="1:9" ht="14.25" customHeight="1" x14ac:dyDescent="0.3">
      <c r="A1253" s="2">
        <v>1252</v>
      </c>
      <c r="B1253" s="3" t="s">
        <v>1260</v>
      </c>
      <c r="C1253" s="2" t="str">
        <f ca="1">IFERROR(__xludf.DUMMYFUNCTION("GOOGLETRANSLATE(B1253, ""en"",""es"")"),"igual")</f>
        <v>igual</v>
      </c>
      <c r="D1253" s="2" t="str">
        <f ca="1">IFERROR(__xludf.DUMMYFUNCTION("GOOGLETRANSLATE(B1253,""en"",""ig"")"),"nhara")</f>
        <v>nhara</v>
      </c>
      <c r="E1253" s="2" t="str">
        <f ca="1">IFERROR(__xludf.DUMMYFUNCTION("GOOGLETRANSLATE(B1253,""en"",""fr"")"),"égal")</f>
        <v>égal</v>
      </c>
      <c r="F1253" s="2" t="str">
        <f ca="1">IFERROR(__xludf.DUMMYFUNCTION("GOOGLETRANSLATE(B1253,""en"",""it"")"),"pari")</f>
        <v>pari</v>
      </c>
      <c r="G1253" s="2" t="str">
        <f ca="1">IFERROR(__xludf.DUMMYFUNCTION("GOOGLETRANSLATE(B1253,""en"",""de"")"),"gleich")</f>
        <v>gleich</v>
      </c>
      <c r="H1253" s="2" t="str">
        <f ca="1">IFERROR(__xludf.DUMMYFUNCTION("GOOGLETRANSLATE(B1253,""en"",""zh"")"),"平等的")</f>
        <v>平等的</v>
      </c>
      <c r="I1253" s="2" t="str">
        <f ca="1">IFERROR(__xludf.DUMMYFUNCTION("GOOGLETRANSLATE(B1253,""en"",""gd"")"),"co-ionann")</f>
        <v>co-ionann</v>
      </c>
    </row>
    <row r="1254" spans="1:9" ht="14.25" customHeight="1" x14ac:dyDescent="0.3">
      <c r="A1254" s="2">
        <v>1253</v>
      </c>
      <c r="B1254" s="3" t="s">
        <v>1261</v>
      </c>
      <c r="C1254" s="2" t="str">
        <f ca="1">IFERROR(__xludf.DUMMYFUNCTION("GOOGLETRANSLATE(B1254, ""en"",""es"")"),"expresión")</f>
        <v>expresión</v>
      </c>
      <c r="D1254" s="2" t="str">
        <f ca="1">IFERROR(__xludf.DUMMYFUNCTION("GOOGLETRANSLATE(B1254,""en"",""ig"")"),"mkwuputa obi")</f>
        <v>mkwuputa obi</v>
      </c>
      <c r="E1254" s="2" t="str">
        <f ca="1">IFERROR(__xludf.DUMMYFUNCTION("GOOGLETRANSLATE(B1254,""en"",""fr"")"),"expression")</f>
        <v>expression</v>
      </c>
      <c r="F1254" s="2" t="str">
        <f ca="1">IFERROR(__xludf.DUMMYFUNCTION("GOOGLETRANSLATE(B1254,""en"",""it"")"),"espressione")</f>
        <v>espressione</v>
      </c>
      <c r="G1254" s="2" t="str">
        <f ca="1">IFERROR(__xludf.DUMMYFUNCTION("GOOGLETRANSLATE(B1254,""en"",""de"")"),"Ausdruck")</f>
        <v>Ausdruck</v>
      </c>
      <c r="H1254" s="2" t="str">
        <f ca="1">IFERROR(__xludf.DUMMYFUNCTION("GOOGLETRANSLATE(B1254,""en"",""zh"")"),"表达")</f>
        <v>表达</v>
      </c>
      <c r="I1254" s="2" t="str">
        <f ca="1">IFERROR(__xludf.DUMMYFUNCTION("GOOGLETRANSLATE(B1254,""en"",""gd"")"),"faireachdainn")</f>
        <v>faireachdainn</v>
      </c>
    </row>
    <row r="1255" spans="1:9" ht="14.25" customHeight="1" x14ac:dyDescent="0.3">
      <c r="A1255" s="2">
        <v>1254</v>
      </c>
      <c r="B1255" s="3" t="s">
        <v>1262</v>
      </c>
      <c r="C1255" s="2" t="str">
        <f ca="1">IFERROR(__xludf.DUMMYFUNCTION("GOOGLETRANSLATE(B1255, ""en"",""es"")"),"más")</f>
        <v>más</v>
      </c>
      <c r="D1255" s="2" t="str">
        <f ca="1">IFERROR(__xludf.DUMMYFUNCTION("GOOGLETRANSLATE(B1255,""en"",""ig"")"),"igbakota")</f>
        <v>igbakota</v>
      </c>
      <c r="E1255" s="2" t="str">
        <f ca="1">IFERROR(__xludf.DUMMYFUNCTION("GOOGLETRANSLATE(B1255,""en"",""fr"")"),"plus")</f>
        <v>plus</v>
      </c>
      <c r="F1255" s="2" t="str">
        <f ca="1">IFERROR(__xludf.DUMMYFUNCTION("GOOGLETRANSLATE(B1255,""en"",""it"")"),"più")</f>
        <v>più</v>
      </c>
      <c r="G1255" s="2" t="str">
        <f ca="1">IFERROR(__xludf.DUMMYFUNCTION("GOOGLETRANSLATE(B1255,""en"",""de"")"),"Plus")</f>
        <v>Plus</v>
      </c>
      <c r="H1255" s="2" t="str">
        <f ca="1">IFERROR(__xludf.DUMMYFUNCTION("GOOGLETRANSLATE(B1255,""en"",""zh"")"),"加")</f>
        <v>加</v>
      </c>
      <c r="I1255" s="2" t="str">
        <f ca="1">IFERROR(__xludf.DUMMYFUNCTION("GOOGLETRANSLATE(B1255,""en"",""gd"")"),"a bharrachd")</f>
        <v>a bharrachd</v>
      </c>
    </row>
    <row r="1256" spans="1:9" ht="14.25" customHeight="1" x14ac:dyDescent="0.3">
      <c r="A1256" s="2">
        <v>1255</v>
      </c>
      <c r="B1256" s="3" t="s">
        <v>1263</v>
      </c>
      <c r="C1256" s="2" t="str">
        <f ca="1">IFERROR(__xludf.DUMMYFUNCTION("GOOGLETRANSLATE(B1256, ""en"",""es"")"),"extremadamente")</f>
        <v>extremadamente</v>
      </c>
      <c r="D1256" s="2" t="str">
        <f ca="1">IFERROR(__xludf.DUMMYFUNCTION("GOOGLETRANSLATE(B1256,""en"",""ig"")"),"kemgwucha")</f>
        <v>kemgwucha</v>
      </c>
      <c r="E1256" s="2" t="str">
        <f ca="1">IFERROR(__xludf.DUMMYFUNCTION("GOOGLETRANSLATE(B1256,""en"",""fr"")"),"extrêmement")</f>
        <v>extrêmement</v>
      </c>
      <c r="F1256" s="2" t="str">
        <f ca="1">IFERROR(__xludf.DUMMYFUNCTION("GOOGLETRANSLATE(B1256,""en"",""it"")"),"estremamente")</f>
        <v>estremamente</v>
      </c>
      <c r="G1256" s="2" t="str">
        <f ca="1">IFERROR(__xludf.DUMMYFUNCTION("GOOGLETRANSLATE(B1256,""en"",""de"")"),"äußerst")</f>
        <v>äußerst</v>
      </c>
      <c r="H1256" s="2" t="str">
        <f ca="1">IFERROR(__xludf.DUMMYFUNCTION("GOOGLETRANSLATE(B1256,""en"",""zh"")"),"极其")</f>
        <v>极其</v>
      </c>
      <c r="I1256" s="2" t="str">
        <f ca="1">IFERROR(__xludf.DUMMYFUNCTION("GOOGLETRANSLATE(B1256,""en"",""gd"")"),"air leth")</f>
        <v>air leth</v>
      </c>
    </row>
    <row r="1257" spans="1:9" ht="14.25" customHeight="1" x14ac:dyDescent="0.3">
      <c r="A1257" s="2">
        <v>1256</v>
      </c>
      <c r="B1257" s="3" t="s">
        <v>1264</v>
      </c>
      <c r="C1257" s="2" t="str">
        <f ca="1">IFERROR(__xludf.DUMMYFUNCTION("GOOGLETRANSLATE(B1257, ""en"",""es"")"),"dueño")</f>
        <v>dueño</v>
      </c>
      <c r="D1257" s="2" t="str">
        <f ca="1">IFERROR(__xludf.DUMMYFUNCTION("GOOGLETRANSLATE(B1257,""en"",""ig"")"),"nke nwanyi")</f>
        <v>nke nwanyi</v>
      </c>
      <c r="E1257" s="2" t="str">
        <f ca="1">IFERROR(__xludf.DUMMYFUNCTION("GOOGLETRANSLATE(B1257,""en"",""fr"")"),"propriétaire")</f>
        <v>propriétaire</v>
      </c>
      <c r="F1257" s="2" t="str">
        <f ca="1">IFERROR(__xludf.DUMMYFUNCTION("GOOGLETRANSLATE(B1257,""en"",""it"")"),"proprietario")</f>
        <v>proprietario</v>
      </c>
      <c r="G1257" s="2" t="str">
        <f ca="1">IFERROR(__xludf.DUMMYFUNCTION("GOOGLETRANSLATE(B1257,""en"",""de"")"),"Eigentümer")</f>
        <v>Eigentümer</v>
      </c>
      <c r="H1257" s="2" t="str">
        <f ca="1">IFERROR(__xludf.DUMMYFUNCTION("GOOGLETRANSLATE(B1257,""en"",""zh"")"),"所有者")</f>
        <v>所有者</v>
      </c>
      <c r="I1257" s="2" t="str">
        <f ca="1">IFERROR(__xludf.DUMMYFUNCTION("GOOGLETRANSLATE(B1257,""en"",""gd"")"),"sealbhadair")</f>
        <v>sealbhadair</v>
      </c>
    </row>
    <row r="1258" spans="1:9" ht="14.25" customHeight="1" x14ac:dyDescent="0.3">
      <c r="A1258" s="2">
        <v>1257</v>
      </c>
      <c r="B1258" s="3" t="s">
        <v>1265</v>
      </c>
      <c r="C1258" s="2" t="str">
        <f ca="1">IFERROR(__xludf.DUMMYFUNCTION("GOOGLETRANSLATE(B1258, ""en"",""es"")"),"avión")</f>
        <v>avión</v>
      </c>
      <c r="D1258" s="2" t="str">
        <f ca="1">IFERROR(__xludf.DUMMYFUNCTION("GOOGLETRANSLATE(B1258,""en"",""ig"")"),"plane")</f>
        <v>plane</v>
      </c>
      <c r="E1258" s="2" t="str">
        <f ca="1">IFERROR(__xludf.DUMMYFUNCTION("GOOGLETRANSLATE(B1258,""en"",""fr"")"),"avion")</f>
        <v>avion</v>
      </c>
      <c r="F1258" s="2" t="str">
        <f ca="1">IFERROR(__xludf.DUMMYFUNCTION("GOOGLETRANSLATE(B1258,""en"",""it"")"),"aereo")</f>
        <v>aereo</v>
      </c>
      <c r="G1258" s="2" t="str">
        <f ca="1">IFERROR(__xludf.DUMMYFUNCTION("GOOGLETRANSLATE(B1258,""en"",""de"")"),"Flugzeug")</f>
        <v>Flugzeug</v>
      </c>
      <c r="H1258" s="2" t="str">
        <f ca="1">IFERROR(__xludf.DUMMYFUNCTION("GOOGLETRANSLATE(B1258,""en"",""zh"")"),"飞机")</f>
        <v>飞机</v>
      </c>
      <c r="I1258" s="2" t="str">
        <f ca="1">IFERROR(__xludf.DUMMYFUNCTION("GOOGLETRANSLATE(B1258,""en"",""gd"")"),"plèana")</f>
        <v>plèana</v>
      </c>
    </row>
    <row r="1259" spans="1:9" ht="14.25" customHeight="1" x14ac:dyDescent="0.3">
      <c r="A1259" s="2">
        <v>1258</v>
      </c>
      <c r="B1259" s="3" t="s">
        <v>1266</v>
      </c>
      <c r="C1259" s="2" t="str">
        <f ca="1">IFERROR(__xludf.DUMMYFUNCTION("GOOGLETRANSLATE(B1259, ""en"",""es"")"),"comercial")</f>
        <v>comercial</v>
      </c>
      <c r="D1259" s="2" t="str">
        <f ca="1">IFERROR(__xludf.DUMMYFUNCTION("GOOGLETRANSLATE(B1259,""en"",""ig"")"),"ulo ahia")</f>
        <v>ulo ahia</v>
      </c>
      <c r="E1259" s="2" t="str">
        <f ca="1">IFERROR(__xludf.DUMMYFUNCTION("GOOGLETRANSLATE(B1259,""en"",""fr"")"),"commercial")</f>
        <v>commercial</v>
      </c>
      <c r="F1259" s="2" t="str">
        <f ca="1">IFERROR(__xludf.DUMMYFUNCTION("GOOGLETRANSLATE(B1259,""en"",""it"")"),"commerciale")</f>
        <v>commerciale</v>
      </c>
      <c r="G1259" s="2" t="str">
        <f ca="1">IFERROR(__xludf.DUMMYFUNCTION("GOOGLETRANSLATE(B1259,""en"",""de"")"),"kommerziell")</f>
        <v>kommerziell</v>
      </c>
      <c r="H1259" s="2" t="str">
        <f ca="1">IFERROR(__xludf.DUMMYFUNCTION("GOOGLETRANSLATE(B1259,""en"",""zh"")"),"商业的")</f>
        <v>商业的</v>
      </c>
      <c r="I1259" s="2" t="str">
        <f ca="1">IFERROR(__xludf.DUMMYFUNCTION("GOOGLETRANSLATE(B1259,""en"",""gd"")"),"malairteach")</f>
        <v>malairteach</v>
      </c>
    </row>
    <row r="1260" spans="1:9" ht="14.25" customHeight="1" x14ac:dyDescent="0.3">
      <c r="A1260" s="2">
        <v>1259</v>
      </c>
      <c r="B1260" s="3" t="s">
        <v>1267</v>
      </c>
      <c r="C1260" s="2" t="str">
        <f ca="1">IFERROR(__xludf.DUMMYFUNCTION("GOOGLETRANSLATE(B1260, ""en"",""es"")"),"dama")</f>
        <v>dama</v>
      </c>
      <c r="D1260" s="2" t="str">
        <f ca="1">IFERROR(__xludf.DUMMYFUNCTION("GOOGLETRANSLATE(B1260,""en"",""ig"")"),"agboghobia")</f>
        <v>agboghobia</v>
      </c>
      <c r="E1260" s="2" t="str">
        <f ca="1">IFERROR(__xludf.DUMMYFUNCTION("GOOGLETRANSLATE(B1260,""en"",""fr"")"),"dame")</f>
        <v>dame</v>
      </c>
      <c r="F1260" s="2" t="str">
        <f ca="1">IFERROR(__xludf.DUMMYFUNCTION("GOOGLETRANSLATE(B1260,""en"",""it"")"),"signora")</f>
        <v>signora</v>
      </c>
      <c r="G1260" s="2" t="str">
        <f ca="1">IFERROR(__xludf.DUMMYFUNCTION("GOOGLETRANSLATE(B1260,""en"",""de"")"),"Dame")</f>
        <v>Dame</v>
      </c>
      <c r="H1260" s="2" t="str">
        <f ca="1">IFERROR(__xludf.DUMMYFUNCTION("GOOGLETRANSLATE(B1260,""en"",""zh"")"),"女士")</f>
        <v>女士</v>
      </c>
      <c r="I1260" s="2" t="str">
        <f ca="1">IFERROR(__xludf.DUMMYFUNCTION("GOOGLETRANSLATE(B1260,""en"",""gd"")"),"Baintighearna")</f>
        <v>Baintighearna</v>
      </c>
    </row>
    <row r="1261" spans="1:9" ht="14.25" customHeight="1" x14ac:dyDescent="0.3">
      <c r="A1261" s="2">
        <v>1260</v>
      </c>
      <c r="B1261" s="3" t="s">
        <v>1268</v>
      </c>
      <c r="C1261" s="2" t="str">
        <f ca="1">IFERROR(__xludf.DUMMYFUNCTION("GOOGLETRANSLATE(B1261, ""en"",""es"")"),"deber")</f>
        <v>deber</v>
      </c>
      <c r="D1261" s="2" t="str">
        <f ca="1">IFERROR(__xludf.DUMMYFUNCTION("GOOGLETRANSLATE(B1261,""en"",""ig"")"),"oru")</f>
        <v>oru</v>
      </c>
      <c r="E1261" s="2" t="str">
        <f ca="1">IFERROR(__xludf.DUMMYFUNCTION("GOOGLETRANSLATE(B1261,""en"",""fr"")"),"devoir")</f>
        <v>devoir</v>
      </c>
      <c r="F1261" s="2" t="str">
        <f ca="1">IFERROR(__xludf.DUMMYFUNCTION("GOOGLETRANSLATE(B1261,""en"",""it"")"),"dovere")</f>
        <v>dovere</v>
      </c>
      <c r="G1261" s="2" t="str">
        <f ca="1">IFERROR(__xludf.DUMMYFUNCTION("GOOGLETRANSLATE(B1261,""en"",""de"")"),"Pflicht")</f>
        <v>Pflicht</v>
      </c>
      <c r="H1261" s="2" t="str">
        <f ca="1">IFERROR(__xludf.DUMMYFUNCTION("GOOGLETRANSLATE(B1261,""en"",""zh"")"),"责任")</f>
        <v>责任</v>
      </c>
      <c r="I1261" s="2" t="str">
        <f ca="1">IFERROR(__xludf.DUMMYFUNCTION("GOOGLETRANSLATE(B1261,""en"",""gd"")"),"Dleastanas")</f>
        <v>Dleastanas</v>
      </c>
    </row>
    <row r="1262" spans="1:9" ht="14.25" customHeight="1" x14ac:dyDescent="0.3">
      <c r="A1262" s="2">
        <v>1261</v>
      </c>
      <c r="B1262" s="3" t="s">
        <v>1269</v>
      </c>
      <c r="C1262" s="2" t="str">
        <f ca="1">IFERROR(__xludf.DUMMYFUNCTION("GOOGLETRANSLATE(B1262, ""en"",""es"")"),"fortaleza")</f>
        <v>fortaleza</v>
      </c>
      <c r="D1262" s="2" t="str">
        <f ca="1">IFERROR(__xludf.DUMMYFUNCTION("GOOGLETRANSLATE(B1262,""en"",""ig"")"),"agbamume")</f>
        <v>agbamume</v>
      </c>
      <c r="E1262" s="2" t="str">
        <f ca="1">IFERROR(__xludf.DUMMYFUNCTION("GOOGLETRANSLATE(B1262,""en"",""fr"")"),"force")</f>
        <v>force</v>
      </c>
      <c r="F1262" s="2" t="str">
        <f ca="1">IFERROR(__xludf.DUMMYFUNCTION("GOOGLETRANSLATE(B1262,""en"",""it"")"),"forza")</f>
        <v>forza</v>
      </c>
      <c r="G1262" s="2" t="str">
        <f ca="1">IFERROR(__xludf.DUMMYFUNCTION("GOOGLETRANSLATE(B1262,""en"",""de"")"),"Stärke")</f>
        <v>Stärke</v>
      </c>
      <c r="H1262" s="2" t="str">
        <f ca="1">IFERROR(__xludf.DUMMYFUNCTION("GOOGLETRANSLATE(B1262,""en"",""zh"")"),"力量")</f>
        <v>力量</v>
      </c>
      <c r="I1262" s="2" t="str">
        <f ca="1">IFERROR(__xludf.DUMMYFUNCTION("GOOGLETRANSLATE(B1262,""en"",""gd"")"),"neart")</f>
        <v>neart</v>
      </c>
    </row>
    <row r="1263" spans="1:9" ht="14.25" customHeight="1" x14ac:dyDescent="0.3">
      <c r="A1263" s="2">
        <v>1262</v>
      </c>
      <c r="B1263" s="3" t="s">
        <v>1270</v>
      </c>
      <c r="C1263" s="2" t="str">
        <f ca="1">IFERROR(__xludf.DUMMYFUNCTION("GOOGLETRANSLATE(B1263, ""en"",""es"")"),"conectar")</f>
        <v>conectar</v>
      </c>
      <c r="D1263" s="2" t="str">
        <f ca="1">IFERROR(__xludf.DUMMYFUNCTION("GOOGLETRANSLATE(B1263,""en"",""ig"")"),"ijiko")</f>
        <v>ijiko</v>
      </c>
      <c r="E1263" s="2" t="str">
        <f ca="1">IFERROR(__xludf.DUMMYFUNCTION("GOOGLETRANSLATE(B1263,""en"",""fr"")"),"connecter")</f>
        <v>connecter</v>
      </c>
      <c r="F1263" s="2" t="str">
        <f ca="1">IFERROR(__xludf.DUMMYFUNCTION("GOOGLETRANSLATE(B1263,""en"",""it"")"),"Collegare")</f>
        <v>Collegare</v>
      </c>
      <c r="G1263" s="2" t="str">
        <f ca="1">IFERROR(__xludf.DUMMYFUNCTION("GOOGLETRANSLATE(B1263,""en"",""de"")"),"verbinden")</f>
        <v>verbinden</v>
      </c>
      <c r="H1263" s="2" t="str">
        <f ca="1">IFERROR(__xludf.DUMMYFUNCTION("GOOGLETRANSLATE(B1263,""en"",""zh"")"),"连接")</f>
        <v>连接</v>
      </c>
      <c r="I1263" s="2" t="str">
        <f ca="1">IFERROR(__xludf.DUMMYFUNCTION("GOOGLETRANSLATE(B1263,""en"",""gd"")"),"Ceangail")</f>
        <v>Ceangail</v>
      </c>
    </row>
    <row r="1264" spans="1:9" ht="14.25" customHeight="1" x14ac:dyDescent="0.3">
      <c r="A1264" s="2">
        <v>1263</v>
      </c>
      <c r="B1264" s="3" t="s">
        <v>1271</v>
      </c>
      <c r="C1264" s="2" t="str">
        <f ca="1">IFERROR(__xludf.DUMMYFUNCTION("GOOGLETRANSLATE(B1264, ""en"",""es"")"),"cultural")</f>
        <v>cultural</v>
      </c>
      <c r="D1264" s="2" t="str">
        <f ca="1">IFERROR(__xludf.DUMMYFUNCTION("GOOGLETRANSLATE(B1264,""en"",""ig"")"),"ke omena ala")</f>
        <v>ke omena ala</v>
      </c>
      <c r="E1264" s="2" t="str">
        <f ca="1">IFERROR(__xludf.DUMMYFUNCTION("GOOGLETRANSLATE(B1264,""en"",""fr"")"),"culturel")</f>
        <v>culturel</v>
      </c>
      <c r="F1264" s="2" t="str">
        <f ca="1">IFERROR(__xludf.DUMMYFUNCTION("GOOGLETRANSLATE(B1264,""en"",""it"")"),"culturale")</f>
        <v>culturale</v>
      </c>
      <c r="G1264" s="2" t="str">
        <f ca="1">IFERROR(__xludf.DUMMYFUNCTION("GOOGLETRANSLATE(B1264,""en"",""de"")"),"kulturell")</f>
        <v>kulturell</v>
      </c>
      <c r="H1264" s="2" t="str">
        <f ca="1">IFERROR(__xludf.DUMMYFUNCTION("GOOGLETRANSLATE(B1264,""en"",""zh"")"),"文化")</f>
        <v>文化</v>
      </c>
      <c r="I1264" s="2" t="str">
        <f ca="1">IFERROR(__xludf.DUMMYFUNCTION("GOOGLETRANSLATE(B1264,""en"",""gd"")"),"cultarail")</f>
        <v>cultarail</v>
      </c>
    </row>
    <row r="1265" spans="1:9" ht="14.25" customHeight="1" x14ac:dyDescent="0.3">
      <c r="A1265" s="2">
        <v>1264</v>
      </c>
      <c r="B1265" s="3" t="s">
        <v>1272</v>
      </c>
      <c r="C1265" s="2" t="str">
        <f ca="1">IFERROR(__xludf.DUMMYFUNCTION("GOOGLETRANSLATE(B1265, ""en"",""es"")"),"arreglar")</f>
        <v>arreglar</v>
      </c>
      <c r="D1265" s="2" t="str">
        <f ca="1">IFERROR(__xludf.DUMMYFUNCTION("GOOGLETRANSLATE(B1265,""en"",""ig"")"),"ikwado")</f>
        <v>ikwado</v>
      </c>
      <c r="E1265" s="2" t="str">
        <f ca="1">IFERROR(__xludf.DUMMYFUNCTION("GOOGLETRANSLATE(B1265,""en"",""fr"")"),"organiser")</f>
        <v>organiser</v>
      </c>
      <c r="F1265" s="2" t="str">
        <f ca="1">IFERROR(__xludf.DUMMYFUNCTION("GOOGLETRANSLATE(B1265,""en"",""it"")"),"organizzare")</f>
        <v>organizzare</v>
      </c>
      <c r="G1265" s="2" t="str">
        <f ca="1">IFERROR(__xludf.DUMMYFUNCTION("GOOGLETRANSLATE(B1265,""en"",""de"")"),"arrangieren")</f>
        <v>arrangieren</v>
      </c>
      <c r="H1265" s="2" t="str">
        <f ca="1">IFERROR(__xludf.DUMMYFUNCTION("GOOGLETRANSLATE(B1265,""en"",""zh"")"),"安排")</f>
        <v>安排</v>
      </c>
      <c r="I1265" s="2" t="str">
        <f ca="1">IFERROR(__xludf.DUMMYFUNCTION("GOOGLETRANSLATE(B1265,""en"",""gd"")"),"Cuir air dòigh")</f>
        <v>Cuir air dòigh</v>
      </c>
    </row>
    <row r="1266" spans="1:9" ht="14.25" customHeight="1" x14ac:dyDescent="0.3">
      <c r="A1266" s="2">
        <v>1265</v>
      </c>
      <c r="B1266" s="3" t="s">
        <v>1273</v>
      </c>
      <c r="C1266" s="2" t="str">
        <f ca="1">IFERROR(__xludf.DUMMYFUNCTION("GOOGLETRANSLATE(B1266, ""en"",""es"")"),"esquema")</f>
        <v>esquema</v>
      </c>
      <c r="D1266" s="2" t="str">
        <f ca="1">IFERROR(__xludf.DUMMYFUNCTION("GOOGLETRANSLATE(B1266,""en"",""ig"")"),"mmebe")</f>
        <v>mmebe</v>
      </c>
      <c r="E1266" s="2" t="str">
        <f ca="1">IFERROR(__xludf.DUMMYFUNCTION("GOOGLETRANSLATE(B1266,""en"",""fr"")"),"schème")</f>
        <v>schème</v>
      </c>
      <c r="F1266" s="2" t="str">
        <f ca="1">IFERROR(__xludf.DUMMYFUNCTION("GOOGLETRANSLATE(B1266,""en"",""it"")"),"schema")</f>
        <v>schema</v>
      </c>
      <c r="G1266" s="2" t="str">
        <f ca="1">IFERROR(__xludf.DUMMYFUNCTION("GOOGLETRANSLATE(B1266,""en"",""de"")"),"planen")</f>
        <v>planen</v>
      </c>
      <c r="H1266" s="2" t="str">
        <f ca="1">IFERROR(__xludf.DUMMYFUNCTION("GOOGLETRANSLATE(B1266,""en"",""zh"")"),"方案")</f>
        <v>方案</v>
      </c>
      <c r="I1266" s="2" t="str">
        <f ca="1">IFERROR(__xludf.DUMMYFUNCTION("GOOGLETRANSLATE(B1266,""en"",""gd"")"),"sgeama")</f>
        <v>sgeama</v>
      </c>
    </row>
    <row r="1267" spans="1:9" ht="14.25" customHeight="1" x14ac:dyDescent="0.3">
      <c r="A1267" s="2">
        <v>1266</v>
      </c>
      <c r="B1267" s="3" t="s">
        <v>1274</v>
      </c>
      <c r="C1267" s="2" t="str">
        <f ca="1">IFERROR(__xludf.DUMMYFUNCTION("GOOGLETRANSLATE(B1267, ""en"",""es"")"),"pago")</f>
        <v>pago</v>
      </c>
      <c r="D1267" s="2" t="str">
        <f ca="1">IFERROR(__xludf.DUMMYFUNCTION("GOOGLETRANSLATE(B1267,""en"",""ig"")"),"okwukwu")</f>
        <v>okwukwu</v>
      </c>
      <c r="E1267" s="2" t="str">
        <f ca="1">IFERROR(__xludf.DUMMYFUNCTION("GOOGLETRANSLATE(B1267,""en"",""fr"")"),"paiement")</f>
        <v>paiement</v>
      </c>
      <c r="F1267" s="2" t="str">
        <f ca="1">IFERROR(__xludf.DUMMYFUNCTION("GOOGLETRANSLATE(B1267,""en"",""it"")"),"pagamento")</f>
        <v>pagamento</v>
      </c>
      <c r="G1267" s="2" t="str">
        <f ca="1">IFERROR(__xludf.DUMMYFUNCTION("GOOGLETRANSLATE(B1267,""en"",""de"")"),"Zahlung")</f>
        <v>Zahlung</v>
      </c>
      <c r="H1267" s="2" t="str">
        <f ca="1">IFERROR(__xludf.DUMMYFUNCTION("GOOGLETRANSLATE(B1267,""en"",""zh"")"),"支付")</f>
        <v>支付</v>
      </c>
      <c r="I1267" s="2" t="str">
        <f ca="1">IFERROR(__xludf.DUMMYFUNCTION("GOOGLETRANSLATE(B1267,""en"",""gd"")"),"pàigheadh")</f>
        <v>pàigheadh</v>
      </c>
    </row>
    <row r="1268" spans="1:9" ht="14.25" customHeight="1" x14ac:dyDescent="0.3">
      <c r="A1268" s="2">
        <v>1267</v>
      </c>
      <c r="B1268" s="3" t="s">
        <v>1275</v>
      </c>
      <c r="C1268" s="2" t="str">
        <f ca="1">IFERROR(__xludf.DUMMYFUNCTION("GOOGLETRANSLATE(B1268, ""en"",""es"")"),"desafortunadamente")</f>
        <v>desafortunadamente</v>
      </c>
      <c r="D1268" s="2" t="str">
        <f ca="1">IFERROR(__xludf.DUMMYFUNCTION("GOOGLETRANSLATE(B1268,""en"",""ig"")"),"makaihu ojoo")</f>
        <v>makaihu ojoo</v>
      </c>
      <c r="E1268" s="2" t="str">
        <f ca="1">IFERROR(__xludf.DUMMYFUNCTION("GOOGLETRANSLATE(B1268,""en"",""fr"")"),"malheureusement")</f>
        <v>malheureusement</v>
      </c>
      <c r="F1268" s="2" t="str">
        <f ca="1">IFERROR(__xludf.DUMMYFUNCTION("GOOGLETRANSLATE(B1268,""en"",""it"")"),"Purtroppo")</f>
        <v>Purtroppo</v>
      </c>
      <c r="G1268" s="2" t="str">
        <f ca="1">IFERROR(__xludf.DUMMYFUNCTION("GOOGLETRANSLATE(B1268,""en"",""de"")"),"Leider")</f>
        <v>Leider</v>
      </c>
      <c r="H1268" s="2" t="str">
        <f ca="1">IFERROR(__xludf.DUMMYFUNCTION("GOOGLETRANSLATE(B1268,""en"",""zh"")"),"很遗憾")</f>
        <v>很遗憾</v>
      </c>
      <c r="I1268" s="2" t="str">
        <f ca="1">IFERROR(__xludf.DUMMYFUNCTION("GOOGLETRANSLATE(B1268,""en"",""gd"")"),"Gu mì-fhortanach")</f>
        <v>Gu mì-fhortanach</v>
      </c>
    </row>
    <row r="1269" spans="1:9" ht="14.25" customHeight="1" x14ac:dyDescent="0.3">
      <c r="A1269" s="2">
        <v>1268</v>
      </c>
      <c r="B1269" s="3" t="s">
        <v>1276</v>
      </c>
      <c r="C1269" s="2" t="str">
        <f ca="1">IFERROR(__xludf.DUMMYFUNCTION("GOOGLETRANSLATE(B1269, ""en"",""es"")"),"breve")</f>
        <v>breve</v>
      </c>
      <c r="D1269" s="2" t="str">
        <f ca="1">IFERROR(__xludf.DUMMYFUNCTION("GOOGLETRANSLATE(B1269,""en"",""ig"")"),"nkowa")</f>
        <v>nkowa</v>
      </c>
      <c r="E1269" s="2" t="str">
        <f ca="1">IFERROR(__xludf.DUMMYFUNCTION("GOOGLETRANSLATE(B1269,""en"",""fr"")"),"bref")</f>
        <v>bref</v>
      </c>
      <c r="F1269" s="2" t="str">
        <f ca="1">IFERROR(__xludf.DUMMYFUNCTION("GOOGLETRANSLATE(B1269,""en"",""it"")"),"breve")</f>
        <v>breve</v>
      </c>
      <c r="G1269" s="2" t="str">
        <f ca="1">IFERROR(__xludf.DUMMYFUNCTION("GOOGLETRANSLATE(B1269,""en"",""de"")"),"knapp")</f>
        <v>knapp</v>
      </c>
      <c r="H1269" s="2" t="str">
        <f ca="1">IFERROR(__xludf.DUMMYFUNCTION("GOOGLETRANSLATE(B1269,""en"",""zh"")"),"简短的")</f>
        <v>简短的</v>
      </c>
      <c r="I1269" s="2" t="str">
        <f ca="1">IFERROR(__xludf.DUMMYFUNCTION("GOOGLETRANSLATE(B1269,""en"",""gd"")"),"Geàrr-chunntas")</f>
        <v>Geàrr-chunntas</v>
      </c>
    </row>
    <row r="1270" spans="1:9" ht="14.25" customHeight="1" x14ac:dyDescent="0.3">
      <c r="A1270" s="2">
        <v>1269</v>
      </c>
      <c r="B1270" s="3" t="s">
        <v>1277</v>
      </c>
      <c r="C1270" s="2" t="str">
        <f ca="1">IFERROR(__xludf.DUMMYFUNCTION("GOOGLETRANSLATE(B1270, ""en"",""es"")"),"pájaro")</f>
        <v>pájaro</v>
      </c>
      <c r="D1270" s="2" t="str">
        <f ca="1">IFERROR(__xludf.DUMMYFUNCTION("GOOGLETRANSLATE(B1270,""en"",""ig"")"),"nunu")</f>
        <v>nunu</v>
      </c>
      <c r="E1270" s="2" t="str">
        <f ca="1">IFERROR(__xludf.DUMMYFUNCTION("GOOGLETRANSLATE(B1270,""en"",""fr"")"),"oiseau")</f>
        <v>oiseau</v>
      </c>
      <c r="F1270" s="2" t="str">
        <f ca="1">IFERROR(__xludf.DUMMYFUNCTION("GOOGLETRANSLATE(B1270,""en"",""it"")"),"uccello")</f>
        <v>uccello</v>
      </c>
      <c r="G1270" s="2" t="str">
        <f ca="1">IFERROR(__xludf.DUMMYFUNCTION("GOOGLETRANSLATE(B1270,""en"",""de"")"),"Vogel")</f>
        <v>Vogel</v>
      </c>
      <c r="H1270" s="2" t="str">
        <f ca="1">IFERROR(__xludf.DUMMYFUNCTION("GOOGLETRANSLATE(B1270,""en"",""zh"")"),"鸟")</f>
        <v>鸟</v>
      </c>
      <c r="I1270" s="2" t="str">
        <f ca="1">IFERROR(__xludf.DUMMYFUNCTION("GOOGLETRANSLATE(B1270,""en"",""gd"")"),"Eun")</f>
        <v>Eun</v>
      </c>
    </row>
    <row r="1271" spans="1:9" ht="14.25" customHeight="1" x14ac:dyDescent="0.3">
      <c r="A1271" s="2">
        <v>1270</v>
      </c>
      <c r="B1271" s="3" t="s">
        <v>1278</v>
      </c>
      <c r="C1271" s="2" t="str">
        <f ca="1">IFERROR(__xludf.DUMMYFUNCTION("GOOGLETRANSLATE(B1271, ""en"",""es"")"),"demostrar")</f>
        <v>demostrar</v>
      </c>
      <c r="D1271" s="2" t="str">
        <f ca="1">IFERROR(__xludf.DUMMYFUNCTION("GOOGLETRANSLATE(B1271,""en"",""ig"")"),"igosi")</f>
        <v>igosi</v>
      </c>
      <c r="E1271" s="2" t="str">
        <f ca="1">IFERROR(__xludf.DUMMYFUNCTION("GOOGLETRANSLATE(B1271,""en"",""fr"")"),"démontrer")</f>
        <v>démontrer</v>
      </c>
      <c r="F1271" s="2" t="str">
        <f ca="1">IFERROR(__xludf.DUMMYFUNCTION("GOOGLETRANSLATE(B1271,""en"",""it"")"),"dimostrare")</f>
        <v>dimostrare</v>
      </c>
      <c r="G1271" s="2" t="str">
        <f ca="1">IFERROR(__xludf.DUMMYFUNCTION("GOOGLETRANSLATE(B1271,""en"",""de"")"),"zeigen")</f>
        <v>zeigen</v>
      </c>
      <c r="H1271" s="2" t="str">
        <f ca="1">IFERROR(__xludf.DUMMYFUNCTION("GOOGLETRANSLATE(B1271,""en"",""zh"")"),"证明")</f>
        <v>证明</v>
      </c>
      <c r="I1271" s="2" t="str">
        <f ca="1">IFERROR(__xludf.DUMMYFUNCTION("GOOGLETRANSLATE(B1271,""en"",""gd"")"),"a 'sealltainn")</f>
        <v>a 'sealltainn</v>
      </c>
    </row>
    <row r="1272" spans="1:9" ht="14.25" customHeight="1" x14ac:dyDescent="0.3">
      <c r="A1272" s="2">
        <v>1271</v>
      </c>
      <c r="B1272" s="3" t="s">
        <v>1279</v>
      </c>
      <c r="C1272" s="2" t="str">
        <f ca="1">IFERROR(__xludf.DUMMYFUNCTION("GOOGLETRANSLATE(B1272, ""en"",""es"")"),"contribución")</f>
        <v>contribución</v>
      </c>
      <c r="D1272" s="2" t="str">
        <f ca="1">IFERROR(__xludf.DUMMYFUNCTION("GOOGLETRANSLATE(B1272,""en"",""ig"")"),"utu")</f>
        <v>utu</v>
      </c>
      <c r="E1272" s="2" t="str">
        <f ca="1">IFERROR(__xludf.DUMMYFUNCTION("GOOGLETRANSLATE(B1272,""en"",""fr"")"),"contribution")</f>
        <v>contribution</v>
      </c>
      <c r="F1272" s="2" t="str">
        <f ca="1">IFERROR(__xludf.DUMMYFUNCTION("GOOGLETRANSLATE(B1272,""en"",""it"")"),"contributo")</f>
        <v>contributo</v>
      </c>
      <c r="G1272" s="2" t="str">
        <f ca="1">IFERROR(__xludf.DUMMYFUNCTION("GOOGLETRANSLATE(B1272,""en"",""de"")"),"Beitrag")</f>
        <v>Beitrag</v>
      </c>
      <c r="H1272" s="2" t="str">
        <f ca="1">IFERROR(__xludf.DUMMYFUNCTION("GOOGLETRANSLATE(B1272,""en"",""zh"")"),"贡献")</f>
        <v>贡献</v>
      </c>
      <c r="I1272" s="2" t="str">
        <f ca="1">IFERROR(__xludf.DUMMYFUNCTION("GOOGLETRANSLATE(B1272,""en"",""gd"")"),"Tabhartas")</f>
        <v>Tabhartas</v>
      </c>
    </row>
    <row r="1273" spans="1:9" ht="14.25" customHeight="1" x14ac:dyDescent="0.3">
      <c r="A1273" s="2">
        <v>1272</v>
      </c>
      <c r="B1273" s="3" t="s">
        <v>1280</v>
      </c>
      <c r="C1273" s="2" t="str">
        <f ca="1">IFERROR(__xludf.DUMMYFUNCTION("GOOGLETRANSLATE(B1273, ""en"",""es"")"),"agradecer")</f>
        <v>agradecer</v>
      </c>
      <c r="D1273" s="2" t="str">
        <f ca="1">IFERROR(__xludf.DUMMYFUNCTION("GOOGLETRANSLATE(B1273,""en"",""ig"")"),"inye ekele")</f>
        <v>inye ekele</v>
      </c>
      <c r="E1273" s="2" t="str">
        <f ca="1">IFERROR(__xludf.DUMMYFUNCTION("GOOGLETRANSLATE(B1273,""en"",""fr"")"),"apprécier")</f>
        <v>apprécier</v>
      </c>
      <c r="F1273" s="2" t="str">
        <f ca="1">IFERROR(__xludf.DUMMYFUNCTION("GOOGLETRANSLATE(B1273,""en"",""it"")"),"apprezzare")</f>
        <v>apprezzare</v>
      </c>
      <c r="G1273" s="2" t="str">
        <f ca="1">IFERROR(__xludf.DUMMYFUNCTION("GOOGLETRANSLATE(B1273,""en"",""de"")"),"anerkennen")</f>
        <v>anerkennen</v>
      </c>
      <c r="H1273" s="2" t="str">
        <f ca="1">IFERROR(__xludf.DUMMYFUNCTION("GOOGLETRANSLATE(B1273,""en"",""zh"")"),"欣赏")</f>
        <v>欣赏</v>
      </c>
      <c r="I1273" s="2" t="str">
        <f ca="1">IFERROR(__xludf.DUMMYFUNCTION("GOOGLETRANSLATE(B1273,""en"",""gd"")"),"meas")</f>
        <v>meas</v>
      </c>
    </row>
    <row r="1274" spans="1:9" ht="14.25" customHeight="1" x14ac:dyDescent="0.3">
      <c r="A1274" s="2">
        <v>1273</v>
      </c>
      <c r="B1274" s="3" t="s">
        <v>1281</v>
      </c>
      <c r="C1274" s="2" t="str">
        <f ca="1">IFERROR(__xludf.DUMMYFUNCTION("GOOGLETRANSLATE(B1274, ""en"",""es"")"),"capítulo")</f>
        <v>capítulo</v>
      </c>
      <c r="D1274" s="2" t="str">
        <f ca="1">IFERROR(__xludf.DUMMYFUNCTION("GOOGLETRANSLATE(B1274,""en"",""ig"")"),"isi")</f>
        <v>isi</v>
      </c>
      <c r="E1274" s="2" t="str">
        <f ca="1">IFERROR(__xludf.DUMMYFUNCTION("GOOGLETRANSLATE(B1274,""en"",""fr"")"),"chapitre")</f>
        <v>chapitre</v>
      </c>
      <c r="F1274" s="2" t="str">
        <f ca="1">IFERROR(__xludf.DUMMYFUNCTION("GOOGLETRANSLATE(B1274,""en"",""it"")"),"capitolo")</f>
        <v>capitolo</v>
      </c>
      <c r="G1274" s="2" t="str">
        <f ca="1">IFERROR(__xludf.DUMMYFUNCTION("GOOGLETRANSLATE(B1274,""en"",""de"")"),"Kapitel")</f>
        <v>Kapitel</v>
      </c>
      <c r="H1274" s="2" t="str">
        <f ca="1">IFERROR(__xludf.DUMMYFUNCTION("GOOGLETRANSLATE(B1274,""en"",""zh"")"),"章节")</f>
        <v>章节</v>
      </c>
      <c r="I1274" s="2" t="str">
        <f ca="1">IFERROR(__xludf.DUMMYFUNCTION("GOOGLETRANSLATE(B1274,""en"",""gd"")"),"Caibideil")</f>
        <v>Caibideil</v>
      </c>
    </row>
    <row r="1275" spans="1:9" ht="14.25" customHeight="1" x14ac:dyDescent="0.3">
      <c r="A1275" s="2">
        <v>1274</v>
      </c>
      <c r="B1275" s="3" t="s">
        <v>1282</v>
      </c>
      <c r="C1275" s="2" t="str">
        <f ca="1">IFERROR(__xludf.DUMMYFUNCTION("GOOGLETRANSLATE(B1275, ""en"",""es"")"),"secreto")</f>
        <v>secreto</v>
      </c>
      <c r="D1275" s="2" t="str">
        <f ca="1">IFERROR(__xludf.DUMMYFUNCTION("GOOGLETRANSLATE(B1275,""en"",""ig"")"),"nke nzuzo")</f>
        <v>nke nzuzo</v>
      </c>
      <c r="E1275" s="2" t="str">
        <f ca="1">IFERROR(__xludf.DUMMYFUNCTION("GOOGLETRANSLATE(B1275,""en"",""fr"")"),"secrète")</f>
        <v>secrète</v>
      </c>
      <c r="F1275" s="2" t="str">
        <f ca="1">IFERROR(__xludf.DUMMYFUNCTION("GOOGLETRANSLATE(B1275,""en"",""it"")"),"segreto")</f>
        <v>segreto</v>
      </c>
      <c r="G1275" s="2" t="str">
        <f ca="1">IFERROR(__xludf.DUMMYFUNCTION("GOOGLETRANSLATE(B1275,""en"",""de"")"),"Geheimnis")</f>
        <v>Geheimnis</v>
      </c>
      <c r="H1275" s="2" t="str">
        <f ca="1">IFERROR(__xludf.DUMMYFUNCTION("GOOGLETRANSLATE(B1275,""en"",""zh"")"),"秘密")</f>
        <v>秘密</v>
      </c>
      <c r="I1275" s="2" t="str">
        <f ca="1">IFERROR(__xludf.DUMMYFUNCTION("GOOGLETRANSLATE(B1275,""en"",""gd"")"),"Dìomhaireachd")</f>
        <v>Dìomhaireachd</v>
      </c>
    </row>
    <row r="1276" spans="1:9" ht="14.25" customHeight="1" x14ac:dyDescent="0.3">
      <c r="A1276" s="2">
        <v>1275</v>
      </c>
      <c r="B1276" s="3" t="s">
        <v>1283</v>
      </c>
      <c r="C1276" s="2" t="str">
        <f ca="1">IFERROR(__xludf.DUMMYFUNCTION("GOOGLETRANSLATE(B1276, ""en"",""es"")"),"aparentemente")</f>
        <v>aparentemente</v>
      </c>
      <c r="D1276" s="2" t="str">
        <f ca="1">IFERROR(__xludf.DUMMYFUNCTION("GOOGLETRANSLATE(B1276,""en"",""ig"")"),"otu o di")</f>
        <v>otu o di</v>
      </c>
      <c r="E1276" s="2" t="str">
        <f ca="1">IFERROR(__xludf.DUMMYFUNCTION("GOOGLETRANSLATE(B1276,""en"",""fr"")"),"apparemment")</f>
        <v>apparemment</v>
      </c>
      <c r="F1276" s="2" t="str">
        <f ca="1">IFERROR(__xludf.DUMMYFUNCTION("GOOGLETRANSLATE(B1276,""en"",""it"")"),"apparentemente")</f>
        <v>apparentemente</v>
      </c>
      <c r="G1276" s="2" t="str">
        <f ca="1">IFERROR(__xludf.DUMMYFUNCTION("GOOGLETRANSLATE(B1276,""en"",""de"")"),"scheinbar")</f>
        <v>scheinbar</v>
      </c>
      <c r="H1276" s="2" t="str">
        <f ca="1">IFERROR(__xludf.DUMMYFUNCTION("GOOGLETRANSLATE(B1276,""en"",""zh"")"),"显然")</f>
        <v>显然</v>
      </c>
      <c r="I1276" s="2" t="str">
        <f ca="1">IFERROR(__xludf.DUMMYFUNCTION("GOOGLETRANSLATE(B1276,""en"",""gd"")"),"a rèir coltais")</f>
        <v>a rèir coltais</v>
      </c>
    </row>
    <row r="1277" spans="1:9" ht="14.25" customHeight="1" x14ac:dyDescent="0.3">
      <c r="A1277" s="2">
        <v>1276</v>
      </c>
      <c r="B1277" s="3" t="s">
        <v>1284</v>
      </c>
      <c r="C1277" s="2" t="str">
        <f ca="1">IFERROR(__xludf.DUMMYFUNCTION("GOOGLETRANSLATE(B1277, ""en"",""es"")"),"novedoso")</f>
        <v>novedoso</v>
      </c>
      <c r="D1277" s="2" t="str">
        <f ca="1">IFERROR(__xludf.DUMMYFUNCTION("GOOGLETRANSLATE(B1277,""en"",""ig"")"),"novul")</f>
        <v>novul</v>
      </c>
      <c r="E1277" s="2" t="str">
        <f ca="1">IFERROR(__xludf.DUMMYFUNCTION("GOOGLETRANSLATE(B1277,""en"",""fr"")"),"roman")</f>
        <v>roman</v>
      </c>
      <c r="F1277" s="2" t="str">
        <f ca="1">IFERROR(__xludf.DUMMYFUNCTION("GOOGLETRANSLATE(B1277,""en"",""it"")"),"romanzo")</f>
        <v>romanzo</v>
      </c>
      <c r="G1277" s="2" t="str">
        <f ca="1">IFERROR(__xludf.DUMMYFUNCTION("GOOGLETRANSLATE(B1277,""en"",""de"")"),"Roman")</f>
        <v>Roman</v>
      </c>
      <c r="H1277" s="2" t="str">
        <f ca="1">IFERROR(__xludf.DUMMYFUNCTION("GOOGLETRANSLATE(B1277,""en"",""zh"")"),"小说")</f>
        <v>小说</v>
      </c>
      <c r="I1277" s="2" t="str">
        <f ca="1">IFERROR(__xludf.DUMMYFUNCTION("GOOGLETRANSLATE(B1277,""en"",""gd"")"),"nobhail")</f>
        <v>nobhail</v>
      </c>
    </row>
    <row r="1278" spans="1:9" ht="14.25" customHeight="1" x14ac:dyDescent="0.3">
      <c r="A1278" s="2">
        <v>1277</v>
      </c>
      <c r="B1278" s="3" t="s">
        <v>1285</v>
      </c>
      <c r="C1278" s="2" t="str">
        <f ca="1">IFERROR(__xludf.DUMMYFUNCTION("GOOGLETRANSLATE(B1278, ""en"",""es"")"),"Unión")</f>
        <v>Unión</v>
      </c>
      <c r="D1278" s="2" t="str">
        <f ca="1">IFERROR(__xludf.DUMMYFUNCTION("GOOGLETRANSLATE(B1278,""en"",""ig"")"),"mjikota")</f>
        <v>mjikota</v>
      </c>
      <c r="E1278" s="2" t="str">
        <f ca="1">IFERROR(__xludf.DUMMYFUNCTION("GOOGLETRANSLATE(B1278,""en"",""fr"")"),"syndicat")</f>
        <v>syndicat</v>
      </c>
      <c r="F1278" s="2" t="str">
        <f ca="1">IFERROR(__xludf.DUMMYFUNCTION("GOOGLETRANSLATE(B1278,""en"",""it"")"),"unione")</f>
        <v>unione</v>
      </c>
      <c r="G1278" s="2" t="str">
        <f ca="1">IFERROR(__xludf.DUMMYFUNCTION("GOOGLETRANSLATE(B1278,""en"",""de"")"),"Union")</f>
        <v>Union</v>
      </c>
      <c r="H1278" s="2" t="str">
        <f ca="1">IFERROR(__xludf.DUMMYFUNCTION("GOOGLETRANSLATE(B1278,""en"",""zh"")"),"联盟")</f>
        <v>联盟</v>
      </c>
      <c r="I1278" s="2" t="str">
        <f ca="1">IFERROR(__xludf.DUMMYFUNCTION("GOOGLETRANSLATE(B1278,""en"",""gd"")"),"Aonadh")</f>
        <v>Aonadh</v>
      </c>
    </row>
    <row r="1279" spans="1:9" ht="14.25" customHeight="1" x14ac:dyDescent="0.3">
      <c r="A1279" s="2">
        <v>1278</v>
      </c>
      <c r="B1279" s="3" t="s">
        <v>1286</v>
      </c>
      <c r="C1279" s="2" t="str">
        <f ca="1">IFERROR(__xludf.DUMMYFUNCTION("GOOGLETRANSLATE(B1279, ""en"",""es"")"),"quemar")</f>
        <v>quemar</v>
      </c>
      <c r="D1279" s="2" t="str">
        <f ca="1">IFERROR(__xludf.DUMMYFUNCTION("GOOGLETRANSLATE(B1279,""en"",""ig"")"),"ire")</f>
        <v>ire</v>
      </c>
      <c r="E1279" s="2" t="str">
        <f ca="1">IFERROR(__xludf.DUMMYFUNCTION("GOOGLETRANSLATE(B1279,""en"",""fr"")"),"brûler")</f>
        <v>brûler</v>
      </c>
      <c r="F1279" s="2" t="str">
        <f ca="1">IFERROR(__xludf.DUMMYFUNCTION("GOOGLETRANSLATE(B1279,""en"",""it"")"),"bruciare")</f>
        <v>bruciare</v>
      </c>
      <c r="G1279" s="2" t="str">
        <f ca="1">IFERROR(__xludf.DUMMYFUNCTION("GOOGLETRANSLATE(B1279,""en"",""de"")"),"brennen")</f>
        <v>brennen</v>
      </c>
      <c r="H1279" s="2" t="str">
        <f ca="1">IFERROR(__xludf.DUMMYFUNCTION("GOOGLETRANSLATE(B1279,""en"",""zh"")"),"烧伤")</f>
        <v>烧伤</v>
      </c>
      <c r="I1279" s="2" t="str">
        <f ca="1">IFERROR(__xludf.DUMMYFUNCTION("GOOGLETRANSLATE(B1279,""en"",""gd"")"),"losgadh")</f>
        <v>losgadh</v>
      </c>
    </row>
    <row r="1280" spans="1:9" ht="14.25" customHeight="1" x14ac:dyDescent="0.3">
      <c r="A1280" s="2">
        <v>1279</v>
      </c>
      <c r="B1280" s="3" t="s">
        <v>1287</v>
      </c>
      <c r="C1280" s="2" t="str">
        <f ca="1">IFERROR(__xludf.DUMMYFUNCTION("GOOGLETRANSLATE(B1280, ""en"",""es"")"),"tendencia")</f>
        <v>tendencia</v>
      </c>
      <c r="D1280" s="2" t="str">
        <f ca="1">IFERROR(__xludf.DUMMYFUNCTION("GOOGLETRANSLATE(B1280,""en"",""ig"")"),"igba")</f>
        <v>igba</v>
      </c>
      <c r="E1280" s="2" t="str">
        <f ca="1">IFERROR(__xludf.DUMMYFUNCTION("GOOGLETRANSLATE(B1280,""en"",""fr"")"),"s'orienter")</f>
        <v>s'orienter</v>
      </c>
      <c r="F1280" s="2" t="str">
        <f ca="1">IFERROR(__xludf.DUMMYFUNCTION("GOOGLETRANSLATE(B1280,""en"",""it"")"),"tendenza")</f>
        <v>tendenza</v>
      </c>
      <c r="G1280" s="2" t="str">
        <f ca="1">IFERROR(__xludf.DUMMYFUNCTION("GOOGLETRANSLATE(B1280,""en"",""de"")"),"Trend")</f>
        <v>Trend</v>
      </c>
      <c r="H1280" s="2" t="str">
        <f ca="1">IFERROR(__xludf.DUMMYFUNCTION("GOOGLETRANSLATE(B1280,""en"",""zh"")"),"趋势")</f>
        <v>趋势</v>
      </c>
      <c r="I1280" s="2" t="str">
        <f ca="1">IFERROR(__xludf.DUMMYFUNCTION("GOOGLETRANSLATE(B1280,""en"",""gd"")"),"RIAGHLADH")</f>
        <v>RIAGHLADH</v>
      </c>
    </row>
    <row r="1281" spans="1:9" ht="14.25" customHeight="1" x14ac:dyDescent="0.3">
      <c r="A1281" s="2">
        <v>1280</v>
      </c>
      <c r="B1281" s="3" t="s">
        <v>1288</v>
      </c>
      <c r="C1281" s="2" t="str">
        <f ca="1">IFERROR(__xludf.DUMMYFUNCTION("GOOGLETRANSLATE(B1281, ""en"",""es"")"),"inicial")</f>
        <v>inicial</v>
      </c>
      <c r="D1281" s="2" t="str">
        <f ca="1">IFERROR(__xludf.DUMMYFUNCTION("GOOGLETRANSLATE(B1281,""en"",""ig"")"),"kembido")</f>
        <v>kembido</v>
      </c>
      <c r="E1281" s="2" t="str">
        <f ca="1">IFERROR(__xludf.DUMMYFUNCTION("GOOGLETRANSLATE(B1281,""en"",""fr"")"),"initial")</f>
        <v>initial</v>
      </c>
      <c r="F1281" s="2" t="str">
        <f ca="1">IFERROR(__xludf.DUMMYFUNCTION("GOOGLETRANSLATE(B1281,""en"",""it"")"),"iniziale")</f>
        <v>iniziale</v>
      </c>
      <c r="G1281" s="2" t="str">
        <f ca="1">IFERROR(__xludf.DUMMYFUNCTION("GOOGLETRANSLATE(B1281,""en"",""de"")"),"anfänglich")</f>
        <v>anfänglich</v>
      </c>
      <c r="H1281" s="2" t="str">
        <f ca="1">IFERROR(__xludf.DUMMYFUNCTION("GOOGLETRANSLATE(B1281,""en"",""zh"")"),"最初的")</f>
        <v>最初的</v>
      </c>
      <c r="I1281" s="2" t="str">
        <f ca="1">IFERROR(__xludf.DUMMYFUNCTION("GOOGLETRANSLATE(B1281,""en"",""gd"")"),"An toiseach")</f>
        <v>An toiseach</v>
      </c>
    </row>
    <row r="1282" spans="1:9" ht="14.25" customHeight="1" x14ac:dyDescent="0.3">
      <c r="A1282" s="2">
        <v>1281</v>
      </c>
      <c r="B1282" s="3" t="s">
        <v>1289</v>
      </c>
      <c r="C1282" s="2" t="str">
        <f ca="1">IFERROR(__xludf.DUMMYFUNCTION("GOOGLETRANSLATE(B1282, ""en"",""es"")"),"placer")</f>
        <v>placer</v>
      </c>
      <c r="D1282" s="2" t="str">
        <f ca="1">IFERROR(__xludf.DUMMYFUNCTION("GOOGLETRANSLATE(B1282,""en"",""ig"")"),"obiuto")</f>
        <v>obiuto</v>
      </c>
      <c r="E1282" s="2" t="str">
        <f ca="1">IFERROR(__xludf.DUMMYFUNCTION("GOOGLETRANSLATE(B1282,""en"",""fr"")"),"plaisir")</f>
        <v>plaisir</v>
      </c>
      <c r="F1282" s="2" t="str">
        <f ca="1">IFERROR(__xludf.DUMMYFUNCTION("GOOGLETRANSLATE(B1282,""en"",""it"")"),"piacere")</f>
        <v>piacere</v>
      </c>
      <c r="G1282" s="2" t="str">
        <f ca="1">IFERROR(__xludf.DUMMYFUNCTION("GOOGLETRANSLATE(B1282,""en"",""de"")"),"Vergnügen")</f>
        <v>Vergnügen</v>
      </c>
      <c r="H1282" s="2" t="str">
        <f ca="1">IFERROR(__xludf.DUMMYFUNCTION("GOOGLETRANSLATE(B1282,""en"",""zh"")"),"乐趣")</f>
        <v>乐趣</v>
      </c>
      <c r="I1282" s="2" t="str">
        <f ca="1">IFERROR(__xludf.DUMMYFUNCTION("GOOGLETRANSLATE(B1282,""en"",""gd"")"),"toileachas")</f>
        <v>toileachas</v>
      </c>
    </row>
    <row r="1283" spans="1:9" ht="14.25" customHeight="1" x14ac:dyDescent="0.3">
      <c r="A1283" s="2">
        <v>1282</v>
      </c>
      <c r="B1283" s="3" t="s">
        <v>1290</v>
      </c>
      <c r="C1283" s="2" t="str">
        <f ca="1">IFERROR(__xludf.DUMMYFUNCTION("GOOGLETRANSLATE(B1283, ""en"",""es"")"),"sugerencia")</f>
        <v>sugerencia</v>
      </c>
      <c r="D1283" s="2" t="str">
        <f ca="1">IFERROR(__xludf.DUMMYFUNCTION("GOOGLETRANSLATE(B1283,""en"",""ig"")"),"ncheputa")</f>
        <v>ncheputa</v>
      </c>
      <c r="E1283" s="2" t="str">
        <f ca="1">IFERROR(__xludf.DUMMYFUNCTION("GOOGLETRANSLATE(B1283,""en"",""fr"")"),"suggestion")</f>
        <v>suggestion</v>
      </c>
      <c r="F1283" s="2" t="str">
        <f ca="1">IFERROR(__xludf.DUMMYFUNCTION("GOOGLETRANSLATE(B1283,""en"",""it"")"),"suggerimento")</f>
        <v>suggerimento</v>
      </c>
      <c r="G1283" s="2" t="str">
        <f ca="1">IFERROR(__xludf.DUMMYFUNCTION("GOOGLETRANSLATE(B1283,""en"",""de"")"),"Anregung")</f>
        <v>Anregung</v>
      </c>
      <c r="H1283" s="2" t="str">
        <f ca="1">IFERROR(__xludf.DUMMYFUNCTION("GOOGLETRANSLATE(B1283,""en"",""zh"")"),"建议")</f>
        <v>建议</v>
      </c>
      <c r="I1283" s="2" t="str">
        <f ca="1">IFERROR(__xludf.DUMMYFUNCTION("GOOGLETRANSLATE(B1283,""en"",""gd"")"),"moladh")</f>
        <v>moladh</v>
      </c>
    </row>
    <row r="1284" spans="1:9" ht="14.25" customHeight="1" x14ac:dyDescent="0.3">
      <c r="A1284" s="2">
        <v>1283</v>
      </c>
      <c r="B1284" s="3" t="s">
        <v>1291</v>
      </c>
      <c r="C1284" s="2" t="str">
        <f ca="1">IFERROR(__xludf.DUMMYFUNCTION("GOOGLETRANSLATE(B1284, ""en"",""es"")"),"crítico")</f>
        <v>crítico</v>
      </c>
      <c r="D1284" s="2" t="str">
        <f ca="1">IFERROR(__xludf.DUMMYFUNCTION("GOOGLETRANSLATE(B1284,""en"",""ig"")"),"kennyocha")</f>
        <v>kennyocha</v>
      </c>
      <c r="E1284" s="2" t="str">
        <f ca="1">IFERROR(__xludf.DUMMYFUNCTION("GOOGLETRANSLATE(B1284,""en"",""fr"")"),"critique")</f>
        <v>critique</v>
      </c>
      <c r="F1284" s="2" t="str">
        <f ca="1">IFERROR(__xludf.DUMMYFUNCTION("GOOGLETRANSLATE(B1284,""en"",""it"")"),"critico")</f>
        <v>critico</v>
      </c>
      <c r="G1284" s="2" t="str">
        <f ca="1">IFERROR(__xludf.DUMMYFUNCTION("GOOGLETRANSLATE(B1284,""en"",""de"")"),"kritisch")</f>
        <v>kritisch</v>
      </c>
      <c r="H1284" s="2" t="str">
        <f ca="1">IFERROR(__xludf.DUMMYFUNCTION("GOOGLETRANSLATE(B1284,""en"",""zh"")"),"批判的")</f>
        <v>批判的</v>
      </c>
      <c r="I1284" s="2" t="str">
        <f ca="1">IFERROR(__xludf.DUMMYFUNCTION("GOOGLETRANSLATE(B1284,""en"",""gd"")"),"èiginneach")</f>
        <v>èiginneach</v>
      </c>
    </row>
    <row r="1285" spans="1:9" ht="14.25" customHeight="1" x14ac:dyDescent="0.3">
      <c r="A1285" s="2">
        <v>1284</v>
      </c>
      <c r="B1285" s="3" t="s">
        <v>1292</v>
      </c>
      <c r="C1285" s="2" t="str">
        <f ca="1">IFERROR(__xludf.DUMMYFUNCTION("GOOGLETRANSLATE(B1285, ""en"",""es"")"),"recolectar")</f>
        <v>recolectar</v>
      </c>
      <c r="D1285" s="2" t="str">
        <f ca="1">IFERROR(__xludf.DUMMYFUNCTION("GOOGLETRANSLATE(B1285,""en"",""ig"")"),"zukota")</f>
        <v>zukota</v>
      </c>
      <c r="E1285" s="2" t="str">
        <f ca="1">IFERROR(__xludf.DUMMYFUNCTION("GOOGLETRANSLATE(B1285,""en"",""fr"")"),"rassembler")</f>
        <v>rassembler</v>
      </c>
      <c r="F1285" s="2" t="str">
        <f ca="1">IFERROR(__xludf.DUMMYFUNCTION("GOOGLETRANSLATE(B1285,""en"",""it"")"),"raccogliere")</f>
        <v>raccogliere</v>
      </c>
      <c r="G1285" s="2" t="str">
        <f ca="1">IFERROR(__xludf.DUMMYFUNCTION("GOOGLETRANSLATE(B1285,""en"",""de"")"),"versammeln")</f>
        <v>versammeln</v>
      </c>
      <c r="H1285" s="2" t="str">
        <f ca="1">IFERROR(__xludf.DUMMYFUNCTION("GOOGLETRANSLATE(B1285,""en"",""zh"")"),"收集")</f>
        <v>收集</v>
      </c>
      <c r="I1285" s="2" t="str">
        <f ca="1">IFERROR(__xludf.DUMMYFUNCTION("GOOGLETRANSLATE(B1285,""en"",""gd"")"),"Cruinnich")</f>
        <v>Cruinnich</v>
      </c>
    </row>
    <row r="1286" spans="1:9" ht="14.25" customHeight="1" x14ac:dyDescent="0.3">
      <c r="A1286" s="2">
        <v>1285</v>
      </c>
      <c r="B1286" s="3" t="s">
        <v>1293</v>
      </c>
      <c r="C1286" s="2" t="str">
        <f ca="1">IFERROR(__xludf.DUMMYFUNCTION("GOOGLETRANSLATE(B1286, ""en"",""es"")"),"principalmente")</f>
        <v>principalmente</v>
      </c>
      <c r="D1286" s="2" t="str">
        <f ca="1">IFERROR(__xludf.DUMMYFUNCTION("GOOGLETRANSLATE(B1286,""en"",""ig"")"),"ọkachasị")</f>
        <v>ọkachasị</v>
      </c>
      <c r="E1286" s="2" t="str">
        <f ca="1">IFERROR(__xludf.DUMMYFUNCTION("GOOGLETRANSLATE(B1286,""en"",""fr"")"),"surtout")</f>
        <v>surtout</v>
      </c>
      <c r="F1286" s="2" t="str">
        <f ca="1">IFERROR(__xludf.DUMMYFUNCTION("GOOGLETRANSLATE(B1286,""en"",""it"")"),"soprattutto")</f>
        <v>soprattutto</v>
      </c>
      <c r="G1286" s="2" t="str">
        <f ca="1">IFERROR(__xludf.DUMMYFUNCTION("GOOGLETRANSLATE(B1286,""en"",""de"")"),"meistens")</f>
        <v>meistens</v>
      </c>
      <c r="H1286" s="2" t="str">
        <f ca="1">IFERROR(__xludf.DUMMYFUNCTION("GOOGLETRANSLATE(B1286,""en"",""zh"")"),"大多")</f>
        <v>大多</v>
      </c>
      <c r="I1286" s="2" t="str">
        <f ca="1">IFERROR(__xludf.DUMMYFUNCTION("GOOGLETRANSLATE(B1286,""en"",""gd"")"),"sa mhòr-chuid")</f>
        <v>sa mhòr-chuid</v>
      </c>
    </row>
    <row r="1287" spans="1:9" ht="14.25" customHeight="1" x14ac:dyDescent="0.3">
      <c r="A1287" s="2">
        <v>1286</v>
      </c>
      <c r="B1287" s="3" t="s">
        <v>1294</v>
      </c>
      <c r="C1287" s="2" t="str">
        <f ca="1">IFERROR(__xludf.DUMMYFUNCTION("GOOGLETRANSLATE(B1287, ""en"",""es"")"),"tierra")</f>
        <v>tierra</v>
      </c>
      <c r="D1287" s="2" t="str">
        <f ca="1">IFERROR(__xludf.DUMMYFUNCTION("GOOGLETRANSLATE(B1287,""en"",""ig"")"),"ala")</f>
        <v>ala</v>
      </c>
      <c r="E1287" s="2" t="str">
        <f ca="1">IFERROR(__xludf.DUMMYFUNCTION("GOOGLETRANSLATE(B1287,""en"",""fr"")"),"Terre")</f>
        <v>Terre</v>
      </c>
      <c r="F1287" s="2" t="str">
        <f ca="1">IFERROR(__xludf.DUMMYFUNCTION("GOOGLETRANSLATE(B1287,""en"",""it"")"),"terra")</f>
        <v>terra</v>
      </c>
      <c r="G1287" s="2" t="str">
        <f ca="1">IFERROR(__xludf.DUMMYFUNCTION("GOOGLETRANSLATE(B1287,""en"",""de"")"),"Erde")</f>
        <v>Erde</v>
      </c>
      <c r="H1287" s="2" t="str">
        <f ca="1">IFERROR(__xludf.DUMMYFUNCTION("GOOGLETRANSLATE(B1287,""en"",""zh"")"),"地球")</f>
        <v>地球</v>
      </c>
      <c r="I1287" s="2" t="str">
        <f ca="1">IFERROR(__xludf.DUMMYFUNCTION("GOOGLETRANSLATE(B1287,""en"",""gd"")"),"Talamh")</f>
        <v>Talamh</v>
      </c>
    </row>
    <row r="1288" spans="1:9" ht="14.25" customHeight="1" x14ac:dyDescent="0.3">
      <c r="A1288" s="2">
        <v>1287</v>
      </c>
      <c r="B1288" s="3" t="s">
        <v>1295</v>
      </c>
      <c r="C1288" s="2" t="str">
        <f ca="1">IFERROR(__xludf.DUMMYFUNCTION("GOOGLETRANSLATE(B1288, ""en"",""es"")"),"estallido")</f>
        <v>estallido</v>
      </c>
      <c r="D1288" s="2" t="str">
        <f ca="1">IFERROR(__xludf.DUMMYFUNCTION("GOOGLETRANSLATE(B1288,""en"",""ig"")"),"pop")</f>
        <v>pop</v>
      </c>
      <c r="E1288" s="2" t="str">
        <f ca="1">IFERROR(__xludf.DUMMYFUNCTION("GOOGLETRANSLATE(B1288,""en"",""fr"")"),"populaire")</f>
        <v>populaire</v>
      </c>
      <c r="F1288" s="2" t="str">
        <f ca="1">IFERROR(__xludf.DUMMYFUNCTION("GOOGLETRANSLATE(B1288,""en"",""it"")"),"pop")</f>
        <v>pop</v>
      </c>
      <c r="G1288" s="2" t="str">
        <f ca="1">IFERROR(__xludf.DUMMYFUNCTION("GOOGLETRANSLATE(B1288,""en"",""de"")"),"Pop")</f>
        <v>Pop</v>
      </c>
      <c r="H1288" s="2" t="str">
        <f ca="1">IFERROR(__xludf.DUMMYFUNCTION("GOOGLETRANSLATE(B1288,""en"",""zh"")"),"流行音乐")</f>
        <v>流行音乐</v>
      </c>
      <c r="I1288" s="2" t="str">
        <f ca="1">IFERROR(__xludf.DUMMYFUNCTION("GOOGLETRANSLATE(B1288,""en"",""gd"")"),"pop")</f>
        <v>pop</v>
      </c>
    </row>
    <row r="1289" spans="1:9" ht="14.25" customHeight="1" x14ac:dyDescent="0.3">
      <c r="A1289" s="2">
        <v>1288</v>
      </c>
      <c r="B1289" s="3" t="s">
        <v>1296</v>
      </c>
      <c r="C1289" s="2" t="str">
        <f ca="1">IFERROR(__xludf.DUMMYFUNCTION("GOOGLETRANSLATE(B1289, ""en"",""es"")"),"básico")</f>
        <v>básico</v>
      </c>
      <c r="D1289" s="2" t="str">
        <f ca="1">IFERROR(__xludf.DUMMYFUNCTION("GOOGLETRANSLATE(B1289,""en"",""ig"")"),"ndika")</f>
        <v>ndika</v>
      </c>
      <c r="E1289" s="2" t="str">
        <f ca="1">IFERROR(__xludf.DUMMYFUNCTION("GOOGLETRANSLATE(B1289,""en"",""fr"")"),"essentiel")</f>
        <v>essentiel</v>
      </c>
      <c r="F1289" s="2" t="str">
        <f ca="1">IFERROR(__xludf.DUMMYFUNCTION("GOOGLETRANSLATE(B1289,""en"",""it"")"),"essenziale")</f>
        <v>essenziale</v>
      </c>
      <c r="G1289" s="2" t="str">
        <f ca="1">IFERROR(__xludf.DUMMYFUNCTION("GOOGLETRANSLATE(B1289,""en"",""de"")"),"essentiell")</f>
        <v>essentiell</v>
      </c>
      <c r="H1289" s="2" t="str">
        <f ca="1">IFERROR(__xludf.DUMMYFUNCTION("GOOGLETRANSLATE(B1289,""en"",""zh"")"),"基本的")</f>
        <v>基本的</v>
      </c>
      <c r="I1289" s="2" t="str">
        <f ca="1">IFERROR(__xludf.DUMMYFUNCTION("GOOGLETRANSLATE(B1289,""en"",""gd"")"),"riatanach")</f>
        <v>riatanach</v>
      </c>
    </row>
    <row r="1290" spans="1:9" ht="14.25" customHeight="1" x14ac:dyDescent="0.3">
      <c r="A1290" s="2">
        <v>1289</v>
      </c>
      <c r="B1290" s="3" t="s">
        <v>1297</v>
      </c>
      <c r="C1290" s="2" t="str">
        <f ca="1">IFERROR(__xludf.DUMMYFUNCTION("GOOGLETRANSLATE(B1290, ""en"",""es"")"),"deseo")</f>
        <v>deseo</v>
      </c>
      <c r="D1290" s="2" t="str">
        <f ca="1">IFERROR(__xludf.DUMMYFUNCTION("GOOGLETRANSLATE(B1290,""en"",""ig"")"),"mmasi")</f>
        <v>mmasi</v>
      </c>
      <c r="E1290" s="2" t="str">
        <f ca="1">IFERROR(__xludf.DUMMYFUNCTION("GOOGLETRANSLATE(B1290,""en"",""fr"")"),"désir")</f>
        <v>désir</v>
      </c>
      <c r="F1290" s="2" t="str">
        <f ca="1">IFERROR(__xludf.DUMMYFUNCTION("GOOGLETRANSLATE(B1290,""en"",""it"")"),"desiderio")</f>
        <v>desiderio</v>
      </c>
      <c r="G1290" s="2" t="str">
        <f ca="1">IFERROR(__xludf.DUMMYFUNCTION("GOOGLETRANSLATE(B1290,""en"",""de"")"),"Wunsch")</f>
        <v>Wunsch</v>
      </c>
      <c r="H1290" s="2" t="str">
        <f ca="1">IFERROR(__xludf.DUMMYFUNCTION("GOOGLETRANSLATE(B1290,""en"",""zh"")"),"欲望")</f>
        <v>欲望</v>
      </c>
      <c r="I1290" s="2" t="str">
        <f ca="1">IFERROR(__xludf.DUMMYFUNCTION("GOOGLETRANSLATE(B1290,""en"",""gd"")"),"miann")</f>
        <v>miann</v>
      </c>
    </row>
    <row r="1291" spans="1:9" ht="14.25" customHeight="1" x14ac:dyDescent="0.3">
      <c r="A1291" s="2">
        <v>1290</v>
      </c>
      <c r="B1291" s="3" t="s">
        <v>1298</v>
      </c>
      <c r="C1291" s="2" t="str">
        <f ca="1">IFERROR(__xludf.DUMMYFUNCTION("GOOGLETRANSLATE(B1291, ""en"",""es"")"),"promover")</f>
        <v>promover</v>
      </c>
      <c r="D1291" s="2" t="str">
        <f ca="1">IFERROR(__xludf.DUMMYFUNCTION("GOOGLETRANSLATE(B1291,""en"",""ig"")"),"bufee n'okwa")</f>
        <v>bufee n'okwa</v>
      </c>
      <c r="E1291" s="2" t="str">
        <f ca="1">IFERROR(__xludf.DUMMYFUNCTION("GOOGLETRANSLATE(B1291,""en"",""fr"")"),"promouvoir")</f>
        <v>promouvoir</v>
      </c>
      <c r="F1291" s="2" t="str">
        <f ca="1">IFERROR(__xludf.DUMMYFUNCTION("GOOGLETRANSLATE(B1291,""en"",""it"")"),"promuovere")</f>
        <v>promuovere</v>
      </c>
      <c r="G1291" s="2" t="str">
        <f ca="1">IFERROR(__xludf.DUMMYFUNCTION("GOOGLETRANSLATE(B1291,""en"",""de"")"),"fördern")</f>
        <v>fördern</v>
      </c>
      <c r="H1291" s="2" t="str">
        <f ca="1">IFERROR(__xludf.DUMMYFUNCTION("GOOGLETRANSLATE(B1291,""en"",""zh"")"),"推动")</f>
        <v>推动</v>
      </c>
      <c r="I1291" s="2" t="str">
        <f ca="1">IFERROR(__xludf.DUMMYFUNCTION("GOOGLETRANSLATE(B1291,""en"",""gd"")"),"adhartachadh")</f>
        <v>adhartachadh</v>
      </c>
    </row>
    <row r="1292" spans="1:9" ht="14.25" customHeight="1" x14ac:dyDescent="0.3">
      <c r="A1292" s="2">
        <v>1291</v>
      </c>
      <c r="B1292" s="3" t="s">
        <v>1299</v>
      </c>
      <c r="C1292" s="2" t="str">
        <f ca="1">IFERROR(__xludf.DUMMYFUNCTION("GOOGLETRANSLATE(B1292, ""en"",""es"")"),"actualmente")</f>
        <v>actualmente</v>
      </c>
      <c r="D1292" s="2" t="str">
        <f ca="1">IFERROR(__xludf.DUMMYFUNCTION("GOOGLETRANSLATE(B1292,""en"",""ig"")"),"oge ugbua")</f>
        <v>oge ugbua</v>
      </c>
      <c r="E1292" s="2" t="str">
        <f ca="1">IFERROR(__xludf.DUMMYFUNCTION("GOOGLETRANSLATE(B1292,""en"",""fr"")"),"actuellement")</f>
        <v>actuellement</v>
      </c>
      <c r="F1292" s="2" t="str">
        <f ca="1">IFERROR(__xludf.DUMMYFUNCTION("GOOGLETRANSLATE(B1292,""en"",""it"")"),"attualmente")</f>
        <v>attualmente</v>
      </c>
      <c r="G1292" s="2" t="str">
        <f ca="1">IFERROR(__xludf.DUMMYFUNCTION("GOOGLETRANSLATE(B1292,""en"",""de"")"),"momentan")</f>
        <v>momentan</v>
      </c>
      <c r="H1292" s="2" t="str">
        <f ca="1">IFERROR(__xludf.DUMMYFUNCTION("GOOGLETRANSLATE(B1292,""en"",""zh"")"),"现在")</f>
        <v>现在</v>
      </c>
      <c r="I1292" s="2" t="str">
        <f ca="1">IFERROR(__xludf.DUMMYFUNCTION("GOOGLETRANSLATE(B1292,""en"",""gd"")"),"An-dràsta")</f>
        <v>An-dràsta</v>
      </c>
    </row>
    <row r="1293" spans="1:9" ht="14.25" customHeight="1" x14ac:dyDescent="0.3">
      <c r="A1293" s="2">
        <v>1292</v>
      </c>
      <c r="B1293" s="3" t="s">
        <v>1300</v>
      </c>
      <c r="C1293" s="2" t="str">
        <f ca="1">IFERROR(__xludf.DUMMYFUNCTION("GOOGLETRANSLATE(B1293, ""en"",""es"")"),"emplear")</f>
        <v>emplear</v>
      </c>
      <c r="D1293" s="2" t="str">
        <f ca="1">IFERROR(__xludf.DUMMYFUNCTION("GOOGLETRANSLATE(B1293,""en"",""ig"")"),"iwe n'oru")</f>
        <v>iwe n'oru</v>
      </c>
      <c r="E1293" s="2" t="str">
        <f ca="1">IFERROR(__xludf.DUMMYFUNCTION("GOOGLETRANSLATE(B1293,""en"",""fr"")"),"employer")</f>
        <v>employer</v>
      </c>
      <c r="F1293" s="2" t="str">
        <f ca="1">IFERROR(__xludf.DUMMYFUNCTION("GOOGLETRANSLATE(B1293,""en"",""it"")"),"impiegare")</f>
        <v>impiegare</v>
      </c>
      <c r="G1293" s="2" t="str">
        <f ca="1">IFERROR(__xludf.DUMMYFUNCTION("GOOGLETRANSLATE(B1293,""en"",""de"")"),"beschäftigen")</f>
        <v>beschäftigen</v>
      </c>
      <c r="H1293" s="2" t="str">
        <f ca="1">IFERROR(__xludf.DUMMYFUNCTION("GOOGLETRANSLATE(B1293,""en"",""zh"")"),"采用")</f>
        <v>采用</v>
      </c>
      <c r="I1293" s="2" t="str">
        <f ca="1">IFERROR(__xludf.DUMMYFUNCTION("GOOGLETRANSLATE(B1293,""en"",""gd"")"),"fastadh")</f>
        <v>fastadh</v>
      </c>
    </row>
    <row r="1294" spans="1:9" ht="14.25" customHeight="1" x14ac:dyDescent="0.3">
      <c r="A1294" s="2">
        <v>1293</v>
      </c>
      <c r="B1294" s="3" t="s">
        <v>1301</v>
      </c>
      <c r="C1294" s="2" t="str">
        <f ca="1">IFERROR(__xludf.DUMMYFUNCTION("GOOGLETRANSLATE(B1294, ""en"",""es"")"),"camino")</f>
        <v>camino</v>
      </c>
      <c r="D1294" s="2" t="str">
        <f ca="1">IFERROR(__xludf.DUMMYFUNCTION("GOOGLETRANSLATE(B1294,""en"",""ig"")"),"uzo ndiji ukwu eje")</f>
        <v>uzo ndiji ukwu eje</v>
      </c>
      <c r="E1294" s="2" t="str">
        <f ca="1">IFERROR(__xludf.DUMMYFUNCTION("GOOGLETRANSLATE(B1294,""en"",""fr"")"),"chemin")</f>
        <v>chemin</v>
      </c>
      <c r="F1294" s="2" t="str">
        <f ca="1">IFERROR(__xludf.DUMMYFUNCTION("GOOGLETRANSLATE(B1294,""en"",""it"")"),"sentiero")</f>
        <v>sentiero</v>
      </c>
      <c r="G1294" s="2" t="str">
        <f ca="1">IFERROR(__xludf.DUMMYFUNCTION("GOOGLETRANSLATE(B1294,""en"",""de"")"),"Weg")</f>
        <v>Weg</v>
      </c>
      <c r="H1294" s="2" t="str">
        <f ca="1">IFERROR(__xludf.DUMMYFUNCTION("GOOGLETRANSLATE(B1294,""en"",""zh"")"),"小路")</f>
        <v>小路</v>
      </c>
      <c r="I1294" s="2" t="str">
        <f ca="1">IFERROR(__xludf.DUMMYFUNCTION("GOOGLETRANSLATE(B1294,""en"",""gd"")"),"Slighe")</f>
        <v>Slighe</v>
      </c>
    </row>
    <row r="1295" spans="1:9" ht="14.25" customHeight="1" x14ac:dyDescent="0.3">
      <c r="A1295" s="2">
        <v>1294</v>
      </c>
      <c r="B1295" s="3" t="s">
        <v>1302</v>
      </c>
      <c r="C1295" s="2" t="str">
        <f ca="1">IFERROR(__xludf.DUMMYFUNCTION("GOOGLETRANSLATE(B1295, ""en"",""es"")"),"tema")</f>
        <v>tema</v>
      </c>
      <c r="D1295" s="2" t="str">
        <f ca="1">IFERROR(__xludf.DUMMYFUNCTION("GOOGLETRANSLATE(B1295,""en"",""ig"")"),"ahaisiokwu")</f>
        <v>ahaisiokwu</v>
      </c>
      <c r="E1295" s="2" t="str">
        <f ca="1">IFERROR(__xludf.DUMMYFUNCTION("GOOGLETRANSLATE(B1295,""en"",""fr"")"),"sujet")</f>
        <v>sujet</v>
      </c>
      <c r="F1295" s="2" t="str">
        <f ca="1">IFERROR(__xludf.DUMMYFUNCTION("GOOGLETRANSLATE(B1295,""en"",""it"")"),"argomento")</f>
        <v>argomento</v>
      </c>
      <c r="G1295" s="2" t="str">
        <f ca="1">IFERROR(__xludf.DUMMYFUNCTION("GOOGLETRANSLATE(B1295,""en"",""de"")"),"Thema")</f>
        <v>Thema</v>
      </c>
      <c r="H1295" s="2" t="str">
        <f ca="1">IFERROR(__xludf.DUMMYFUNCTION("GOOGLETRANSLATE(B1295,""en"",""zh"")"),"话题")</f>
        <v>话题</v>
      </c>
      <c r="I1295" s="2" t="str">
        <f ca="1">IFERROR(__xludf.DUMMYFUNCTION("GOOGLETRANSLATE(B1295,""en"",""gd"")"),"Cuspair")</f>
        <v>Cuspair</v>
      </c>
    </row>
    <row r="1296" spans="1:9" ht="14.25" customHeight="1" x14ac:dyDescent="0.3">
      <c r="A1296" s="2">
        <v>1295</v>
      </c>
      <c r="B1296" s="3" t="s">
        <v>1303</v>
      </c>
      <c r="C1296" s="2" t="str">
        <f ca="1">IFERROR(__xludf.DUMMYFUNCTION("GOOGLETRANSLATE(B1296, ""en"",""es"")"),"playa")</f>
        <v>playa</v>
      </c>
      <c r="D1296" s="2" t="str">
        <f ca="1">IFERROR(__xludf.DUMMYFUNCTION("GOOGLETRANSLATE(B1296,""en"",""ig"")"),"biishi")</f>
        <v>biishi</v>
      </c>
      <c r="E1296" s="2" t="str">
        <f ca="1">IFERROR(__xludf.DUMMYFUNCTION("GOOGLETRANSLATE(B1296,""en"",""fr"")"),"plage")</f>
        <v>plage</v>
      </c>
      <c r="F1296" s="2" t="str">
        <f ca="1">IFERROR(__xludf.DUMMYFUNCTION("GOOGLETRANSLATE(B1296,""en"",""it"")"),"spiaggia")</f>
        <v>spiaggia</v>
      </c>
      <c r="G1296" s="2" t="str">
        <f ca="1">IFERROR(__xludf.DUMMYFUNCTION("GOOGLETRANSLATE(B1296,""en"",""de"")"),"Strand")</f>
        <v>Strand</v>
      </c>
      <c r="H1296" s="2" t="str">
        <f ca="1">IFERROR(__xludf.DUMMYFUNCTION("GOOGLETRANSLATE(B1296,""en"",""zh"")"),"海滩")</f>
        <v>海滩</v>
      </c>
      <c r="I1296" s="2" t="str">
        <f ca="1">IFERROR(__xludf.DUMMYFUNCTION("GOOGLETRANSLATE(B1296,""en"",""gd"")"),"Tràigh")</f>
        <v>Tràigh</v>
      </c>
    </row>
    <row r="1297" spans="1:9" ht="14.25" customHeight="1" x14ac:dyDescent="0.3">
      <c r="A1297" s="2">
        <v>1296</v>
      </c>
      <c r="B1297" s="3" t="s">
        <v>1304</v>
      </c>
      <c r="C1297" s="2" t="str">
        <f ca="1">IFERROR(__xludf.DUMMYFUNCTION("GOOGLETRANSLATE(B1297, ""en"",""es"")"),"atraer")</f>
        <v>atraer</v>
      </c>
      <c r="D1297" s="2" t="str">
        <f ca="1">IFERROR(__xludf.DUMMYFUNCTION("GOOGLETRANSLATE(B1297,""en"",""ig"")"),"ido akpari")</f>
        <v>ido akpari</v>
      </c>
      <c r="E1297" s="2" t="str">
        <f ca="1">IFERROR(__xludf.DUMMYFUNCTION("GOOGLETRANSLATE(B1297,""en"",""fr"")"),"attirer")</f>
        <v>attirer</v>
      </c>
      <c r="F1297" s="2" t="str">
        <f ca="1">IFERROR(__xludf.DUMMYFUNCTION("GOOGLETRANSLATE(B1297,""en"",""it"")"),"attirare")</f>
        <v>attirare</v>
      </c>
      <c r="G1297" s="2" t="str">
        <f ca="1">IFERROR(__xludf.DUMMYFUNCTION("GOOGLETRANSLATE(B1297,""en"",""de"")"),"anlocken")</f>
        <v>anlocken</v>
      </c>
      <c r="H1297" s="2" t="str">
        <f ca="1">IFERROR(__xludf.DUMMYFUNCTION("GOOGLETRANSLATE(B1297,""en"",""zh"")"),"吸引")</f>
        <v>吸引</v>
      </c>
      <c r="I1297" s="2" t="str">
        <f ca="1">IFERROR(__xludf.DUMMYFUNCTION("GOOGLETRANSLATE(B1297,""en"",""gd"")"),"tàladh")</f>
        <v>tàladh</v>
      </c>
    </row>
    <row r="1298" spans="1:9" ht="14.25" customHeight="1" x14ac:dyDescent="0.3">
      <c r="A1298" s="2">
        <v>1297</v>
      </c>
      <c r="B1298" s="3" t="s">
        <v>1305</v>
      </c>
      <c r="C1298" s="2" t="str">
        <f ca="1">IFERROR(__xludf.DUMMYFUNCTION("GOOGLETRANSLATE(B1298, ""en"",""es"")"),"comprometer")</f>
        <v>comprometer</v>
      </c>
      <c r="D1298" s="2" t="str">
        <f ca="1">IFERROR(__xludf.DUMMYFUNCTION("GOOGLETRANSLATE(B1298,""en"",""ig"")"),"itinye onu")</f>
        <v>itinye onu</v>
      </c>
      <c r="E1298" s="2" t="str">
        <f ca="1">IFERROR(__xludf.DUMMYFUNCTION("GOOGLETRANSLATE(B1298,""en"",""fr"")"),"s'engager")</f>
        <v>s'engager</v>
      </c>
      <c r="F1298" s="2" t="str">
        <f ca="1">IFERROR(__xludf.DUMMYFUNCTION("GOOGLETRANSLATE(B1298,""en"",""it"")"),"ingaggiare")</f>
        <v>ingaggiare</v>
      </c>
      <c r="G1298" s="2" t="str">
        <f ca="1">IFERROR(__xludf.DUMMYFUNCTION("GOOGLETRANSLATE(B1298,""en"",""de"")"),"engagieren")</f>
        <v>engagieren</v>
      </c>
      <c r="H1298" s="2" t="str">
        <f ca="1">IFERROR(__xludf.DUMMYFUNCTION("GOOGLETRANSLATE(B1298,""en"",""zh"")"),"从事")</f>
        <v>从事</v>
      </c>
      <c r="I1298" s="2" t="str">
        <f ca="1">IFERROR(__xludf.DUMMYFUNCTION("GOOGLETRANSLATE(B1298,""en"",""gd"")"),"ceangal")</f>
        <v>ceangal</v>
      </c>
    </row>
    <row r="1299" spans="1:9" ht="14.25" customHeight="1" x14ac:dyDescent="0.3">
      <c r="A1299" s="2">
        <v>1298</v>
      </c>
      <c r="B1299" s="3" t="s">
        <v>1306</v>
      </c>
      <c r="C1299" s="2" t="str">
        <f ca="1">IFERROR(__xludf.DUMMYFUNCTION("GOOGLETRANSLATE(B1299, ""en"",""es"")"),"poderoso")</f>
        <v>poderoso</v>
      </c>
      <c r="D1299" s="2" t="str">
        <f ca="1">IFERROR(__xludf.DUMMYFUNCTION("GOOGLETRANSLATE(B1299,""en"",""ig"")"),"nke di ike")</f>
        <v>nke di ike</v>
      </c>
      <c r="E1299" s="2" t="str">
        <f ca="1">IFERROR(__xludf.DUMMYFUNCTION("GOOGLETRANSLATE(B1299,""en"",""fr"")"),"puissant")</f>
        <v>puissant</v>
      </c>
      <c r="F1299" s="2" t="str">
        <f ca="1">IFERROR(__xludf.DUMMYFUNCTION("GOOGLETRANSLATE(B1299,""en"",""it"")"),"potente")</f>
        <v>potente</v>
      </c>
      <c r="G1299" s="2" t="str">
        <f ca="1">IFERROR(__xludf.DUMMYFUNCTION("GOOGLETRANSLATE(B1299,""en"",""de"")"),"kraftvoll")</f>
        <v>kraftvoll</v>
      </c>
      <c r="H1299" s="2" t="str">
        <f ca="1">IFERROR(__xludf.DUMMYFUNCTION("GOOGLETRANSLATE(B1299,""en"",""zh"")"),"强大的")</f>
        <v>强大的</v>
      </c>
      <c r="I1299" s="2" t="str">
        <f ca="1">IFERROR(__xludf.DUMMYFUNCTION("GOOGLETRANSLATE(B1299,""en"",""gd"")"),"cumhachdach")</f>
        <v>cumhachdach</v>
      </c>
    </row>
    <row r="1300" spans="1:9" ht="14.25" customHeight="1" x14ac:dyDescent="0.3">
      <c r="A1300" s="2">
        <v>1299</v>
      </c>
      <c r="B1300" s="3" t="s">
        <v>1307</v>
      </c>
      <c r="C1300" s="2" t="str">
        <f ca="1">IFERROR(__xludf.DUMMYFUNCTION("GOOGLETRANSLATE(B1300, ""en"",""es"")"),"flor")</f>
        <v>flor</v>
      </c>
      <c r="D1300" s="2" t="str">
        <f ca="1">IFERROR(__xludf.DUMMYFUNCTION("GOOGLETRANSLATE(B1300,""en"",""ig"")"),"fulawa")</f>
        <v>fulawa</v>
      </c>
      <c r="E1300" s="2" t="str">
        <f ca="1">IFERROR(__xludf.DUMMYFUNCTION("GOOGLETRANSLATE(B1300,""en"",""fr"")"),"fleur")</f>
        <v>fleur</v>
      </c>
      <c r="F1300" s="2" t="str">
        <f ca="1">IFERROR(__xludf.DUMMYFUNCTION("GOOGLETRANSLATE(B1300,""en"",""it"")"),"fiore")</f>
        <v>fiore</v>
      </c>
      <c r="G1300" s="2" t="str">
        <f ca="1">IFERROR(__xludf.DUMMYFUNCTION("GOOGLETRANSLATE(B1300,""en"",""de"")"),"Blume")</f>
        <v>Blume</v>
      </c>
      <c r="H1300" s="2" t="str">
        <f ca="1">IFERROR(__xludf.DUMMYFUNCTION("GOOGLETRANSLATE(B1300,""en"",""zh"")"),"花")</f>
        <v>花</v>
      </c>
      <c r="I1300" s="2" t="str">
        <f ca="1">IFERROR(__xludf.DUMMYFUNCTION("GOOGLETRANSLATE(B1300,""en"",""gd"")"),"flùr")</f>
        <v>flùr</v>
      </c>
    </row>
    <row r="1301" spans="1:9" ht="14.25" customHeight="1" x14ac:dyDescent="0.3">
      <c r="A1301" s="2">
        <v>1300</v>
      </c>
      <c r="B1301" s="3" t="s">
        <v>1308</v>
      </c>
      <c r="C1301" s="2" t="str">
        <f ca="1">IFERROR(__xludf.DUMMYFUNCTION("GOOGLETRANSLATE(B1301, ""en"",""es"")"),"crisis")</f>
        <v>crisis</v>
      </c>
      <c r="D1301" s="2" t="str">
        <f ca="1">IFERROR(__xludf.DUMMYFUNCTION("GOOGLETRANSLATE(B1301,""en"",""ig"")"),"orurugbana")</f>
        <v>orurugbana</v>
      </c>
      <c r="E1301" s="2" t="str">
        <f ca="1">IFERROR(__xludf.DUMMYFUNCTION("GOOGLETRANSLATE(B1301,""en"",""fr"")"),"crise")</f>
        <v>crise</v>
      </c>
      <c r="F1301" s="2" t="str">
        <f ca="1">IFERROR(__xludf.DUMMYFUNCTION("GOOGLETRANSLATE(B1301,""en"",""it"")"),"crisi")</f>
        <v>crisi</v>
      </c>
      <c r="G1301" s="2" t="str">
        <f ca="1">IFERROR(__xludf.DUMMYFUNCTION("GOOGLETRANSLATE(B1301,""en"",""de"")"),"Krise")</f>
        <v>Krise</v>
      </c>
      <c r="H1301" s="2" t="str">
        <f ca="1">IFERROR(__xludf.DUMMYFUNCTION("GOOGLETRANSLATE(B1301,""en"",""zh"")"),"危机")</f>
        <v>危机</v>
      </c>
      <c r="I1301" s="2" t="str">
        <f ca="1">IFERROR(__xludf.DUMMYFUNCTION("GOOGLETRANSLATE(B1301,""en"",""gd"")"),"Èiginn")</f>
        <v>Èiginn</v>
      </c>
    </row>
    <row r="1302" spans="1:9" ht="14.25" customHeight="1" x14ac:dyDescent="0.3">
      <c r="A1302" s="2">
        <v>1301</v>
      </c>
      <c r="B1302" s="3" t="s">
        <v>1309</v>
      </c>
      <c r="C1302" s="2" t="str">
        <f ca="1">IFERROR(__xludf.DUMMYFUNCTION("GOOGLETRANSLATE(B1302, ""en"",""es"")"),"asentarse")</f>
        <v>asentarse</v>
      </c>
      <c r="D1302" s="2" t="str">
        <f ca="1">IFERROR(__xludf.DUMMYFUNCTION("GOOGLETRANSLATE(B1302,""en"",""ig"")"),"idozi")</f>
        <v>idozi</v>
      </c>
      <c r="E1302" s="2" t="str">
        <f ca="1">IFERROR(__xludf.DUMMYFUNCTION("GOOGLETRANSLATE(B1302,""en"",""fr"")"),"régler")</f>
        <v>régler</v>
      </c>
      <c r="F1302" s="2" t="str">
        <f ca="1">IFERROR(__xludf.DUMMYFUNCTION("GOOGLETRANSLATE(B1302,""en"",""it"")"),"fissare")</f>
        <v>fissare</v>
      </c>
      <c r="G1302" s="2" t="str">
        <f ca="1">IFERROR(__xludf.DUMMYFUNCTION("GOOGLETRANSLATE(B1302,""en"",""de"")"),"siedeln")</f>
        <v>siedeln</v>
      </c>
      <c r="H1302" s="2" t="str">
        <f ca="1">IFERROR(__xludf.DUMMYFUNCTION("GOOGLETRANSLATE(B1302,""en"",""zh"")"),"定居")</f>
        <v>定居</v>
      </c>
      <c r="I1302" s="2" t="str">
        <f ca="1">IFERROR(__xludf.DUMMYFUNCTION("GOOGLETRANSLATE(B1302,""en"",""gd"")"),"tuineachadh")</f>
        <v>tuineachadh</v>
      </c>
    </row>
    <row r="1303" spans="1:9" ht="14.25" customHeight="1" x14ac:dyDescent="0.3">
      <c r="A1303" s="2">
        <v>1302</v>
      </c>
      <c r="B1303" s="3" t="s">
        <v>1310</v>
      </c>
      <c r="C1303" s="2" t="str">
        <f ca="1">IFERROR(__xludf.DUMMYFUNCTION("GOOGLETRANSLATE(B1303, ""en"",""es"")"),"bote")</f>
        <v>bote</v>
      </c>
      <c r="D1303" s="2" t="str">
        <f ca="1">IFERROR(__xludf.DUMMYFUNCTION("GOOGLETRANSLATE(B1303,""en"",""ig"")"),"ugbo mmiri")</f>
        <v>ugbo mmiri</v>
      </c>
      <c r="E1303" s="2" t="str">
        <f ca="1">IFERROR(__xludf.DUMMYFUNCTION("GOOGLETRANSLATE(B1303,""en"",""fr"")"),"bateau")</f>
        <v>bateau</v>
      </c>
      <c r="F1303" s="2" t="str">
        <f ca="1">IFERROR(__xludf.DUMMYFUNCTION("GOOGLETRANSLATE(B1303,""en"",""it"")"),"barca")</f>
        <v>barca</v>
      </c>
      <c r="G1303" s="2" t="str">
        <f ca="1">IFERROR(__xludf.DUMMYFUNCTION("GOOGLETRANSLATE(B1303,""en"",""de"")"),"Boot")</f>
        <v>Boot</v>
      </c>
      <c r="H1303" s="2" t="str">
        <f ca="1">IFERROR(__xludf.DUMMYFUNCTION("GOOGLETRANSLATE(B1303,""en"",""zh"")"),"船")</f>
        <v>船</v>
      </c>
      <c r="I1303" s="2" t="str">
        <f ca="1">IFERROR(__xludf.DUMMYFUNCTION("GOOGLETRANSLATE(B1303,""en"",""gd"")"),"bàta")</f>
        <v>bàta</v>
      </c>
    </row>
    <row r="1304" spans="1:9" ht="14.25" customHeight="1" x14ac:dyDescent="0.3">
      <c r="A1304" s="2">
        <v>1303</v>
      </c>
      <c r="B1304" s="3" t="s">
        <v>1311</v>
      </c>
      <c r="C1304" s="2" t="str">
        <f ca="1">IFERROR(__xludf.DUMMYFUNCTION("GOOGLETRANSLATE(B1304, ""en"",""es"")"),"ayuda")</f>
        <v>ayuda</v>
      </c>
      <c r="D1304" s="2" t="str">
        <f ca="1">IFERROR(__xludf.DUMMYFUNCTION("GOOGLETRANSLATE(B1304,""en"",""ig"")"),"enyemaka")</f>
        <v>enyemaka</v>
      </c>
      <c r="E1304" s="2" t="str">
        <f ca="1">IFERROR(__xludf.DUMMYFUNCTION("GOOGLETRANSLATE(B1304,""en"",""fr"")"),"aide")</f>
        <v>aide</v>
      </c>
      <c r="F1304" s="2" t="str">
        <f ca="1">IFERROR(__xludf.DUMMYFUNCTION("GOOGLETRANSLATE(B1304,""en"",""it"")"),"aiuto")</f>
        <v>aiuto</v>
      </c>
      <c r="G1304" s="2" t="str">
        <f ca="1">IFERROR(__xludf.DUMMYFUNCTION("GOOGLETRANSLATE(B1304,""en"",""de"")"),"Hilfe")</f>
        <v>Hilfe</v>
      </c>
      <c r="H1304" s="2" t="str">
        <f ca="1">IFERROR(__xludf.DUMMYFUNCTION("GOOGLETRANSLATE(B1304,""en"",""zh"")"),"援助")</f>
        <v>援助</v>
      </c>
      <c r="I1304" s="2" t="str">
        <f ca="1">IFERROR(__xludf.DUMMYFUNCTION("GOOGLETRANSLATE(B1304,""en"",""gd"")"),"Taic")</f>
        <v>Taic</v>
      </c>
    </row>
    <row r="1305" spans="1:9" ht="14.25" customHeight="1" x14ac:dyDescent="0.3">
      <c r="A1305" s="2">
        <v>1304</v>
      </c>
      <c r="B1305" s="3" t="s">
        <v>1312</v>
      </c>
      <c r="C1305" s="2" t="str">
        <f ca="1">IFERROR(__xludf.DUMMYFUNCTION("GOOGLETRANSLATE(B1305, ""en"",""es"")"),"admirador")</f>
        <v>admirador</v>
      </c>
      <c r="D1305" s="2" t="str">
        <f ca="1">IFERROR(__xludf.DUMMYFUNCTION("GOOGLETRANSLATE(B1305,""en"",""ig"")"),"onye ofufe")</f>
        <v>onye ofufe</v>
      </c>
      <c r="E1305" s="2" t="str">
        <f ca="1">IFERROR(__xludf.DUMMYFUNCTION("GOOGLETRANSLATE(B1305,""en"",""fr"")"),"ventilateur")</f>
        <v>ventilateur</v>
      </c>
      <c r="F1305" s="2" t="str">
        <f ca="1">IFERROR(__xludf.DUMMYFUNCTION("GOOGLETRANSLATE(B1305,""en"",""it"")"),"fan")</f>
        <v>fan</v>
      </c>
      <c r="G1305" s="2" t="str">
        <f ca="1">IFERROR(__xludf.DUMMYFUNCTION("GOOGLETRANSLATE(B1305,""en"",""de"")"),"Lüfter")</f>
        <v>Lüfter</v>
      </c>
      <c r="H1305" s="2" t="str">
        <f ca="1">IFERROR(__xludf.DUMMYFUNCTION("GOOGLETRANSLATE(B1305,""en"",""zh"")"),"扇子")</f>
        <v>扇子</v>
      </c>
      <c r="I1305" s="2" t="str">
        <f ca="1">IFERROR(__xludf.DUMMYFUNCTION("GOOGLETRANSLATE(B1305,""en"",""gd"")"),"Fan")</f>
        <v>Fan</v>
      </c>
    </row>
    <row r="1306" spans="1:9" ht="14.25" customHeight="1" x14ac:dyDescent="0.3">
      <c r="A1306" s="2">
        <v>1305</v>
      </c>
      <c r="B1306" s="3" t="s">
        <v>1313</v>
      </c>
      <c r="C1306" s="2" t="str">
        <f ca="1">IFERROR(__xludf.DUMMYFUNCTION("GOOGLETRANSLATE(B1306, ""en"",""es"")"),"cocina")</f>
        <v>cocina</v>
      </c>
      <c r="D1306" s="2" t="str">
        <f ca="1">IFERROR(__xludf.DUMMYFUNCTION("GOOGLETRANSLATE(B1306,""en"",""ig"")"),"kichin")</f>
        <v>kichin</v>
      </c>
      <c r="E1306" s="2" t="str">
        <f ca="1">IFERROR(__xludf.DUMMYFUNCTION("GOOGLETRANSLATE(B1306,""en"",""fr"")"),"cuisine")</f>
        <v>cuisine</v>
      </c>
      <c r="F1306" s="2" t="str">
        <f ca="1">IFERROR(__xludf.DUMMYFUNCTION("GOOGLETRANSLATE(B1306,""en"",""it"")"),"cucina")</f>
        <v>cucina</v>
      </c>
      <c r="G1306" s="2" t="str">
        <f ca="1">IFERROR(__xludf.DUMMYFUNCTION("GOOGLETRANSLATE(B1306,""en"",""de"")"),"Küche")</f>
        <v>Küche</v>
      </c>
      <c r="H1306" s="2" t="str">
        <f ca="1">IFERROR(__xludf.DUMMYFUNCTION("GOOGLETRANSLATE(B1306,""en"",""zh"")"),"厨房")</f>
        <v>厨房</v>
      </c>
      <c r="I1306" s="2" t="str">
        <f ca="1">IFERROR(__xludf.DUMMYFUNCTION("GOOGLETRANSLATE(B1306,""en"",""gd"")"),"cidsin")</f>
        <v>cidsin</v>
      </c>
    </row>
    <row r="1307" spans="1:9" ht="14.25" customHeight="1" x14ac:dyDescent="0.3">
      <c r="A1307" s="2">
        <v>1306</v>
      </c>
      <c r="B1307" s="3" t="s">
        <v>1314</v>
      </c>
      <c r="C1307" s="2" t="str">
        <f ca="1">IFERROR(__xludf.DUMMYFUNCTION("GOOGLETRANSLATE(B1307, ""en"",""es"")"),"dos veces")</f>
        <v>dos veces</v>
      </c>
      <c r="D1307" s="2" t="str">
        <f ca="1">IFERROR(__xludf.DUMMYFUNCTION("GOOGLETRANSLATE(B1307,""en"",""ig"")"),"ugboabuo")</f>
        <v>ugboabuo</v>
      </c>
      <c r="E1307" s="2" t="str">
        <f ca="1">IFERROR(__xludf.DUMMYFUNCTION("GOOGLETRANSLATE(B1307,""en"",""fr"")"),"deux fois")</f>
        <v>deux fois</v>
      </c>
      <c r="F1307" s="2" t="str">
        <f ca="1">IFERROR(__xludf.DUMMYFUNCTION("GOOGLETRANSLATE(B1307,""en"",""it"")"),"due volte")</f>
        <v>due volte</v>
      </c>
      <c r="G1307" s="2" t="str">
        <f ca="1">IFERROR(__xludf.DUMMYFUNCTION("GOOGLETRANSLATE(B1307,""en"",""de"")"),"zweimal")</f>
        <v>zweimal</v>
      </c>
      <c r="H1307" s="2" t="str">
        <f ca="1">IFERROR(__xludf.DUMMYFUNCTION("GOOGLETRANSLATE(B1307,""en"",""zh"")"),"两次")</f>
        <v>两次</v>
      </c>
      <c r="I1307" s="2" t="str">
        <f ca="1">IFERROR(__xludf.DUMMYFUNCTION("GOOGLETRANSLATE(B1307,""en"",""gd"")"),"dà uair")</f>
        <v>dà uair</v>
      </c>
    </row>
    <row r="1308" spans="1:9" ht="14.25" customHeight="1" x14ac:dyDescent="0.3">
      <c r="A1308" s="2">
        <v>1307</v>
      </c>
      <c r="B1308" s="3" t="s">
        <v>1315</v>
      </c>
      <c r="C1308" s="2" t="str">
        <f ca="1">IFERROR(__xludf.DUMMYFUNCTION("GOOGLETRANSLATE(B1308, ""en"",""es"")"),"fresco")</f>
        <v>fresco</v>
      </c>
      <c r="D1308" s="2" t="str">
        <f ca="1">IFERROR(__xludf.DUMMYFUNCTION("GOOGLETRANSLATE(B1308,""en"",""ig"")"),"ohuru")</f>
        <v>ohuru</v>
      </c>
      <c r="E1308" s="2" t="str">
        <f ca="1">IFERROR(__xludf.DUMMYFUNCTION("GOOGLETRANSLATE(B1308,""en"",""fr"")"),"frais")</f>
        <v>frais</v>
      </c>
      <c r="F1308" s="2" t="str">
        <f ca="1">IFERROR(__xludf.DUMMYFUNCTION("GOOGLETRANSLATE(B1308,""en"",""it"")"),"fresco")</f>
        <v>fresco</v>
      </c>
      <c r="G1308" s="2" t="str">
        <f ca="1">IFERROR(__xludf.DUMMYFUNCTION("GOOGLETRANSLATE(B1308,""en"",""de"")"),"frisch")</f>
        <v>frisch</v>
      </c>
      <c r="H1308" s="2" t="str">
        <f ca="1">IFERROR(__xludf.DUMMYFUNCTION("GOOGLETRANSLATE(B1308,""en"",""zh"")"),"新鲜的")</f>
        <v>新鲜的</v>
      </c>
      <c r="I1308" s="2" t="str">
        <f ca="1">IFERROR(__xludf.DUMMYFUNCTION("GOOGLETRANSLATE(B1308,""en"",""gd"")"),"ùr")</f>
        <v>ùr</v>
      </c>
    </row>
    <row r="1309" spans="1:9" ht="14.25" customHeight="1" x14ac:dyDescent="0.3">
      <c r="A1309" s="2">
        <v>1308</v>
      </c>
      <c r="B1309" s="3" t="s">
        <v>1316</v>
      </c>
      <c r="C1309" s="2" t="str">
        <f ca="1">IFERROR(__xludf.DUMMYFUNCTION("GOOGLETRANSLATE(B1309, ""en"",""es"")"),"demora")</f>
        <v>demora</v>
      </c>
      <c r="D1309" s="2" t="str">
        <f ca="1">IFERROR(__xludf.DUMMYFUNCTION("GOOGLETRANSLATE(B1309,""en"",""ig"")"),"idilee")</f>
        <v>idilee</v>
      </c>
      <c r="E1309" s="2" t="str">
        <f ca="1">IFERROR(__xludf.DUMMYFUNCTION("GOOGLETRANSLATE(B1309,""en"",""fr"")"),"retard")</f>
        <v>retard</v>
      </c>
      <c r="F1309" s="2" t="str">
        <f ca="1">IFERROR(__xludf.DUMMYFUNCTION("GOOGLETRANSLATE(B1309,""en"",""it"")"),"ritardo")</f>
        <v>ritardo</v>
      </c>
      <c r="G1309" s="2" t="str">
        <f ca="1">IFERROR(__xludf.DUMMYFUNCTION("GOOGLETRANSLATE(B1309,""en"",""de"")"),"Verzögerung")</f>
        <v>Verzögerung</v>
      </c>
      <c r="H1309" s="2" t="str">
        <f ca="1">IFERROR(__xludf.DUMMYFUNCTION("GOOGLETRANSLATE(B1309,""en"",""zh"")"),"延迟")</f>
        <v>延迟</v>
      </c>
      <c r="I1309" s="2" t="str">
        <f ca="1">IFERROR(__xludf.DUMMYFUNCTION("GOOGLETRANSLATE(B1309,""en"",""gd"")"),"dàil")</f>
        <v>dàil</v>
      </c>
    </row>
    <row r="1310" spans="1:9" ht="14.25" customHeight="1" x14ac:dyDescent="0.3">
      <c r="A1310" s="2">
        <v>1309</v>
      </c>
      <c r="B1310" s="3" t="s">
        <v>1317</v>
      </c>
      <c r="C1310" s="2" t="str">
        <f ca="1">IFERROR(__xludf.DUMMYFUNCTION("GOOGLETRANSLATE(B1310, ""en"",""es"")"),"seguridad")</f>
        <v>seguridad</v>
      </c>
      <c r="D1310" s="2" t="str">
        <f ca="1">IFERROR(__xludf.DUMMYFUNCTION("GOOGLETRANSLATE(B1310,""en"",""ig"")"),"nzerendo")</f>
        <v>nzerendo</v>
      </c>
      <c r="E1310" s="2" t="str">
        <f ca="1">IFERROR(__xludf.DUMMYFUNCTION("GOOGLETRANSLATE(B1310,""en"",""fr"")"),"sécurité")</f>
        <v>sécurité</v>
      </c>
      <c r="F1310" s="2" t="str">
        <f ca="1">IFERROR(__xludf.DUMMYFUNCTION("GOOGLETRANSLATE(B1310,""en"",""it"")"),"sicurezza")</f>
        <v>sicurezza</v>
      </c>
      <c r="G1310" s="2" t="str">
        <f ca="1">IFERROR(__xludf.DUMMYFUNCTION("GOOGLETRANSLATE(B1310,""en"",""de"")"),"Sicherheit")</f>
        <v>Sicherheit</v>
      </c>
      <c r="H1310" s="2" t="str">
        <f ca="1">IFERROR(__xludf.DUMMYFUNCTION("GOOGLETRANSLATE(B1310,""en"",""zh"")"),"安全")</f>
        <v>安全</v>
      </c>
      <c r="I1310" s="2" t="str">
        <f ca="1">IFERROR(__xludf.DUMMYFUNCTION("GOOGLETRANSLATE(B1310,""en"",""gd"")"),"Sàbhailteachd")</f>
        <v>Sàbhailteachd</v>
      </c>
    </row>
    <row r="1311" spans="1:9" ht="14.25" customHeight="1" x14ac:dyDescent="0.3">
      <c r="A1311" s="2">
        <v>1310</v>
      </c>
      <c r="B1311" s="3" t="s">
        <v>1318</v>
      </c>
      <c r="C1311" s="2" t="str">
        <f ca="1">IFERROR(__xludf.DUMMYFUNCTION("GOOGLETRANSLATE(B1311, ""en"",""es"")"),"ingeniero")</f>
        <v>ingeniero</v>
      </c>
      <c r="D1311" s="2" t="str">
        <f ca="1">IFERROR(__xludf.DUMMYFUNCTION("GOOGLETRANSLATE(B1311,""en"",""ig"")"),"enjinia")</f>
        <v>enjinia</v>
      </c>
      <c r="E1311" s="2" t="str">
        <f ca="1">IFERROR(__xludf.DUMMYFUNCTION("GOOGLETRANSLATE(B1311,""en"",""fr"")"),"ingénieur")</f>
        <v>ingénieur</v>
      </c>
      <c r="F1311" s="2" t="str">
        <f ca="1">IFERROR(__xludf.DUMMYFUNCTION("GOOGLETRANSLATE(B1311,""en"",""it"")"),"ingegnere")</f>
        <v>ingegnere</v>
      </c>
      <c r="G1311" s="2" t="str">
        <f ca="1">IFERROR(__xludf.DUMMYFUNCTION("GOOGLETRANSLATE(B1311,""en"",""de"")"),"Ingenieur")</f>
        <v>Ingenieur</v>
      </c>
      <c r="H1311" s="2" t="str">
        <f ca="1">IFERROR(__xludf.DUMMYFUNCTION("GOOGLETRANSLATE(B1311,""en"",""zh"")"),"工程师")</f>
        <v>工程师</v>
      </c>
      <c r="I1311" s="2" t="str">
        <f ca="1">IFERROR(__xludf.DUMMYFUNCTION("GOOGLETRANSLATE(B1311,""en"",""gd"")"),"innleadair")</f>
        <v>innleadair</v>
      </c>
    </row>
    <row r="1312" spans="1:9" ht="14.25" customHeight="1" x14ac:dyDescent="0.3">
      <c r="A1312" s="2">
        <v>1311</v>
      </c>
      <c r="B1312" s="3" t="s">
        <v>1319</v>
      </c>
      <c r="C1312" s="2" t="str">
        <f ca="1">IFERROR(__xludf.DUMMYFUNCTION("GOOGLETRANSLATE(B1312, ""en"",""es"")"),"tranquilo")</f>
        <v>tranquilo</v>
      </c>
      <c r="D1312" s="2" t="str">
        <f ca="1">IFERROR(__xludf.DUMMYFUNCTION("GOOGLETRANSLATE(B1312,""en"",""ig"")"),"ida juu")</f>
        <v>ida juu</v>
      </c>
      <c r="E1312" s="2" t="str">
        <f ca="1">IFERROR(__xludf.DUMMYFUNCTION("GOOGLETRANSLATE(B1312,""en"",""fr"")"),"calme")</f>
        <v>calme</v>
      </c>
      <c r="F1312" s="2" t="str">
        <f ca="1">IFERROR(__xludf.DUMMYFUNCTION("GOOGLETRANSLATE(B1312,""en"",""it"")"),"Tranquillo")</f>
        <v>Tranquillo</v>
      </c>
      <c r="G1312" s="2" t="str">
        <f ca="1">IFERROR(__xludf.DUMMYFUNCTION("GOOGLETRANSLATE(B1312,""en"",""de"")"),"ruhig")</f>
        <v>ruhig</v>
      </c>
      <c r="H1312" s="2" t="str">
        <f ca="1">IFERROR(__xludf.DUMMYFUNCTION("GOOGLETRANSLATE(B1312,""en"",""zh"")"),"安静的")</f>
        <v>安静的</v>
      </c>
      <c r="I1312" s="2" t="str">
        <f ca="1">IFERROR(__xludf.DUMMYFUNCTION("GOOGLETRANSLATE(B1312,""en"",""gd"")"),"sàmhach")</f>
        <v>sàmhach</v>
      </c>
    </row>
    <row r="1313" spans="1:9" ht="14.25" customHeight="1" x14ac:dyDescent="0.3">
      <c r="A1313" s="2">
        <v>1312</v>
      </c>
      <c r="B1313" s="3" t="s">
        <v>1320</v>
      </c>
      <c r="C1313" s="2" t="str">
        <f ca="1">IFERROR(__xludf.DUMMYFUNCTION("GOOGLETRANSLATE(B1313, ""en"",""es"")"),"seguro")</f>
        <v>seguro</v>
      </c>
      <c r="D1313" s="2" t="str">
        <f ca="1">IFERROR(__xludf.DUMMYFUNCTION("GOOGLETRANSLATE(B1313,""en"",""ig"")"),"inshooransi")</f>
        <v>inshooransi</v>
      </c>
      <c r="E1313" s="2" t="str">
        <f ca="1">IFERROR(__xludf.DUMMYFUNCTION("GOOGLETRANSLATE(B1313,""en"",""fr"")"),"assurance")</f>
        <v>assurance</v>
      </c>
      <c r="F1313" s="2" t="str">
        <f ca="1">IFERROR(__xludf.DUMMYFUNCTION("GOOGLETRANSLATE(B1313,""en"",""it"")"),"assicurazione")</f>
        <v>assicurazione</v>
      </c>
      <c r="G1313" s="2" t="str">
        <f ca="1">IFERROR(__xludf.DUMMYFUNCTION("GOOGLETRANSLATE(B1313,""en"",""de"")"),"Versicherung")</f>
        <v>Versicherung</v>
      </c>
      <c r="H1313" s="2" t="str">
        <f ca="1">IFERROR(__xludf.DUMMYFUNCTION("GOOGLETRANSLATE(B1313,""en"",""zh"")"),"保险")</f>
        <v>保险</v>
      </c>
      <c r="I1313" s="2" t="str">
        <f ca="1">IFERROR(__xludf.DUMMYFUNCTION("GOOGLETRANSLATE(B1313,""en"",""gd"")"),"Àrachas")</f>
        <v>Àrachas</v>
      </c>
    </row>
    <row r="1314" spans="1:9" ht="14.25" customHeight="1" x14ac:dyDescent="0.3">
      <c r="A1314" s="2">
        <v>1313</v>
      </c>
      <c r="B1314" s="3" t="s">
        <v>1321</v>
      </c>
      <c r="C1314" s="2" t="str">
        <f ca="1">IFERROR(__xludf.DUMMYFUNCTION("GOOGLETRANSLATE(B1314, ""en"",""es"")"),"enfermero")</f>
        <v>enfermero</v>
      </c>
      <c r="D1314" s="2" t="str">
        <f ca="1">IFERROR(__xludf.DUMMYFUNCTION("GOOGLETRANSLATE(B1314,""en"",""ig"")"),"nosi")</f>
        <v>nosi</v>
      </c>
      <c r="E1314" s="2" t="str">
        <f ca="1">IFERROR(__xludf.DUMMYFUNCTION("GOOGLETRANSLATE(B1314,""en"",""fr"")"),"infirmière")</f>
        <v>infirmière</v>
      </c>
      <c r="F1314" s="2" t="str">
        <f ca="1">IFERROR(__xludf.DUMMYFUNCTION("GOOGLETRANSLATE(B1314,""en"",""it"")"),"infermiera")</f>
        <v>infermiera</v>
      </c>
      <c r="G1314" s="2" t="str">
        <f ca="1">IFERROR(__xludf.DUMMYFUNCTION("GOOGLETRANSLATE(B1314,""en"",""de"")"),"Krankenschwester")</f>
        <v>Krankenschwester</v>
      </c>
      <c r="H1314" s="2" t="str">
        <f ca="1">IFERROR(__xludf.DUMMYFUNCTION("GOOGLETRANSLATE(B1314,""en"",""zh"")"),"护士")</f>
        <v>护士</v>
      </c>
      <c r="I1314" s="2" t="str">
        <f ca="1">IFERROR(__xludf.DUMMYFUNCTION("GOOGLETRANSLATE(B1314,""en"",""gd"")"),"Banaltram")</f>
        <v>Banaltram</v>
      </c>
    </row>
    <row r="1315" spans="1:9" ht="14.25" customHeight="1" x14ac:dyDescent="0.3">
      <c r="A1315" s="2">
        <v>1314</v>
      </c>
      <c r="B1315" s="3" t="s">
        <v>1322</v>
      </c>
      <c r="C1315" s="2" t="str">
        <f ca="1">IFERROR(__xludf.DUMMYFUNCTION("GOOGLETRANSLATE(B1315, ""en"",""es"")"),"dividir")</f>
        <v>dividir</v>
      </c>
      <c r="D1315" s="2" t="str">
        <f ca="1">IFERROR(__xludf.DUMMYFUNCTION("GOOGLETRANSLATE(B1315,""en"",""ig"")"),"ike")</f>
        <v>ike</v>
      </c>
      <c r="E1315" s="2" t="str">
        <f ca="1">IFERROR(__xludf.DUMMYFUNCTION("GOOGLETRANSLATE(B1315,""en"",""fr"")"),"diviser")</f>
        <v>diviser</v>
      </c>
      <c r="F1315" s="2" t="str">
        <f ca="1">IFERROR(__xludf.DUMMYFUNCTION("GOOGLETRANSLATE(B1315,""en"",""it"")"),"dividere")</f>
        <v>dividere</v>
      </c>
      <c r="G1315" s="2" t="str">
        <f ca="1">IFERROR(__xludf.DUMMYFUNCTION("GOOGLETRANSLATE(B1315,""en"",""de"")"),"teilen")</f>
        <v>teilen</v>
      </c>
      <c r="H1315" s="2" t="str">
        <f ca="1">IFERROR(__xludf.DUMMYFUNCTION("GOOGLETRANSLATE(B1315,""en"",""zh"")"),"划分")</f>
        <v>划分</v>
      </c>
      <c r="I1315" s="2" t="str">
        <f ca="1">IFERROR(__xludf.DUMMYFUNCTION("GOOGLETRANSLATE(B1315,""en"",""gd"")"),"Roinn")</f>
        <v>Roinn</v>
      </c>
    </row>
    <row r="1316" spans="1:9" ht="14.25" customHeight="1" x14ac:dyDescent="0.3">
      <c r="A1316" s="2">
        <v>1315</v>
      </c>
      <c r="B1316" s="3" t="s">
        <v>1323</v>
      </c>
      <c r="C1316" s="2" t="str">
        <f ca="1">IFERROR(__xludf.DUMMYFUNCTION("GOOGLETRANSLATE(B1316, ""en"",""es"")"),"longitud")</f>
        <v>longitud</v>
      </c>
      <c r="D1316" s="2" t="str">
        <f ca="1">IFERROR(__xludf.DUMMYFUNCTION("GOOGLETRANSLATE(B1316,""en"",""ig"")"),"ogologo")</f>
        <v>ogologo</v>
      </c>
      <c r="E1316" s="2" t="str">
        <f ca="1">IFERROR(__xludf.DUMMYFUNCTION("GOOGLETRANSLATE(B1316,""en"",""fr"")"),"longueur")</f>
        <v>longueur</v>
      </c>
      <c r="F1316" s="2" t="str">
        <f ca="1">IFERROR(__xludf.DUMMYFUNCTION("GOOGLETRANSLATE(B1316,""en"",""it"")"),"lunghezza")</f>
        <v>lunghezza</v>
      </c>
      <c r="G1316" s="2" t="str">
        <f ca="1">IFERROR(__xludf.DUMMYFUNCTION("GOOGLETRANSLATE(B1316,""en"",""de"")"),"Länge")</f>
        <v>Länge</v>
      </c>
      <c r="H1316" s="2" t="str">
        <f ca="1">IFERROR(__xludf.DUMMYFUNCTION("GOOGLETRANSLATE(B1316,""en"",""zh"")"),"长度")</f>
        <v>长度</v>
      </c>
      <c r="I1316" s="2" t="str">
        <f ca="1">IFERROR(__xludf.DUMMYFUNCTION("GOOGLETRANSLATE(B1316,""en"",""gd"")"),"fad")</f>
        <v>fad</v>
      </c>
    </row>
    <row r="1317" spans="1:9" ht="14.25" customHeight="1" x14ac:dyDescent="0.3">
      <c r="A1317" s="2">
        <v>1316</v>
      </c>
      <c r="B1317" s="3" t="s">
        <v>1324</v>
      </c>
      <c r="C1317" s="2" t="str">
        <f ca="1">IFERROR(__xludf.DUMMYFUNCTION("GOOGLETRANSLATE(B1317, ""en"",""es"")"),"investigación")</f>
        <v>investigación</v>
      </c>
      <c r="D1317" s="2" t="str">
        <f ca="1">IFERROR(__xludf.DUMMYFUNCTION("GOOGLETRANSLATE(B1317,""en"",""ig"")"),"nchoputa")</f>
        <v>nchoputa</v>
      </c>
      <c r="E1317" s="2" t="str">
        <f ca="1">IFERROR(__xludf.DUMMYFUNCTION("GOOGLETRANSLATE(B1317,""en"",""fr"")"),"enquête")</f>
        <v>enquête</v>
      </c>
      <c r="F1317" s="2" t="str">
        <f ca="1">IFERROR(__xludf.DUMMYFUNCTION("GOOGLETRANSLATE(B1317,""en"",""it"")"),"indagine")</f>
        <v>indagine</v>
      </c>
      <c r="G1317" s="2" t="str">
        <f ca="1">IFERROR(__xludf.DUMMYFUNCTION("GOOGLETRANSLATE(B1317,""en"",""de"")"),"Untersuchung")</f>
        <v>Untersuchung</v>
      </c>
      <c r="H1317" s="2" t="str">
        <f ca="1">IFERROR(__xludf.DUMMYFUNCTION("GOOGLETRANSLATE(B1317,""en"",""zh"")"),"调查")</f>
        <v>调查</v>
      </c>
      <c r="I1317" s="2" t="str">
        <f ca="1">IFERROR(__xludf.DUMMYFUNCTION("GOOGLETRANSLATE(B1317,""en"",""gd"")"),"Sgrùdadh")</f>
        <v>Sgrùdadh</v>
      </c>
    </row>
    <row r="1318" spans="1:9" ht="14.25" customHeight="1" x14ac:dyDescent="0.3">
      <c r="A1318" s="2">
        <v>1317</v>
      </c>
      <c r="B1318" s="3" t="s">
        <v>1325</v>
      </c>
      <c r="C1318" s="2" t="str">
        <f ca="1">IFERROR(__xludf.DUMMYFUNCTION("GOOGLETRANSLATE(B1318, ""en"",""es"")"),"paquete")</f>
        <v>paquete</v>
      </c>
      <c r="D1318" s="2" t="str">
        <f ca="1">IFERROR(__xludf.DUMMYFUNCTION("GOOGLETRANSLATE(B1318,""en"",""ig"")"),"ngwugwu")</f>
        <v>ngwugwu</v>
      </c>
      <c r="E1318" s="2" t="str">
        <f ca="1">IFERROR(__xludf.DUMMYFUNCTION("GOOGLETRANSLATE(B1318,""en"",""fr"")"),"emballer")</f>
        <v>emballer</v>
      </c>
      <c r="F1318" s="2" t="str">
        <f ca="1">IFERROR(__xludf.DUMMYFUNCTION("GOOGLETRANSLATE(B1318,""en"",""it"")"),"pacchetto")</f>
        <v>pacchetto</v>
      </c>
      <c r="G1318" s="2" t="str">
        <f ca="1">IFERROR(__xludf.DUMMYFUNCTION("GOOGLETRANSLATE(B1318,""en"",""de"")"),"Paket")</f>
        <v>Paket</v>
      </c>
      <c r="H1318" s="2" t="str">
        <f ca="1">IFERROR(__xludf.DUMMYFUNCTION("GOOGLETRANSLATE(B1318,""en"",""zh"")"),"包裹")</f>
        <v>包裹</v>
      </c>
      <c r="I1318" s="2" t="str">
        <f ca="1">IFERROR(__xludf.DUMMYFUNCTION("GOOGLETRANSLATE(B1318,""en"",""gd"")"),"pacaid")</f>
        <v>pacaid</v>
      </c>
    </row>
    <row r="1319" spans="1:9" ht="14.25" customHeight="1" x14ac:dyDescent="0.3">
      <c r="A1319" s="2">
        <v>1318</v>
      </c>
      <c r="B1319" s="3" t="s">
        <v>1326</v>
      </c>
      <c r="C1319" s="2" t="str">
        <f ca="1">IFERROR(__xludf.DUMMYFUNCTION("GOOGLETRANSLATE(B1319, ""en"",""es"")"),"en algún lugar")</f>
        <v>en algún lugar</v>
      </c>
      <c r="D1319" s="2" t="str">
        <f ca="1">IFERROR(__xludf.DUMMYFUNCTION("GOOGLETRANSLATE(B1319,""en"",""ig"")"),"ebeufodu")</f>
        <v>ebeufodu</v>
      </c>
      <c r="E1319" s="2" t="str">
        <f ca="1">IFERROR(__xludf.DUMMYFUNCTION("GOOGLETRANSLATE(B1319,""en"",""fr"")"),"quelque part")</f>
        <v>quelque part</v>
      </c>
      <c r="F1319" s="2" t="str">
        <f ca="1">IFERROR(__xludf.DUMMYFUNCTION("GOOGLETRANSLATE(B1319,""en"",""it"")"),"in qualche luogo")</f>
        <v>in qualche luogo</v>
      </c>
      <c r="G1319" s="2" t="str">
        <f ca="1">IFERROR(__xludf.DUMMYFUNCTION("GOOGLETRANSLATE(B1319,""en"",""de"")"),"irgendwo")</f>
        <v>irgendwo</v>
      </c>
      <c r="H1319" s="2" t="str">
        <f ca="1">IFERROR(__xludf.DUMMYFUNCTION("GOOGLETRANSLATE(B1319,""en"",""zh"")"),"某处")</f>
        <v>某处</v>
      </c>
      <c r="I1319" s="2" t="str">
        <f ca="1">IFERROR(__xludf.DUMMYFUNCTION("GOOGLETRANSLATE(B1319,""en"",""gd"")"),"an àiteigin")</f>
        <v>an àiteigin</v>
      </c>
    </row>
    <row r="1320" spans="1:9" ht="14.25" customHeight="1" x14ac:dyDescent="0.3">
      <c r="A1320" s="2">
        <v>1319</v>
      </c>
      <c r="B1320" s="3" t="s">
        <v>1327</v>
      </c>
      <c r="C1320" s="2" t="str">
        <f ca="1">IFERROR(__xludf.DUMMYFUNCTION("GOOGLETRANSLATE(B1320, ""en"",""es"")"),"expandir")</f>
        <v>expandir</v>
      </c>
      <c r="D1320" s="2" t="str">
        <f ca="1">IFERROR(__xludf.DUMMYFUNCTION("GOOGLETRANSLATE(B1320,""en"",""ig"")"),"imeba")</f>
        <v>imeba</v>
      </c>
      <c r="E1320" s="2" t="str">
        <f ca="1">IFERROR(__xludf.DUMMYFUNCTION("GOOGLETRANSLATE(B1320,""en"",""fr"")"),"développer")</f>
        <v>développer</v>
      </c>
      <c r="F1320" s="2" t="str">
        <f ca="1">IFERROR(__xludf.DUMMYFUNCTION("GOOGLETRANSLATE(B1320,""en"",""it"")"),"espandere")</f>
        <v>espandere</v>
      </c>
      <c r="G1320" s="2" t="str">
        <f ca="1">IFERROR(__xludf.DUMMYFUNCTION("GOOGLETRANSLATE(B1320,""en"",""de"")"),"expandieren")</f>
        <v>expandieren</v>
      </c>
      <c r="H1320" s="2" t="str">
        <f ca="1">IFERROR(__xludf.DUMMYFUNCTION("GOOGLETRANSLATE(B1320,""en"",""zh"")"),"扩张")</f>
        <v>扩张</v>
      </c>
      <c r="I1320" s="2" t="str">
        <f ca="1">IFERROR(__xludf.DUMMYFUNCTION("GOOGLETRANSLATE(B1320,""en"",""gd"")"),"Leudaich")</f>
        <v>Leudaich</v>
      </c>
    </row>
    <row r="1321" spans="1:9" ht="14.25" customHeight="1" x14ac:dyDescent="0.3">
      <c r="A1321" s="2">
        <v>1320</v>
      </c>
      <c r="B1321" s="3" t="s">
        <v>1328</v>
      </c>
      <c r="C1321" s="2" t="str">
        <f ca="1">IFERROR(__xludf.DUMMYFUNCTION("GOOGLETRANSLATE(B1321, ""en"",""es"")"),"comprometerse")</f>
        <v>comprometerse</v>
      </c>
      <c r="D1321" s="2" t="str">
        <f ca="1">IFERROR(__xludf.DUMMYFUNCTION("GOOGLETRANSLATE(B1321,""en"",""ig"")"),"ime")</f>
        <v>ime</v>
      </c>
      <c r="E1321" s="2" t="str">
        <f ca="1">IFERROR(__xludf.DUMMYFUNCTION("GOOGLETRANSLATE(B1321,""en"",""fr"")"),"commettre")</f>
        <v>commettre</v>
      </c>
      <c r="F1321" s="2" t="str">
        <f ca="1">IFERROR(__xludf.DUMMYFUNCTION("GOOGLETRANSLATE(B1321,""en"",""it"")"),"commettere")</f>
        <v>commettere</v>
      </c>
      <c r="G1321" s="2" t="str">
        <f ca="1">IFERROR(__xludf.DUMMYFUNCTION("GOOGLETRANSLATE(B1321,""en"",""de"")"),"begehen")</f>
        <v>begehen</v>
      </c>
      <c r="H1321" s="2" t="str">
        <f ca="1">IFERROR(__xludf.DUMMYFUNCTION("GOOGLETRANSLATE(B1321,""en"",""zh"")"),"犯罪")</f>
        <v>犯罪</v>
      </c>
      <c r="I1321" s="2" t="str">
        <f ca="1">IFERROR(__xludf.DUMMYFUNCTION("GOOGLETRANSLATE(B1321,""en"",""gd"")"),"gealltainn")</f>
        <v>gealltainn</v>
      </c>
    </row>
    <row r="1322" spans="1:9" ht="14.25" customHeight="1" x14ac:dyDescent="0.3">
      <c r="A1322" s="2">
        <v>1321</v>
      </c>
      <c r="B1322" s="3" t="s">
        <v>1329</v>
      </c>
      <c r="C1322" s="2" t="str">
        <f ca="1">IFERROR(__xludf.DUMMYFUNCTION("GOOGLETRANSLATE(B1322, ""en"",""es"")"),"obvio")</f>
        <v>obvio</v>
      </c>
      <c r="D1322" s="2" t="str">
        <f ca="1">IFERROR(__xludf.DUMMYFUNCTION("GOOGLETRANSLATE(B1322,""en"",""ig"")"),"gbaraihe")</f>
        <v>gbaraihe</v>
      </c>
      <c r="E1322" s="2" t="str">
        <f ca="1">IFERROR(__xludf.DUMMYFUNCTION("GOOGLETRANSLATE(B1322,""en"",""fr"")"),"évident")</f>
        <v>évident</v>
      </c>
      <c r="F1322" s="2" t="str">
        <f ca="1">IFERROR(__xludf.DUMMYFUNCTION("GOOGLETRANSLATE(B1322,""en"",""it"")"),"ovvio")</f>
        <v>ovvio</v>
      </c>
      <c r="G1322" s="2" t="str">
        <f ca="1">IFERROR(__xludf.DUMMYFUNCTION("GOOGLETRANSLATE(B1322,""en"",""de"")"),"offensichtlich")</f>
        <v>offensichtlich</v>
      </c>
      <c r="H1322" s="2" t="str">
        <f ca="1">IFERROR(__xludf.DUMMYFUNCTION("GOOGLETRANSLATE(B1322,""en"",""zh"")"),"明显的")</f>
        <v>明显的</v>
      </c>
      <c r="I1322" s="2" t="str">
        <f ca="1">IFERROR(__xludf.DUMMYFUNCTION("GOOGLETRANSLATE(B1322,""en"",""gd"")"),"follaiseach")</f>
        <v>follaiseach</v>
      </c>
    </row>
    <row r="1323" spans="1:9" ht="14.25" customHeight="1" x14ac:dyDescent="0.3">
      <c r="A1323" s="2">
        <v>1322</v>
      </c>
      <c r="B1323" s="3" t="s">
        <v>1330</v>
      </c>
      <c r="C1323" s="2" t="str">
        <f ca="1">IFERROR(__xludf.DUMMYFUNCTION("GOOGLETRANSLATE(B1323, ""en"",""es"")"),"saltar")</f>
        <v>saltar</v>
      </c>
      <c r="D1323" s="2" t="str">
        <f ca="1">IFERROR(__xludf.DUMMYFUNCTION("GOOGLETRANSLATE(B1323,""en"",""ig"")"),"ima elu")</f>
        <v>ima elu</v>
      </c>
      <c r="E1323" s="2" t="str">
        <f ca="1">IFERROR(__xludf.DUMMYFUNCTION("GOOGLETRANSLATE(B1323,""en"",""fr"")"),"saut")</f>
        <v>saut</v>
      </c>
      <c r="F1323" s="2" t="str">
        <f ca="1">IFERROR(__xludf.DUMMYFUNCTION("GOOGLETRANSLATE(B1323,""en"",""it"")"),"salto")</f>
        <v>salto</v>
      </c>
      <c r="G1323" s="2" t="str">
        <f ca="1">IFERROR(__xludf.DUMMYFUNCTION("GOOGLETRANSLATE(B1323,""en"",""de"")"),"springen")</f>
        <v>springen</v>
      </c>
      <c r="H1323" s="2" t="str">
        <f ca="1">IFERROR(__xludf.DUMMYFUNCTION("GOOGLETRANSLATE(B1323,""en"",""zh"")"),"跳")</f>
        <v>跳</v>
      </c>
      <c r="I1323" s="2" t="str">
        <f ca="1">IFERROR(__xludf.DUMMYFUNCTION("GOOGLETRANSLATE(B1323,""en"",""gd"")"),"Leum")</f>
        <v>Leum</v>
      </c>
    </row>
    <row r="1324" spans="1:9" ht="14.25" customHeight="1" x14ac:dyDescent="0.3">
      <c r="A1324" s="2">
        <v>1323</v>
      </c>
      <c r="B1324" s="3" t="s">
        <v>1331</v>
      </c>
      <c r="C1324" s="2" t="str">
        <f ca="1">IFERROR(__xludf.DUMMYFUNCTION("GOOGLETRANSLATE(B1324, ""en"",""es"")"),"arma")</f>
        <v>arma</v>
      </c>
      <c r="D1324" s="2" t="str">
        <f ca="1">IFERROR(__xludf.DUMMYFUNCTION("GOOGLETRANSLATE(B1324,""en"",""ig"")"),"ngwa ogu")</f>
        <v>ngwa ogu</v>
      </c>
      <c r="E1324" s="2" t="str">
        <f ca="1">IFERROR(__xludf.DUMMYFUNCTION("GOOGLETRANSLATE(B1324,""en"",""fr"")"),"arme")</f>
        <v>arme</v>
      </c>
      <c r="F1324" s="2" t="str">
        <f ca="1">IFERROR(__xludf.DUMMYFUNCTION("GOOGLETRANSLATE(B1324,""en"",""it"")"),"arma")</f>
        <v>arma</v>
      </c>
      <c r="G1324" s="2" t="str">
        <f ca="1">IFERROR(__xludf.DUMMYFUNCTION("GOOGLETRANSLATE(B1324,""en"",""de"")"),"Waffe")</f>
        <v>Waffe</v>
      </c>
      <c r="H1324" s="2" t="str">
        <f ca="1">IFERROR(__xludf.DUMMYFUNCTION("GOOGLETRANSLATE(B1324,""en"",""zh"")"),"武器")</f>
        <v>武器</v>
      </c>
      <c r="I1324" s="2" t="str">
        <f ca="1">IFERROR(__xludf.DUMMYFUNCTION("GOOGLETRANSLATE(B1324,""en"",""gd"")"),"Armachd")</f>
        <v>Armachd</v>
      </c>
    </row>
    <row r="1325" spans="1:9" ht="14.25" customHeight="1" x14ac:dyDescent="0.3">
      <c r="A1325" s="2">
        <v>1324</v>
      </c>
      <c r="B1325" s="3" t="s">
        <v>1332</v>
      </c>
      <c r="C1325" s="2" t="str">
        <f ca="1">IFERROR(__xludf.DUMMYFUNCTION("GOOGLETRANSLATE(B1325, ""en"",""es"")"),"relativamente")</f>
        <v>relativamente</v>
      </c>
      <c r="D1325" s="2" t="str">
        <f ca="1">IFERROR(__xludf.DUMMYFUNCTION("GOOGLETRANSLATE(B1325,""en"",""ig"")"),"maka ikwu")</f>
        <v>maka ikwu</v>
      </c>
      <c r="E1325" s="2" t="str">
        <f ca="1">IFERROR(__xludf.DUMMYFUNCTION("GOOGLETRANSLATE(B1325,""en"",""fr"")"),"relativement")</f>
        <v>relativement</v>
      </c>
      <c r="F1325" s="2" t="str">
        <f ca="1">IFERROR(__xludf.DUMMYFUNCTION("GOOGLETRANSLATE(B1325,""en"",""it"")"),"relativamente")</f>
        <v>relativamente</v>
      </c>
      <c r="G1325" s="2" t="str">
        <f ca="1">IFERROR(__xludf.DUMMYFUNCTION("GOOGLETRANSLATE(B1325,""en"",""de"")"),"verhältnismäßig")</f>
        <v>verhältnismäßig</v>
      </c>
      <c r="H1325" s="2" t="str">
        <f ca="1">IFERROR(__xludf.DUMMYFUNCTION("GOOGLETRANSLATE(B1325,""en"",""zh"")"),"相对地")</f>
        <v>相对地</v>
      </c>
      <c r="I1325" s="2" t="str">
        <f ca="1">IFERROR(__xludf.DUMMYFUNCTION("GOOGLETRANSLATE(B1325,""en"",""gd"")"),"an ìre mhath")</f>
        <v>an ìre mhath</v>
      </c>
    </row>
    <row r="1326" spans="1:9" ht="14.25" customHeight="1" x14ac:dyDescent="0.3">
      <c r="A1326" s="2">
        <v>1325</v>
      </c>
      <c r="B1326" s="3" t="s">
        <v>1333</v>
      </c>
      <c r="C1326" s="2" t="str">
        <f ca="1">IFERROR(__xludf.DUMMYFUNCTION("GOOGLETRANSLATE(B1326, ""en"",""es"")"),"anfitrión")</f>
        <v>anfitrión</v>
      </c>
      <c r="D1326" s="2" t="str">
        <f ca="1">IFERROR(__xludf.DUMMYFUNCTION("GOOGLETRANSLATE(B1326,""en"",""ig"")"),"onye nnabata")</f>
        <v>onye nnabata</v>
      </c>
      <c r="E1326" s="2" t="str">
        <f ca="1">IFERROR(__xludf.DUMMYFUNCTION("GOOGLETRANSLATE(B1326,""en"",""fr"")"),"hôte")</f>
        <v>hôte</v>
      </c>
      <c r="F1326" s="2" t="str">
        <f ca="1">IFERROR(__xludf.DUMMYFUNCTION("GOOGLETRANSLATE(B1326,""en"",""it"")"),"ospite")</f>
        <v>ospite</v>
      </c>
      <c r="G1326" s="2" t="str">
        <f ca="1">IFERROR(__xludf.DUMMYFUNCTION("GOOGLETRANSLATE(B1326,""en"",""de"")"),"Gastgeber")</f>
        <v>Gastgeber</v>
      </c>
      <c r="H1326" s="2" t="str">
        <f ca="1">IFERROR(__xludf.DUMMYFUNCTION("GOOGLETRANSLATE(B1326,""en"",""zh"")"),"主持人")</f>
        <v>主持人</v>
      </c>
      <c r="I1326" s="2" t="str">
        <f ca="1">IFERROR(__xludf.DUMMYFUNCTION("GOOGLETRANSLATE(B1326,""en"",""gd"")"),"aoigheachd")</f>
        <v>aoigheachd</v>
      </c>
    </row>
    <row r="1327" spans="1:9" ht="14.25" customHeight="1" x14ac:dyDescent="0.3">
      <c r="A1327" s="2">
        <v>1326</v>
      </c>
      <c r="B1327" s="3" t="s">
        <v>1334</v>
      </c>
      <c r="C1327" s="2" t="str">
        <f ca="1">IFERROR(__xludf.DUMMYFUNCTION("GOOGLETRANSLATE(B1327, ""en"",""es"")"),"invierno")</f>
        <v>invierno</v>
      </c>
      <c r="D1327" s="2" t="str">
        <f ca="1">IFERROR(__xludf.DUMMYFUNCTION("GOOGLETRANSLATE(B1327,""en"",""ig"")"),"winta")</f>
        <v>winta</v>
      </c>
      <c r="E1327" s="2" t="str">
        <f ca="1">IFERROR(__xludf.DUMMYFUNCTION("GOOGLETRANSLATE(B1327,""en"",""fr"")"),"hiver")</f>
        <v>hiver</v>
      </c>
      <c r="F1327" s="2" t="str">
        <f ca="1">IFERROR(__xludf.DUMMYFUNCTION("GOOGLETRANSLATE(B1327,""en"",""it"")"),"inverno")</f>
        <v>inverno</v>
      </c>
      <c r="G1327" s="2" t="str">
        <f ca="1">IFERROR(__xludf.DUMMYFUNCTION("GOOGLETRANSLATE(B1327,""en"",""de"")"),"Winter")</f>
        <v>Winter</v>
      </c>
      <c r="H1327" s="2" t="str">
        <f ca="1">IFERROR(__xludf.DUMMYFUNCTION("GOOGLETRANSLATE(B1327,""en"",""zh"")"),"冬天")</f>
        <v>冬天</v>
      </c>
      <c r="I1327" s="2" t="str">
        <f ca="1">IFERROR(__xludf.DUMMYFUNCTION("GOOGLETRANSLATE(B1327,""en"",""gd"")"),"Geamhradh")</f>
        <v>Geamhradh</v>
      </c>
    </row>
    <row r="1328" spans="1:9" ht="14.25" customHeight="1" x14ac:dyDescent="0.3">
      <c r="A1328" s="2">
        <v>1327</v>
      </c>
      <c r="B1328" s="3" t="s">
        <v>1335</v>
      </c>
      <c r="C1328" s="2" t="str">
        <f ca="1">IFERROR(__xludf.DUMMYFUNCTION("GOOGLETRANSLATE(B1328, ""en"",""es"")"),"distrito")</f>
        <v>distrito</v>
      </c>
      <c r="D1328" s="2" t="str">
        <f ca="1">IFERROR(__xludf.DUMMYFUNCTION("GOOGLETRANSLATE(B1328,""en"",""ig"")"),"distrikt")</f>
        <v>distrikt</v>
      </c>
      <c r="E1328" s="2" t="str">
        <f ca="1">IFERROR(__xludf.DUMMYFUNCTION("GOOGLETRANSLATE(B1328,""en"",""fr"")"),"district")</f>
        <v>district</v>
      </c>
      <c r="F1328" s="2" t="str">
        <f ca="1">IFERROR(__xludf.DUMMYFUNCTION("GOOGLETRANSLATE(B1328,""en"",""it"")"),"quartiere")</f>
        <v>quartiere</v>
      </c>
      <c r="G1328" s="2" t="str">
        <f ca="1">IFERROR(__xludf.DUMMYFUNCTION("GOOGLETRANSLATE(B1328,""en"",""de"")"),"Bezirk")</f>
        <v>Bezirk</v>
      </c>
      <c r="H1328" s="2" t="str">
        <f ca="1">IFERROR(__xludf.DUMMYFUNCTION("GOOGLETRANSLATE(B1328,""en"",""zh"")"),"区")</f>
        <v>区</v>
      </c>
      <c r="I1328" s="2" t="str">
        <f ca="1">IFERROR(__xludf.DUMMYFUNCTION("GOOGLETRANSLATE(B1328,""en"",""gd"")"),"Sgìre")</f>
        <v>Sgìre</v>
      </c>
    </row>
    <row r="1329" spans="1:9" ht="14.25" customHeight="1" x14ac:dyDescent="0.3">
      <c r="A1329" s="2">
        <v>1328</v>
      </c>
      <c r="B1329" s="3" t="s">
        <v>1336</v>
      </c>
      <c r="C1329" s="2" t="str">
        <f ca="1">IFERROR(__xludf.DUMMYFUNCTION("GOOGLETRANSLATE(B1329, ""en"",""es"")"),"amplio")</f>
        <v>amplio</v>
      </c>
      <c r="D1329" s="2" t="str">
        <f ca="1">IFERROR(__xludf.DUMMYFUNCTION("GOOGLETRANSLATE(B1329,""en"",""ig"")"),"n'uju")</f>
        <v>n'uju</v>
      </c>
      <c r="E1329" s="2" t="str">
        <f ca="1">IFERROR(__xludf.DUMMYFUNCTION("GOOGLETRANSLATE(B1329,""en"",""fr"")"),"large")</f>
        <v>large</v>
      </c>
      <c r="F1329" s="2" t="str">
        <f ca="1">IFERROR(__xludf.DUMMYFUNCTION("GOOGLETRANSLATE(B1329,""en"",""it"")"),"ampio")</f>
        <v>ampio</v>
      </c>
      <c r="G1329" s="2" t="str">
        <f ca="1">IFERROR(__xludf.DUMMYFUNCTION("GOOGLETRANSLATE(B1329,""en"",""de"")"),"breit")</f>
        <v>breit</v>
      </c>
      <c r="H1329" s="2" t="str">
        <f ca="1">IFERROR(__xludf.DUMMYFUNCTION("GOOGLETRANSLATE(B1329,""en"",""zh"")"),"广阔")</f>
        <v>广阔</v>
      </c>
      <c r="I1329" s="2" t="str">
        <f ca="1">IFERROR(__xludf.DUMMYFUNCTION("GOOGLETRANSLATE(B1329,""en"",""gd"")"),"lide")</f>
        <v>lide</v>
      </c>
    </row>
    <row r="1330" spans="1:9" ht="14.25" customHeight="1" x14ac:dyDescent="0.3">
      <c r="A1330" s="2">
        <v>1329</v>
      </c>
      <c r="B1330" s="3" t="s">
        <v>1337</v>
      </c>
      <c r="C1330" s="2" t="str">
        <f ca="1">IFERROR(__xludf.DUMMYFUNCTION("GOOGLETRANSLATE(B1330, ""en"",""es"")"),"neumático")</f>
        <v>neumático</v>
      </c>
      <c r="D1330" s="2" t="str">
        <f ca="1">IFERROR(__xludf.DUMMYFUNCTION("GOOGLETRANSLATE(B1330,""en"",""ig"")"),"ngwumike")</f>
        <v>ngwumike</v>
      </c>
      <c r="E1330" s="2" t="str">
        <f ca="1">IFERROR(__xludf.DUMMYFUNCTION("GOOGLETRANSLATE(B1330,""en"",""fr"")"),"pneu")</f>
        <v>pneu</v>
      </c>
      <c r="F1330" s="2" t="str">
        <f ca="1">IFERROR(__xludf.DUMMYFUNCTION("GOOGLETRANSLATE(B1330,""en"",""it"")"),"pneumatico")</f>
        <v>pneumatico</v>
      </c>
      <c r="G1330" s="2" t="str">
        <f ca="1">IFERROR(__xludf.DUMMYFUNCTION("GOOGLETRANSLATE(B1330,""en"",""de"")"),"Reifen")</f>
        <v>Reifen</v>
      </c>
      <c r="H1330" s="2" t="str">
        <f ca="1">IFERROR(__xludf.DUMMYFUNCTION("GOOGLETRANSLATE(B1330,""en"",""zh"")"),"胎")</f>
        <v>胎</v>
      </c>
      <c r="I1330" s="2" t="str">
        <f ca="1">IFERROR(__xludf.DUMMYFUNCTION("GOOGLETRANSLATE(B1330,""en"",""gd"")"),"Tire")</f>
        <v>Tire</v>
      </c>
    </row>
    <row r="1331" spans="1:9" ht="14.25" customHeight="1" x14ac:dyDescent="0.3">
      <c r="A1331" s="2">
        <v>1330</v>
      </c>
      <c r="B1331" s="3" t="s">
        <v>1338</v>
      </c>
      <c r="C1331" s="2" t="str">
        <f ca="1">IFERROR(__xludf.DUMMYFUNCTION("GOOGLETRANSLATE(B1331, ""en"",""es"")"),"primavera")</f>
        <v>primavera</v>
      </c>
      <c r="D1331" s="2" t="str">
        <f ca="1">IFERROR(__xludf.DUMMYFUNCTION("GOOGLETRANSLATE(B1331,""en"",""ig"")"),"spring")</f>
        <v>spring</v>
      </c>
      <c r="E1331" s="2" t="str">
        <f ca="1">IFERROR(__xludf.DUMMYFUNCTION("GOOGLETRANSLATE(B1331,""en"",""fr"")"),"printemps")</f>
        <v>printemps</v>
      </c>
      <c r="F1331" s="2" t="str">
        <f ca="1">IFERROR(__xludf.DUMMYFUNCTION("GOOGLETRANSLATE(B1331,""en"",""it"")"),"primavera")</f>
        <v>primavera</v>
      </c>
      <c r="G1331" s="2" t="str">
        <f ca="1">IFERROR(__xludf.DUMMYFUNCTION("GOOGLETRANSLATE(B1331,""en"",""de"")"),"Frühling")</f>
        <v>Frühling</v>
      </c>
      <c r="H1331" s="2" t="str">
        <f ca="1">IFERROR(__xludf.DUMMYFUNCTION("GOOGLETRANSLATE(B1331,""en"",""zh"")"),"春天")</f>
        <v>春天</v>
      </c>
      <c r="I1331" s="2" t="str">
        <f ca="1">IFERROR(__xludf.DUMMYFUNCTION("GOOGLETRANSLATE(B1331,""en"",""gd"")"),"Earrach")</f>
        <v>Earrach</v>
      </c>
    </row>
    <row r="1332" spans="1:9" ht="14.25" customHeight="1" x14ac:dyDescent="0.3">
      <c r="A1332" s="2">
        <v>1331</v>
      </c>
      <c r="B1332" s="3" t="s">
        <v>1339</v>
      </c>
      <c r="C1332" s="2" t="str">
        <f ca="1">IFERROR(__xludf.DUMMYFUNCTION("GOOGLETRANSLATE(B1332, ""en"",""es"")"),"espíritu")</f>
        <v>espíritu</v>
      </c>
      <c r="D1332" s="2" t="str">
        <f ca="1">IFERROR(__xludf.DUMMYFUNCTION("GOOGLETRANSLATE(B1332,""en"",""ig"")"),"mmuo")</f>
        <v>mmuo</v>
      </c>
      <c r="E1332" s="2" t="str">
        <f ca="1">IFERROR(__xludf.DUMMYFUNCTION("GOOGLETRANSLATE(B1332,""en"",""fr"")"),"esprit")</f>
        <v>esprit</v>
      </c>
      <c r="F1332" s="2" t="str">
        <f ca="1">IFERROR(__xludf.DUMMYFUNCTION("GOOGLETRANSLATE(B1332,""en"",""it"")"),"spirito")</f>
        <v>spirito</v>
      </c>
      <c r="G1332" s="2" t="str">
        <f ca="1">IFERROR(__xludf.DUMMYFUNCTION("GOOGLETRANSLATE(B1332,""en"",""de"")"),"Geist")</f>
        <v>Geist</v>
      </c>
      <c r="H1332" s="2" t="str">
        <f ca="1">IFERROR(__xludf.DUMMYFUNCTION("GOOGLETRANSLATE(B1332,""en"",""zh"")"),"精神")</f>
        <v>精神</v>
      </c>
      <c r="I1332" s="2" t="str">
        <f ca="1">IFERROR(__xludf.DUMMYFUNCTION("GOOGLETRANSLATE(B1332,""en"",""gd"")"),"Spiorad")</f>
        <v>Spiorad</v>
      </c>
    </row>
    <row r="1333" spans="1:9" ht="14.25" customHeight="1" x14ac:dyDescent="0.3">
      <c r="A1333" s="2">
        <v>1332</v>
      </c>
      <c r="B1333" s="3" t="s">
        <v>1340</v>
      </c>
      <c r="C1333" s="2" t="str">
        <f ca="1">IFERROR(__xludf.DUMMYFUNCTION("GOOGLETRANSLATE(B1333, ""en"",""es"")"),"almuerzo")</f>
        <v>almuerzo</v>
      </c>
      <c r="D1333" s="2" t="str">
        <f ca="1">IFERROR(__xludf.DUMMYFUNCTION("GOOGLETRANSLATE(B1333,""en"",""ig"")"),"nri ehihie")</f>
        <v>nri ehihie</v>
      </c>
      <c r="E1333" s="2" t="str">
        <f ca="1">IFERROR(__xludf.DUMMYFUNCTION("GOOGLETRANSLATE(B1333,""en"",""fr"")"),"déjeuner")</f>
        <v>déjeuner</v>
      </c>
      <c r="F1333" s="2" t="str">
        <f ca="1">IFERROR(__xludf.DUMMYFUNCTION("GOOGLETRANSLATE(B1333,""en"",""it"")"),"pranzo")</f>
        <v>pranzo</v>
      </c>
      <c r="G1333" s="2" t="str">
        <f ca="1">IFERROR(__xludf.DUMMYFUNCTION("GOOGLETRANSLATE(B1333,""en"",""de"")"),"Mittagessen")</f>
        <v>Mittagessen</v>
      </c>
      <c r="H1333" s="2" t="str">
        <f ca="1">IFERROR(__xludf.DUMMYFUNCTION("GOOGLETRANSLATE(B1333,""en"",""zh"")"),"午餐")</f>
        <v>午餐</v>
      </c>
      <c r="I1333" s="2" t="str">
        <f ca="1">IFERROR(__xludf.DUMMYFUNCTION("GOOGLETRANSLATE(B1333,""en"",""gd"")"),"lòn")</f>
        <v>lòn</v>
      </c>
    </row>
    <row r="1334" spans="1:9" ht="14.25" customHeight="1" x14ac:dyDescent="0.3">
      <c r="A1334" s="2">
        <v>1333</v>
      </c>
      <c r="B1334" s="3" t="s">
        <v>1341</v>
      </c>
      <c r="C1334" s="2" t="str">
        <f ca="1">IFERROR(__xludf.DUMMYFUNCTION("GOOGLETRANSLATE(B1334, ""en"",""es"")"),"actual")</f>
        <v>actual</v>
      </c>
      <c r="D1334" s="2" t="str">
        <f ca="1">IFERROR(__xludf.DUMMYFUNCTION("GOOGLETRANSLATE(B1334,""en"",""ig"")"),"kemereme")</f>
        <v>kemereme</v>
      </c>
      <c r="E1334" s="2" t="str">
        <f ca="1">IFERROR(__xludf.DUMMYFUNCTION("GOOGLETRANSLATE(B1334,""en"",""fr"")"),"réel")</f>
        <v>réel</v>
      </c>
      <c r="F1334" s="2" t="str">
        <f ca="1">IFERROR(__xludf.DUMMYFUNCTION("GOOGLETRANSLATE(B1334,""en"",""it"")"),"effettivo")</f>
        <v>effettivo</v>
      </c>
      <c r="G1334" s="2" t="str">
        <f ca="1">IFERROR(__xludf.DUMMYFUNCTION("GOOGLETRANSLATE(B1334,""en"",""de"")"),"tatsächlich")</f>
        <v>tatsächlich</v>
      </c>
      <c r="H1334" s="2" t="str">
        <f ca="1">IFERROR(__xludf.DUMMYFUNCTION("GOOGLETRANSLATE(B1334,""en"",""zh"")"),"实际的")</f>
        <v>实际的</v>
      </c>
      <c r="I1334" s="2" t="str">
        <f ca="1">IFERROR(__xludf.DUMMYFUNCTION("GOOGLETRANSLATE(B1334,""en"",""gd"")"),"fìor")</f>
        <v>fìor</v>
      </c>
    </row>
    <row r="1335" spans="1:9" ht="14.25" customHeight="1" x14ac:dyDescent="0.3">
      <c r="A1335" s="2">
        <v>1334</v>
      </c>
      <c r="B1335" s="3" t="s">
        <v>1342</v>
      </c>
      <c r="C1335" s="2" t="str">
        <f ca="1">IFERROR(__xludf.DUMMYFUNCTION("GOOGLETRANSLATE(B1335, ""en"",""es"")"),"piscina")</f>
        <v>piscina</v>
      </c>
      <c r="D1335" s="2" t="str">
        <f ca="1">IFERROR(__xludf.DUMMYFUNCTION("GOOGLETRANSLATE(B1335,""en"",""ig"")"),"puul")</f>
        <v>puul</v>
      </c>
      <c r="E1335" s="2" t="str">
        <f ca="1">IFERROR(__xludf.DUMMYFUNCTION("GOOGLETRANSLATE(B1335,""en"",""fr"")"),"piscine")</f>
        <v>piscine</v>
      </c>
      <c r="F1335" s="2" t="str">
        <f ca="1">IFERROR(__xludf.DUMMYFUNCTION("GOOGLETRANSLATE(B1335,""en"",""it"")"),"piscina")</f>
        <v>piscina</v>
      </c>
      <c r="G1335" s="2" t="str">
        <f ca="1">IFERROR(__xludf.DUMMYFUNCTION("GOOGLETRANSLATE(B1335,""en"",""de"")"),"Schwimmbad")</f>
        <v>Schwimmbad</v>
      </c>
      <c r="H1335" s="2" t="str">
        <f ca="1">IFERROR(__xludf.DUMMYFUNCTION("GOOGLETRANSLATE(B1335,""en"",""zh"")"),"水池")</f>
        <v>水池</v>
      </c>
      <c r="I1335" s="2" t="str">
        <f ca="1">IFERROR(__xludf.DUMMYFUNCTION("GOOGLETRANSLATE(B1335,""en"",""gd"")"),"amar")</f>
        <v>amar</v>
      </c>
    </row>
    <row r="1336" spans="1:9" ht="14.25" customHeight="1" x14ac:dyDescent="0.3">
      <c r="A1336" s="2">
        <v>1335</v>
      </c>
      <c r="B1336" s="3" t="s">
        <v>1343</v>
      </c>
      <c r="C1336" s="2" t="str">
        <f ca="1">IFERROR(__xludf.DUMMYFUNCTION("GOOGLETRANSLATE(B1336, ""en"",""es"")"),"batalla")</f>
        <v>batalla</v>
      </c>
      <c r="D1336" s="2" t="str">
        <f ca="1">IFERROR(__xludf.DUMMYFUNCTION("GOOGLETRANSLATE(B1336,""en"",""ig"")"),"agha")</f>
        <v>agha</v>
      </c>
      <c r="E1336" s="2" t="str">
        <f ca="1">IFERROR(__xludf.DUMMYFUNCTION("GOOGLETRANSLATE(B1336,""en"",""fr"")"),"bataille")</f>
        <v>bataille</v>
      </c>
      <c r="F1336" s="2" t="str">
        <f ca="1">IFERROR(__xludf.DUMMYFUNCTION("GOOGLETRANSLATE(B1336,""en"",""it"")"),"battaglia")</f>
        <v>battaglia</v>
      </c>
      <c r="G1336" s="2" t="str">
        <f ca="1">IFERROR(__xludf.DUMMYFUNCTION("GOOGLETRANSLATE(B1336,""en"",""de"")"),"Schlacht")</f>
        <v>Schlacht</v>
      </c>
      <c r="H1336" s="2" t="str">
        <f ca="1">IFERROR(__xludf.DUMMYFUNCTION("GOOGLETRANSLATE(B1336,""en"",""zh"")"),"战斗")</f>
        <v>战斗</v>
      </c>
      <c r="I1336" s="2" t="str">
        <f ca="1">IFERROR(__xludf.DUMMYFUNCTION("GOOGLETRANSLATE(B1336,""en"",""gd"")"),"Blàr")</f>
        <v>Blàr</v>
      </c>
    </row>
    <row r="1337" spans="1:9" ht="14.25" customHeight="1" x14ac:dyDescent="0.3">
      <c r="A1337" s="2">
        <v>1336</v>
      </c>
      <c r="B1337" s="3" t="s">
        <v>1344</v>
      </c>
      <c r="C1337" s="2" t="str">
        <f ca="1">IFERROR(__xludf.DUMMYFUNCTION("GOOGLETRANSLATE(B1337, ""en"",""es"")"),"tradición")</f>
        <v>tradición</v>
      </c>
      <c r="D1337" s="2" t="str">
        <f ca="1">IFERROR(__xludf.DUMMYFUNCTION("GOOGLETRANSLATE(B1337,""en"",""ig"")"),"odinaala")</f>
        <v>odinaala</v>
      </c>
      <c r="E1337" s="2" t="str">
        <f ca="1">IFERROR(__xludf.DUMMYFUNCTION("GOOGLETRANSLATE(B1337,""en"",""fr"")"),"tradition")</f>
        <v>tradition</v>
      </c>
      <c r="F1337" s="2" t="str">
        <f ca="1">IFERROR(__xludf.DUMMYFUNCTION("GOOGLETRANSLATE(B1337,""en"",""it"")"),"tradizione")</f>
        <v>tradizione</v>
      </c>
      <c r="G1337" s="2" t="str">
        <f ca="1">IFERROR(__xludf.DUMMYFUNCTION("GOOGLETRANSLATE(B1337,""en"",""de"")"),"Tradition")</f>
        <v>Tradition</v>
      </c>
      <c r="H1337" s="2" t="str">
        <f ca="1">IFERROR(__xludf.DUMMYFUNCTION("GOOGLETRANSLATE(B1337,""en"",""zh"")"),"传统")</f>
        <v>传统</v>
      </c>
      <c r="I1337" s="2" t="str">
        <f ca="1">IFERROR(__xludf.DUMMYFUNCTION("GOOGLETRANSLATE(B1337,""en"",""gd"")"),"traidisean")</f>
        <v>traidisean</v>
      </c>
    </row>
    <row r="1338" spans="1:9" ht="14.25" customHeight="1" x14ac:dyDescent="0.3">
      <c r="A1338" s="2">
        <v>1337</v>
      </c>
      <c r="B1338" s="3" t="s">
        <v>1345</v>
      </c>
      <c r="C1338" s="2" t="str">
        <f ca="1">IFERROR(__xludf.DUMMYFUNCTION("GOOGLETRANSLATE(B1338, ""en"",""es"")"),"dinero")</f>
        <v>dinero</v>
      </c>
      <c r="D1338" s="2" t="str">
        <f ca="1">IFERROR(__xludf.DUMMYFUNCTION("GOOGLETRANSLATE(B1338,""en"",""ig"")"),"ego")</f>
        <v>ego</v>
      </c>
      <c r="E1338" s="2" t="str">
        <f ca="1">IFERROR(__xludf.DUMMYFUNCTION("GOOGLETRANSLATE(B1338,""en"",""fr"")"),"espèces")</f>
        <v>espèces</v>
      </c>
      <c r="F1338" s="2" t="str">
        <f ca="1">IFERROR(__xludf.DUMMYFUNCTION("GOOGLETRANSLATE(B1338,""en"",""it"")"),"contanti")</f>
        <v>contanti</v>
      </c>
      <c r="G1338" s="2" t="str">
        <f ca="1">IFERROR(__xludf.DUMMYFUNCTION("GOOGLETRANSLATE(B1338,""en"",""de"")"),"Kasse")</f>
        <v>Kasse</v>
      </c>
      <c r="H1338" s="2" t="str">
        <f ca="1">IFERROR(__xludf.DUMMYFUNCTION("GOOGLETRANSLATE(B1338,""en"",""zh"")"),"现金")</f>
        <v>现金</v>
      </c>
      <c r="I1338" s="2" t="str">
        <f ca="1">IFERROR(__xludf.DUMMYFUNCTION("GOOGLETRANSLATE(B1338,""en"",""gd"")"),"Airgead")</f>
        <v>Airgead</v>
      </c>
    </row>
    <row r="1339" spans="1:9" ht="14.25" customHeight="1" x14ac:dyDescent="0.3">
      <c r="A1339" s="2">
        <v>1338</v>
      </c>
      <c r="B1339" s="3" t="s">
        <v>1346</v>
      </c>
      <c r="C1339" s="2" t="str">
        <f ca="1">IFERROR(__xludf.DUMMYFUNCTION("GOOGLETRANSLATE(B1339, ""en"",""es"")"),"difícilmente")</f>
        <v>difícilmente</v>
      </c>
      <c r="D1339" s="2" t="str">
        <f ca="1">IFERROR(__xludf.DUMMYFUNCTION("GOOGLETRANSLATE(B1339,""en"",""ig"")"),"ihia aru")</f>
        <v>ihia aru</v>
      </c>
      <c r="E1339" s="2" t="str">
        <f ca="1">IFERROR(__xludf.DUMMYFUNCTION("GOOGLETRANSLATE(B1339,""en"",""fr"")"),"à peine")</f>
        <v>à peine</v>
      </c>
      <c r="F1339" s="2" t="str">
        <f ca="1">IFERROR(__xludf.DUMMYFUNCTION("GOOGLETRANSLATE(B1339,""en"",""it"")"),"difficilmente")</f>
        <v>difficilmente</v>
      </c>
      <c r="G1339" s="2" t="str">
        <f ca="1">IFERROR(__xludf.DUMMYFUNCTION("GOOGLETRANSLATE(B1339,""en"",""de"")"),"kaum")</f>
        <v>kaum</v>
      </c>
      <c r="H1339" s="2" t="str">
        <f ca="1">IFERROR(__xludf.DUMMYFUNCTION("GOOGLETRANSLATE(B1339,""en"",""zh"")"),"几乎不")</f>
        <v>几乎不</v>
      </c>
      <c r="I1339" s="2" t="str">
        <f ca="1">IFERROR(__xludf.DUMMYFUNCTION("GOOGLETRANSLATE(B1339,""en"",""gd"")"),"cha mhòr")</f>
        <v>cha mhòr</v>
      </c>
    </row>
    <row r="1340" spans="1:9" ht="14.25" customHeight="1" x14ac:dyDescent="0.3">
      <c r="A1340" s="2">
        <v>1339</v>
      </c>
      <c r="B1340" s="3" t="s">
        <v>1347</v>
      </c>
      <c r="C1340" s="2" t="str">
        <f ca="1">IFERROR(__xludf.DUMMYFUNCTION("GOOGLETRANSLATE(B1340, ""en"",""es"")"),"otorgar")</f>
        <v>otorgar</v>
      </c>
      <c r="D1340" s="2" t="str">
        <f ca="1">IFERROR(__xludf.DUMMYFUNCTION("GOOGLETRANSLATE(B1340,""en"",""ig"")"),"inwe")</f>
        <v>inwe</v>
      </c>
      <c r="E1340" s="2" t="str">
        <f ca="1">IFERROR(__xludf.DUMMYFUNCTION("GOOGLETRANSLATE(B1340,""en"",""fr"")"),"prix")</f>
        <v>prix</v>
      </c>
      <c r="F1340" s="2" t="str">
        <f ca="1">IFERROR(__xludf.DUMMYFUNCTION("GOOGLETRANSLATE(B1340,""en"",""it"")"),"premio")</f>
        <v>premio</v>
      </c>
      <c r="G1340" s="2" t="str">
        <f ca="1">IFERROR(__xludf.DUMMYFUNCTION("GOOGLETRANSLATE(B1340,""en"",""de"")"),"vergeben")</f>
        <v>vergeben</v>
      </c>
      <c r="H1340" s="2" t="str">
        <f ca="1">IFERROR(__xludf.DUMMYFUNCTION("GOOGLETRANSLATE(B1340,""en"",""zh"")"),"奖")</f>
        <v>奖</v>
      </c>
      <c r="I1340" s="2" t="str">
        <f ca="1">IFERROR(__xludf.DUMMYFUNCTION("GOOGLETRANSLATE(B1340,""en"",""gd"")"),"Duais")</f>
        <v>Duais</v>
      </c>
    </row>
    <row r="1341" spans="1:9" ht="14.25" customHeight="1" x14ac:dyDescent="0.3">
      <c r="A1341" s="2">
        <v>1340</v>
      </c>
      <c r="B1341" s="3" t="s">
        <v>1348</v>
      </c>
      <c r="C1341" s="2" t="str">
        <f ca="1">IFERROR(__xludf.DUMMYFUNCTION("GOOGLETRANSLATE(B1341, ""en"",""es"")"),"entrenador")</f>
        <v>entrenador</v>
      </c>
      <c r="D1341" s="2" t="str">
        <f ca="1">IFERROR(__xludf.DUMMYFUNCTION("GOOGLETRANSLATE(B1341,""en"",""ig"")"),"onye koochi")</f>
        <v>onye koochi</v>
      </c>
      <c r="E1341" s="2" t="str">
        <f ca="1">IFERROR(__xludf.DUMMYFUNCTION("GOOGLETRANSLATE(B1341,""en"",""fr"")"),"entraîneur")</f>
        <v>entraîneur</v>
      </c>
      <c r="F1341" s="2" t="str">
        <f ca="1">IFERROR(__xludf.DUMMYFUNCTION("GOOGLETRANSLATE(B1341,""en"",""it"")"),"allenatore")</f>
        <v>allenatore</v>
      </c>
      <c r="G1341" s="2" t="str">
        <f ca="1">IFERROR(__xludf.DUMMYFUNCTION("GOOGLETRANSLATE(B1341,""en"",""de"")"),"Trainer")</f>
        <v>Trainer</v>
      </c>
      <c r="H1341" s="2" t="str">
        <f ca="1">IFERROR(__xludf.DUMMYFUNCTION("GOOGLETRANSLATE(B1341,""en"",""zh"")"),"教练")</f>
        <v>教练</v>
      </c>
      <c r="I1341" s="2" t="str">
        <f ca="1">IFERROR(__xludf.DUMMYFUNCTION("GOOGLETRANSLATE(B1341,""en"",""gd"")"),"Coidse")</f>
        <v>Coidse</v>
      </c>
    </row>
    <row r="1342" spans="1:9" ht="14.25" customHeight="1" x14ac:dyDescent="0.3">
      <c r="A1342" s="2">
        <v>1341</v>
      </c>
      <c r="B1342" s="3" t="s">
        <v>1349</v>
      </c>
      <c r="C1342" s="2" t="str">
        <f ca="1">IFERROR(__xludf.DUMMYFUNCTION("GOOGLETRANSLATE(B1342, ""en"",""es"")"),"experimento")</f>
        <v>experimento</v>
      </c>
      <c r="D1342" s="2" t="str">
        <f ca="1">IFERROR(__xludf.DUMMYFUNCTION("GOOGLETRANSLATE(B1342,""en"",""ig"")"),"eksperimenti")</f>
        <v>eksperimenti</v>
      </c>
      <c r="E1342" s="2" t="str">
        <f ca="1">IFERROR(__xludf.DUMMYFUNCTION("GOOGLETRANSLATE(B1342,""en"",""fr"")"),"expérience")</f>
        <v>expérience</v>
      </c>
      <c r="F1342" s="2" t="str">
        <f ca="1">IFERROR(__xludf.DUMMYFUNCTION("GOOGLETRANSLATE(B1342,""en"",""it"")"),"sperimentare")</f>
        <v>sperimentare</v>
      </c>
      <c r="G1342" s="2" t="str">
        <f ca="1">IFERROR(__xludf.DUMMYFUNCTION("GOOGLETRANSLATE(B1342,""en"",""de"")"),"Experiment")</f>
        <v>Experiment</v>
      </c>
      <c r="H1342" s="2" t="str">
        <f ca="1">IFERROR(__xludf.DUMMYFUNCTION("GOOGLETRANSLATE(B1342,""en"",""zh"")"),"实验")</f>
        <v>实验</v>
      </c>
      <c r="I1342" s="2" t="str">
        <f ca="1">IFERROR(__xludf.DUMMYFUNCTION("GOOGLETRANSLATE(B1342,""en"",""gd"")"),"deuchainn")</f>
        <v>deuchainn</v>
      </c>
    </row>
    <row r="1343" spans="1:9" ht="14.25" customHeight="1" x14ac:dyDescent="0.3">
      <c r="A1343" s="2">
        <v>1342</v>
      </c>
      <c r="B1343" s="3" t="s">
        <v>1350</v>
      </c>
      <c r="C1343" s="2" t="str">
        <f ca="1">IFERROR(__xludf.DUMMYFUNCTION("GOOGLETRANSLATE(B1343, ""en"",""es"")"),"consideración")</f>
        <v>consideración</v>
      </c>
      <c r="D1343" s="2" t="str">
        <f ca="1">IFERROR(__xludf.DUMMYFUNCTION("GOOGLETRANSLATE(B1343,""en"",""ig"")"),"ntule")</f>
        <v>ntule</v>
      </c>
      <c r="E1343" s="2" t="str">
        <f ca="1">IFERROR(__xludf.DUMMYFUNCTION("GOOGLETRANSLATE(B1343,""en"",""fr"")"),"considération")</f>
        <v>considération</v>
      </c>
      <c r="F1343" s="2" t="str">
        <f ca="1">IFERROR(__xludf.DUMMYFUNCTION("GOOGLETRANSLATE(B1343,""en"",""it"")"),"considerazione")</f>
        <v>considerazione</v>
      </c>
      <c r="G1343" s="2" t="str">
        <f ca="1">IFERROR(__xludf.DUMMYFUNCTION("GOOGLETRANSLATE(B1343,""en"",""de"")"),"Rücksichtnahme")</f>
        <v>Rücksichtnahme</v>
      </c>
      <c r="H1343" s="2" t="str">
        <f ca="1">IFERROR(__xludf.DUMMYFUNCTION("GOOGLETRANSLATE(B1343,""en"",""zh"")"),"考虑")</f>
        <v>考虑</v>
      </c>
      <c r="I1343" s="2" t="str">
        <f ca="1">IFERROR(__xludf.DUMMYFUNCTION("GOOGLETRANSLATE(B1343,""en"",""gd"")"),"beachdachadh")</f>
        <v>beachdachadh</v>
      </c>
    </row>
    <row r="1344" spans="1:9" ht="14.25" customHeight="1" x14ac:dyDescent="0.3">
      <c r="A1344" s="2">
        <v>1343</v>
      </c>
      <c r="B1344" s="3" t="s">
        <v>1351</v>
      </c>
      <c r="C1344" s="2" t="str">
        <f ca="1">IFERROR(__xludf.DUMMYFUNCTION("GOOGLETRANSLATE(B1344, ""en"",""es"")"),"extraño")</f>
        <v>extraño</v>
      </c>
      <c r="D1344" s="2" t="str">
        <f ca="1">IFERROR(__xludf.DUMMYFUNCTION("GOOGLETRANSLATE(B1344,""en"",""ig"")"),"nke mgbagojuanya")</f>
        <v>nke mgbagojuanya</v>
      </c>
      <c r="E1344" s="2" t="str">
        <f ca="1">IFERROR(__xludf.DUMMYFUNCTION("GOOGLETRANSLATE(B1344,""en"",""fr"")"),"étrange")</f>
        <v>étrange</v>
      </c>
      <c r="F1344" s="2" t="str">
        <f ca="1">IFERROR(__xludf.DUMMYFUNCTION("GOOGLETRANSLATE(B1344,""en"",""it"")"),"strano")</f>
        <v>strano</v>
      </c>
      <c r="G1344" s="2" t="str">
        <f ca="1">IFERROR(__xludf.DUMMYFUNCTION("GOOGLETRANSLATE(B1344,""en"",""de"")"),"seltsam")</f>
        <v>seltsam</v>
      </c>
      <c r="H1344" s="2" t="str">
        <f ca="1">IFERROR(__xludf.DUMMYFUNCTION("GOOGLETRANSLATE(B1344,""en"",""zh"")"),"奇怪的")</f>
        <v>奇怪的</v>
      </c>
      <c r="I1344" s="2" t="str">
        <f ca="1">IFERROR(__xludf.DUMMYFUNCTION("GOOGLETRANSLATE(B1344,""en"",""gd"")"),"neònach")</f>
        <v>neònach</v>
      </c>
    </row>
    <row r="1345" spans="1:9" ht="14.25" customHeight="1" x14ac:dyDescent="0.3">
      <c r="A1345" s="2">
        <v>1344</v>
      </c>
      <c r="B1345" s="3" t="s">
        <v>1352</v>
      </c>
      <c r="C1345" s="2" t="str">
        <f ca="1">IFERROR(__xludf.DUMMYFUNCTION("GOOGLETRANSLATE(B1345, ""en"",""es"")"),"código")</f>
        <v>código</v>
      </c>
      <c r="D1345" s="2" t="str">
        <f ca="1">IFERROR(__xludf.DUMMYFUNCTION("GOOGLETRANSLATE(B1345,""en"",""ig"")"),"akara otu")</f>
        <v>akara otu</v>
      </c>
      <c r="E1345" s="2" t="str">
        <f ca="1">IFERROR(__xludf.DUMMYFUNCTION("GOOGLETRANSLATE(B1345,""en"",""fr"")"),"code")</f>
        <v>code</v>
      </c>
      <c r="F1345" s="2" t="str">
        <f ca="1">IFERROR(__xludf.DUMMYFUNCTION("GOOGLETRANSLATE(B1345,""en"",""it"")"),"codice")</f>
        <v>codice</v>
      </c>
      <c r="G1345" s="2" t="str">
        <f ca="1">IFERROR(__xludf.DUMMYFUNCTION("GOOGLETRANSLATE(B1345,""en"",""de"")"),"Code")</f>
        <v>Code</v>
      </c>
      <c r="H1345" s="2" t="str">
        <f ca="1">IFERROR(__xludf.DUMMYFUNCTION("GOOGLETRANSLATE(B1345,""en"",""zh"")"),"代码")</f>
        <v>代码</v>
      </c>
      <c r="I1345" s="2" t="str">
        <f ca="1">IFERROR(__xludf.DUMMYFUNCTION("GOOGLETRANSLATE(B1345,""en"",""gd"")"),"Còd")</f>
        <v>Còd</v>
      </c>
    </row>
    <row r="1346" spans="1:9" ht="14.25" customHeight="1" x14ac:dyDescent="0.3">
      <c r="A1346" s="2">
        <v>1345</v>
      </c>
      <c r="B1346" s="3" t="s">
        <v>1353</v>
      </c>
      <c r="C1346" s="2" t="str">
        <f ca="1">IFERROR(__xludf.DUMMYFUNCTION("GOOGLETRANSLATE(B1346, ""en"",""es"")"),"posiblemente")</f>
        <v>posiblemente</v>
      </c>
      <c r="D1346" s="2" t="str">
        <f ca="1">IFERROR(__xludf.DUMMYFUNCTION("GOOGLETRANSLATE(B1346,""en"",""ig"")"),"nke puru omume")</f>
        <v>nke puru omume</v>
      </c>
      <c r="E1346" s="2" t="str">
        <f ca="1">IFERROR(__xludf.DUMMYFUNCTION("GOOGLETRANSLATE(B1346,""en"",""fr"")"),"peut-être")</f>
        <v>peut-être</v>
      </c>
      <c r="F1346" s="2" t="str">
        <f ca="1">IFERROR(__xludf.DUMMYFUNCTION("GOOGLETRANSLATE(B1346,""en"",""it"")"),"possibilmente")</f>
        <v>possibilmente</v>
      </c>
      <c r="G1346" s="2" t="str">
        <f ca="1">IFERROR(__xludf.DUMMYFUNCTION("GOOGLETRANSLATE(B1346,""en"",""de"")"),"möglicherweise")</f>
        <v>möglicherweise</v>
      </c>
      <c r="H1346" s="2" t="str">
        <f ca="1">IFERROR(__xludf.DUMMYFUNCTION("GOOGLETRANSLATE(B1346,""en"",""zh"")"),"可能")</f>
        <v>可能</v>
      </c>
      <c r="I1346" s="2" t="str">
        <f ca="1">IFERROR(__xludf.DUMMYFUNCTION("GOOGLETRANSLATE(B1346,""en"",""gd"")"),"is dòcha")</f>
        <v>is dòcha</v>
      </c>
    </row>
    <row r="1347" spans="1:9" ht="14.25" customHeight="1" x14ac:dyDescent="0.3">
      <c r="A1347" s="2">
        <v>1346</v>
      </c>
      <c r="B1347" s="3" t="s">
        <v>1354</v>
      </c>
      <c r="C1347" s="2" t="str">
        <f ca="1">IFERROR(__xludf.DUMMYFUNCTION("GOOGLETRANSLATE(B1347, ""en"",""es"")"),"amenaza")</f>
        <v>amenaza</v>
      </c>
      <c r="D1347" s="2" t="str">
        <f ca="1">IFERROR(__xludf.DUMMYFUNCTION("GOOGLETRANSLATE(B1347,""en"",""ig"")"),"mmenyeujo")</f>
        <v>mmenyeujo</v>
      </c>
      <c r="E1347" s="2" t="str">
        <f ca="1">IFERROR(__xludf.DUMMYFUNCTION("GOOGLETRANSLATE(B1347,""en"",""fr"")"),"menace")</f>
        <v>menace</v>
      </c>
      <c r="F1347" s="2" t="str">
        <f ca="1">IFERROR(__xludf.DUMMYFUNCTION("GOOGLETRANSLATE(B1347,""en"",""it"")"),"minaccia")</f>
        <v>minaccia</v>
      </c>
      <c r="G1347" s="2" t="str">
        <f ca="1">IFERROR(__xludf.DUMMYFUNCTION("GOOGLETRANSLATE(B1347,""en"",""de"")"),"Gefahr")</f>
        <v>Gefahr</v>
      </c>
      <c r="H1347" s="2" t="str">
        <f ca="1">IFERROR(__xludf.DUMMYFUNCTION("GOOGLETRANSLATE(B1347,""en"",""zh"")"),"威胁")</f>
        <v>威胁</v>
      </c>
      <c r="I1347" s="2" t="str">
        <f ca="1">IFERROR(__xludf.DUMMYFUNCTION("GOOGLETRANSLATE(B1347,""en"",""gd"")"),"bagairt")</f>
        <v>bagairt</v>
      </c>
    </row>
    <row r="1348" spans="1:9" ht="14.25" customHeight="1" x14ac:dyDescent="0.3">
      <c r="A1348" s="2">
        <v>1347</v>
      </c>
      <c r="B1348" s="3" t="s">
        <v>1355</v>
      </c>
      <c r="C1348" s="2" t="str">
        <f ca="1">IFERROR(__xludf.DUMMYFUNCTION("GOOGLETRANSLATE(B1348, ""en"",""es"")"),"accidente")</f>
        <v>accidente</v>
      </c>
      <c r="D1348" s="2" t="str">
        <f ca="1">IFERROR(__xludf.DUMMYFUNCTION("GOOGLETRANSLATE(B1348,""en"",""ig"")"),"oghom")</f>
        <v>oghom</v>
      </c>
      <c r="E1348" s="2" t="str">
        <f ca="1">IFERROR(__xludf.DUMMYFUNCTION("GOOGLETRANSLATE(B1348,""en"",""fr"")"),"accident")</f>
        <v>accident</v>
      </c>
      <c r="F1348" s="2" t="str">
        <f ca="1">IFERROR(__xludf.DUMMYFUNCTION("GOOGLETRANSLATE(B1348,""en"",""it"")"),"incidente")</f>
        <v>incidente</v>
      </c>
      <c r="G1348" s="2" t="str">
        <f ca="1">IFERROR(__xludf.DUMMYFUNCTION("GOOGLETRANSLATE(B1348,""en"",""de"")"),"Unfall")</f>
        <v>Unfall</v>
      </c>
      <c r="H1348" s="2" t="str">
        <f ca="1">IFERROR(__xludf.DUMMYFUNCTION("GOOGLETRANSLATE(B1348,""en"",""zh"")"),"事故")</f>
        <v>事故</v>
      </c>
      <c r="I1348" s="2" t="str">
        <f ca="1">IFERROR(__xludf.DUMMYFUNCTION("GOOGLETRANSLATE(B1348,""en"",""gd"")"),"tubaist")</f>
        <v>tubaist</v>
      </c>
    </row>
    <row r="1349" spans="1:9" ht="14.25" customHeight="1" x14ac:dyDescent="0.3">
      <c r="A1349" s="2">
        <v>1348</v>
      </c>
      <c r="B1349" s="3" t="s">
        <v>1356</v>
      </c>
      <c r="C1349" s="2" t="str">
        <f ca="1">IFERROR(__xludf.DUMMYFUNCTION("GOOGLETRANSLATE(B1349, ""en"",""es"")"),"imposible")</f>
        <v>imposible</v>
      </c>
      <c r="D1349" s="2" t="str">
        <f ca="1">IFERROR(__xludf.DUMMYFUNCTION("GOOGLETRANSLATE(B1349,""en"",""ig"")"),"ekweghi omume")</f>
        <v>ekweghi omume</v>
      </c>
      <c r="E1349" s="2" t="str">
        <f ca="1">IFERROR(__xludf.DUMMYFUNCTION("GOOGLETRANSLATE(B1349,""en"",""fr"")"),"impossible")</f>
        <v>impossible</v>
      </c>
      <c r="F1349" s="2" t="str">
        <f ca="1">IFERROR(__xludf.DUMMYFUNCTION("GOOGLETRANSLATE(B1349,""en"",""it"")"),"impossibile")</f>
        <v>impossibile</v>
      </c>
      <c r="G1349" s="2" t="str">
        <f ca="1">IFERROR(__xludf.DUMMYFUNCTION("GOOGLETRANSLATE(B1349,""en"",""de"")"),"unmöglich")</f>
        <v>unmöglich</v>
      </c>
      <c r="H1349" s="2" t="str">
        <f ca="1">IFERROR(__xludf.DUMMYFUNCTION("GOOGLETRANSLATE(B1349,""en"",""zh"")"),"不可能的")</f>
        <v>不可能的</v>
      </c>
      <c r="I1349" s="2" t="str">
        <f ca="1">IFERROR(__xludf.DUMMYFUNCTION("GOOGLETRANSLATE(B1349,""en"",""gd"")"),"do-dhèanta")</f>
        <v>do-dhèanta</v>
      </c>
    </row>
    <row r="1350" spans="1:9" ht="14.25" customHeight="1" x14ac:dyDescent="0.3">
      <c r="A1350" s="2">
        <v>1349</v>
      </c>
      <c r="B1350" s="3" t="s">
        <v>1357</v>
      </c>
      <c r="C1350" s="2" t="str">
        <f ca="1">IFERROR(__xludf.DUMMYFUNCTION("GOOGLETRANSLATE(B1350, ""en"",""es"")"),"ganancia")</f>
        <v>ganancia</v>
      </c>
      <c r="D1350" s="2" t="str">
        <f ca="1">IFERROR(__xludf.DUMMYFUNCTION("GOOGLETRANSLATE(B1350,""en"",""ig"")"),"ugwo")</f>
        <v>ugwo</v>
      </c>
      <c r="E1350" s="2" t="str">
        <f ca="1">IFERROR(__xludf.DUMMYFUNCTION("GOOGLETRANSLATE(B1350,""en"",""fr"")"),"revenu")</f>
        <v>revenu</v>
      </c>
      <c r="F1350" s="2" t="str">
        <f ca="1">IFERROR(__xludf.DUMMYFUNCTION("GOOGLETRANSLATE(B1350,""en"",""it"")"),"reddito")</f>
        <v>reddito</v>
      </c>
      <c r="G1350" s="2" t="str">
        <f ca="1">IFERROR(__xludf.DUMMYFUNCTION("GOOGLETRANSLATE(B1350,""en"",""de"")"),"Einnahmen")</f>
        <v>Einnahmen</v>
      </c>
      <c r="H1350" s="2" t="str">
        <f ca="1">IFERROR(__xludf.DUMMYFUNCTION("GOOGLETRANSLATE(B1350,""en"",""zh"")"),"收入")</f>
        <v>收入</v>
      </c>
      <c r="I1350" s="2" t="str">
        <f ca="1">IFERROR(__xludf.DUMMYFUNCTION("GOOGLETRANSLATE(B1350,""en"",""gd"")"),"Teachd-a-steach")</f>
        <v>Teachd-a-steach</v>
      </c>
    </row>
    <row r="1351" spans="1:9" ht="14.25" customHeight="1" x14ac:dyDescent="0.3">
      <c r="A1351" s="2">
        <v>1350</v>
      </c>
      <c r="B1351" s="3" t="s">
        <v>1358</v>
      </c>
      <c r="C1351" s="2" t="str">
        <f ca="1">IFERROR(__xludf.DUMMYFUNCTION("GOOGLETRANSLATE(B1351, ""en"",""es"")"),"permitir")</f>
        <v>permitir</v>
      </c>
      <c r="D1351" s="2" t="str">
        <f ca="1">IFERROR(__xludf.DUMMYFUNCTION("GOOGLETRANSLATE(B1351,""en"",""ig"")"),"inwe ike")</f>
        <v>inwe ike</v>
      </c>
      <c r="E1351" s="2" t="str">
        <f ca="1">IFERROR(__xludf.DUMMYFUNCTION("GOOGLETRANSLATE(B1351,""en"",""fr"")"),"activer")</f>
        <v>activer</v>
      </c>
      <c r="F1351" s="2" t="str">
        <f ca="1">IFERROR(__xludf.DUMMYFUNCTION("GOOGLETRANSLATE(B1351,""en"",""it"")"),"abilitare")</f>
        <v>abilitare</v>
      </c>
      <c r="G1351" s="2" t="str">
        <f ca="1">IFERROR(__xludf.DUMMYFUNCTION("GOOGLETRANSLATE(B1351,""en"",""de"")"),"aktivieren")</f>
        <v>aktivieren</v>
      </c>
      <c r="H1351" s="2" t="str">
        <f ca="1">IFERROR(__xludf.DUMMYFUNCTION("GOOGLETRANSLATE(B1351,""en"",""zh"")"),"使能够")</f>
        <v>使能够</v>
      </c>
      <c r="I1351" s="2" t="str">
        <f ca="1">IFERROR(__xludf.DUMMYFUNCTION("GOOGLETRANSLATE(B1351,""en"",""gd"")"),"Dèan comas")</f>
        <v>Dèan comas</v>
      </c>
    </row>
    <row r="1352" spans="1:9" ht="14.25" customHeight="1" x14ac:dyDescent="0.3">
      <c r="A1352" s="2">
        <v>1351</v>
      </c>
      <c r="B1352" s="3" t="s">
        <v>1359</v>
      </c>
      <c r="C1352" s="2" t="str">
        <f ca="1">IFERROR(__xludf.DUMMYFUNCTION("GOOGLETRANSLATE(B1352, ""en"",""es"")"),"asustado")</f>
        <v>asustado</v>
      </c>
      <c r="D1352" s="2" t="str">
        <f ca="1">IFERROR(__xludf.DUMMYFUNCTION("GOOGLETRANSLATE(B1352,""en"",""ig"")"),"keujo")</f>
        <v>keujo</v>
      </c>
      <c r="E1352" s="2" t="str">
        <f ca="1">IFERROR(__xludf.DUMMYFUNCTION("GOOGLETRANSLATE(B1352,""en"",""fr"")"),"effrayé")</f>
        <v>effrayé</v>
      </c>
      <c r="F1352" s="2" t="str">
        <f ca="1">IFERROR(__xludf.DUMMYFUNCTION("GOOGLETRANSLATE(B1352,""en"",""it"")"),"Paura")</f>
        <v>Paura</v>
      </c>
      <c r="G1352" s="2" t="str">
        <f ca="1">IFERROR(__xludf.DUMMYFUNCTION("GOOGLETRANSLATE(B1352,""en"",""de"")"),"besorgt")</f>
        <v>besorgt</v>
      </c>
      <c r="H1352" s="2" t="str">
        <f ca="1">IFERROR(__xludf.DUMMYFUNCTION("GOOGLETRANSLATE(B1352,""en"",""zh"")"),"害怕的")</f>
        <v>害怕的</v>
      </c>
      <c r="I1352" s="2" t="str">
        <f ca="1">IFERROR(__xludf.DUMMYFUNCTION("GOOGLETRANSLATE(B1352,""en"",""gd"")"),"eagal")</f>
        <v>eagal</v>
      </c>
    </row>
    <row r="1353" spans="1:9" ht="14.25" customHeight="1" x14ac:dyDescent="0.3">
      <c r="A1353" s="2">
        <v>1352</v>
      </c>
      <c r="B1353" s="3" t="s">
        <v>1360</v>
      </c>
      <c r="C1353" s="2" t="str">
        <f ca="1">IFERROR(__xludf.DUMMYFUNCTION("GOOGLETRANSLATE(B1353, ""en"",""es"")"),"activo")</f>
        <v>activo</v>
      </c>
      <c r="D1353" s="2" t="str">
        <f ca="1">IFERROR(__xludf.DUMMYFUNCTION("GOOGLETRANSLATE(B1353,""en"",""ig"")"),"keomume")</f>
        <v>keomume</v>
      </c>
      <c r="E1353" s="2" t="str">
        <f ca="1">IFERROR(__xludf.DUMMYFUNCTION("GOOGLETRANSLATE(B1353,""en"",""fr"")"),"actif")</f>
        <v>actif</v>
      </c>
      <c r="F1353" s="2" t="str">
        <f ca="1">IFERROR(__xludf.DUMMYFUNCTION("GOOGLETRANSLATE(B1353,""en"",""it"")"),"attivo")</f>
        <v>attivo</v>
      </c>
      <c r="G1353" s="2" t="str">
        <f ca="1">IFERROR(__xludf.DUMMYFUNCTION("GOOGLETRANSLATE(B1353,""en"",""de"")"),"aktiv")</f>
        <v>aktiv</v>
      </c>
      <c r="H1353" s="2" t="str">
        <f ca="1">IFERROR(__xludf.DUMMYFUNCTION("GOOGLETRANSLATE(B1353,""en"",""zh"")"),"积极的")</f>
        <v>积极的</v>
      </c>
      <c r="I1353" s="2" t="str">
        <f ca="1">IFERROR(__xludf.DUMMYFUNCTION("GOOGLETRANSLATE(B1353,""en"",""gd"")"),"gnìomhach")</f>
        <v>gnìomhach</v>
      </c>
    </row>
    <row r="1354" spans="1:9" ht="14.25" customHeight="1" x14ac:dyDescent="0.3">
      <c r="A1354" s="2">
        <v>1353</v>
      </c>
      <c r="B1354" s="3" t="s">
        <v>1361</v>
      </c>
      <c r="C1354" s="2" t="str">
        <f ca="1">IFERROR(__xludf.DUMMYFUNCTION("GOOGLETRANSLATE(B1354, ""en"",""es"")"),"concluir")</f>
        <v>concluir</v>
      </c>
      <c r="D1354" s="2" t="str">
        <f ca="1">IFERROR(__xludf.DUMMYFUNCTION("GOOGLETRANSLATE(B1354,""en"",""ig"")"),"imechi")</f>
        <v>imechi</v>
      </c>
      <c r="E1354" s="2" t="str">
        <f ca="1">IFERROR(__xludf.DUMMYFUNCTION("GOOGLETRANSLATE(B1354,""en"",""fr"")"),"conclure")</f>
        <v>conclure</v>
      </c>
      <c r="F1354" s="2" t="str">
        <f ca="1">IFERROR(__xludf.DUMMYFUNCTION("GOOGLETRANSLATE(B1354,""en"",""it"")"),"concludere")</f>
        <v>concludere</v>
      </c>
      <c r="G1354" s="2" t="str">
        <f ca="1">IFERROR(__xludf.DUMMYFUNCTION("GOOGLETRANSLATE(B1354,""en"",""de"")"),"daraus schließen")</f>
        <v>daraus schließen</v>
      </c>
      <c r="H1354" s="2" t="str">
        <f ca="1">IFERROR(__xludf.DUMMYFUNCTION("GOOGLETRANSLATE(B1354,""en"",""zh"")"),"得出结论")</f>
        <v>得出结论</v>
      </c>
      <c r="I1354" s="2" t="str">
        <f ca="1">IFERROR(__xludf.DUMMYFUNCTION("GOOGLETRANSLATE(B1354,""en"",""gd"")"),"co-dhùnadh")</f>
        <v>co-dhùnadh</v>
      </c>
    </row>
    <row r="1355" spans="1:9" ht="14.25" customHeight="1" x14ac:dyDescent="0.3">
      <c r="A1355" s="2">
        <v>1354</v>
      </c>
      <c r="B1355" s="3" t="s">
        <v>1362</v>
      </c>
      <c r="C1355" s="2" t="str">
        <f ca="1">IFERROR(__xludf.DUMMYFUNCTION("GOOGLETRANSLATE(B1355, ""en"",""es"")"),"religioso")</f>
        <v>religioso</v>
      </c>
      <c r="D1355" s="2" t="str">
        <f ca="1">IFERROR(__xludf.DUMMYFUNCTION("GOOGLETRANSLATE(B1355,""en"",""ig"")"),"nke okwukwe")</f>
        <v>nke okwukwe</v>
      </c>
      <c r="E1355" s="2" t="str">
        <f ca="1">IFERROR(__xludf.DUMMYFUNCTION("GOOGLETRANSLATE(B1355,""en"",""fr"")"),"religieux")</f>
        <v>religieux</v>
      </c>
      <c r="F1355" s="2" t="str">
        <f ca="1">IFERROR(__xludf.DUMMYFUNCTION("GOOGLETRANSLATE(B1355,""en"",""it"")"),"religioso")</f>
        <v>religioso</v>
      </c>
      <c r="G1355" s="2" t="str">
        <f ca="1">IFERROR(__xludf.DUMMYFUNCTION("GOOGLETRANSLATE(B1355,""en"",""de"")"),"religiös")</f>
        <v>religiös</v>
      </c>
      <c r="H1355" s="2" t="str">
        <f ca="1">IFERROR(__xludf.DUMMYFUNCTION("GOOGLETRANSLATE(B1355,""en"",""zh"")"),"宗教")</f>
        <v>宗教</v>
      </c>
      <c r="I1355" s="2" t="str">
        <f ca="1">IFERROR(__xludf.DUMMYFUNCTION("GOOGLETRANSLATE(B1355,""en"",""gd"")"),"Creideimh")</f>
        <v>Creideimh</v>
      </c>
    </row>
    <row r="1356" spans="1:9" ht="14.25" customHeight="1" x14ac:dyDescent="0.3">
      <c r="A1356" s="2">
        <v>1355</v>
      </c>
      <c r="B1356" s="3" t="s">
        <v>1363</v>
      </c>
      <c r="C1356" s="2" t="str">
        <f ca="1">IFERROR(__xludf.DUMMYFUNCTION("GOOGLETRANSLATE(B1356, ""en"",""es"")"),"cáncer")</f>
        <v>cáncer</v>
      </c>
      <c r="D1356" s="2" t="str">
        <f ca="1">IFERROR(__xludf.DUMMYFUNCTION("GOOGLETRANSLATE(B1356,""en"",""ig"")"),"kansa")</f>
        <v>kansa</v>
      </c>
      <c r="E1356" s="2" t="str">
        <f ca="1">IFERROR(__xludf.DUMMYFUNCTION("GOOGLETRANSLATE(B1356,""en"",""fr"")"),"cancer")</f>
        <v>cancer</v>
      </c>
      <c r="F1356" s="2" t="str">
        <f ca="1">IFERROR(__xludf.DUMMYFUNCTION("GOOGLETRANSLATE(B1356,""en"",""it"")"),"cancro")</f>
        <v>cancro</v>
      </c>
      <c r="G1356" s="2" t="str">
        <f ca="1">IFERROR(__xludf.DUMMYFUNCTION("GOOGLETRANSLATE(B1356,""en"",""de"")"),"Krebs")</f>
        <v>Krebs</v>
      </c>
      <c r="H1356" s="2" t="str">
        <f ca="1">IFERROR(__xludf.DUMMYFUNCTION("GOOGLETRANSLATE(B1356,""en"",""zh"")"),"癌症")</f>
        <v>癌症</v>
      </c>
      <c r="I1356" s="2" t="str">
        <f ca="1">IFERROR(__xludf.DUMMYFUNCTION("GOOGLETRANSLATE(B1356,""en"",""gd"")"),"aillse")</f>
        <v>aillse</v>
      </c>
    </row>
    <row r="1357" spans="1:9" ht="14.25" customHeight="1" x14ac:dyDescent="0.3">
      <c r="A1357" s="2">
        <v>1356</v>
      </c>
      <c r="B1357" s="3" t="s">
        <v>1364</v>
      </c>
      <c r="C1357" s="2" t="str">
        <f ca="1">IFERROR(__xludf.DUMMYFUNCTION("GOOGLETRANSLATE(B1357, ""en"",""es"")"),"convencer")</f>
        <v>convencer</v>
      </c>
      <c r="D1357" s="2" t="str">
        <f ca="1">IFERROR(__xludf.DUMMYFUNCTION("GOOGLETRANSLATE(B1357,""en"",""ig"")"),"ido anya")</f>
        <v>ido anya</v>
      </c>
      <c r="E1357" s="2" t="str">
        <f ca="1">IFERROR(__xludf.DUMMYFUNCTION("GOOGLETRANSLATE(B1357,""en"",""fr"")"),"convaincre")</f>
        <v>convaincre</v>
      </c>
      <c r="F1357" s="2" t="str">
        <f ca="1">IFERROR(__xludf.DUMMYFUNCTION("GOOGLETRANSLATE(B1357,""en"",""it"")"),"convincere")</f>
        <v>convincere</v>
      </c>
      <c r="G1357" s="2" t="str">
        <f ca="1">IFERROR(__xludf.DUMMYFUNCTION("GOOGLETRANSLATE(B1357,""en"",""de"")"),"überzeugen")</f>
        <v>überzeugen</v>
      </c>
      <c r="H1357" s="2" t="str">
        <f ca="1">IFERROR(__xludf.DUMMYFUNCTION("GOOGLETRANSLATE(B1357,""en"",""zh"")"),"说服")</f>
        <v>说服</v>
      </c>
      <c r="I1357" s="2" t="str">
        <f ca="1">IFERROR(__xludf.DUMMYFUNCTION("GOOGLETRANSLATE(B1357,""en"",""gd"")"),"a chreidsinn")</f>
        <v>a chreidsinn</v>
      </c>
    </row>
    <row r="1358" spans="1:9" ht="14.25" customHeight="1" x14ac:dyDescent="0.3">
      <c r="A1358" s="2">
        <v>1357</v>
      </c>
      <c r="B1358" s="3" t="s">
        <v>1365</v>
      </c>
      <c r="C1358" s="2" t="str">
        <f ca="1">IFERROR(__xludf.DUMMYFUNCTION("GOOGLETRANSLATE(B1358, ""en"",""es"")"),"variar")</f>
        <v>variar</v>
      </c>
      <c r="D1358" s="2" t="str">
        <f ca="1">IFERROR(__xludf.DUMMYFUNCTION("GOOGLETRANSLATE(B1358,""en"",""ig"")"),"igbanwe")</f>
        <v>igbanwe</v>
      </c>
      <c r="E1358" s="2" t="str">
        <f ca="1">IFERROR(__xludf.DUMMYFUNCTION("GOOGLETRANSLATE(B1358,""en"",""fr"")"),"varier")</f>
        <v>varier</v>
      </c>
      <c r="F1358" s="2" t="str">
        <f ca="1">IFERROR(__xludf.DUMMYFUNCTION("GOOGLETRANSLATE(B1358,""en"",""it"")"),"variare")</f>
        <v>variare</v>
      </c>
      <c r="G1358" s="2" t="str">
        <f ca="1">IFERROR(__xludf.DUMMYFUNCTION("GOOGLETRANSLATE(B1358,""en"",""de"")"),"variieren")</f>
        <v>variieren</v>
      </c>
      <c r="H1358" s="2" t="str">
        <f ca="1">IFERROR(__xludf.DUMMYFUNCTION("GOOGLETRANSLATE(B1358,""en"",""zh"")"),"各不相同")</f>
        <v>各不相同</v>
      </c>
      <c r="I1358" s="2" t="str">
        <f ca="1">IFERROR(__xludf.DUMMYFUNCTION("GOOGLETRANSLATE(B1358,""en"",""gd"")"),"eadar-dhealaichte")</f>
        <v>eadar-dhealaichte</v>
      </c>
    </row>
    <row r="1359" spans="1:9" ht="14.25" customHeight="1" x14ac:dyDescent="0.3">
      <c r="A1359" s="2">
        <v>1358</v>
      </c>
      <c r="B1359" s="3" t="s">
        <v>1366</v>
      </c>
      <c r="C1359" s="2" t="str">
        <f ca="1">IFERROR(__xludf.DUMMYFUNCTION("GOOGLETRANSLATE(B1359, ""en"",""es"")"),"ambiental")</f>
        <v>ambiental</v>
      </c>
      <c r="D1359" s="2" t="str">
        <f ca="1">IFERROR(__xludf.DUMMYFUNCTION("GOOGLETRANSLATE(B1359,""en"",""ig"")"),"gburugburu ebe obibi")</f>
        <v>gburugburu ebe obibi</v>
      </c>
      <c r="E1359" s="2" t="str">
        <f ca="1">IFERROR(__xludf.DUMMYFUNCTION("GOOGLETRANSLATE(B1359,""en"",""fr"")"),"environnement")</f>
        <v>environnement</v>
      </c>
      <c r="F1359" s="2" t="str">
        <f ca="1">IFERROR(__xludf.DUMMYFUNCTION("GOOGLETRANSLATE(B1359,""en"",""it"")"),"ambientale")</f>
        <v>ambientale</v>
      </c>
      <c r="G1359" s="2" t="str">
        <f ca="1">IFERROR(__xludf.DUMMYFUNCTION("GOOGLETRANSLATE(B1359,""en"",""de"")"),"Umwelt")</f>
        <v>Umwelt</v>
      </c>
      <c r="H1359" s="2" t="str">
        <f ca="1">IFERROR(__xludf.DUMMYFUNCTION("GOOGLETRANSLATE(B1359,""en"",""zh"")"),"环境的")</f>
        <v>环境的</v>
      </c>
      <c r="I1359" s="2" t="str">
        <f ca="1">IFERROR(__xludf.DUMMYFUNCTION("GOOGLETRANSLATE(B1359,""en"",""gd"")"),"Àrainneachd")</f>
        <v>Àrainneachd</v>
      </c>
    </row>
    <row r="1360" spans="1:9" ht="14.25" customHeight="1" x14ac:dyDescent="0.3">
      <c r="A1360" s="2">
        <v>1359</v>
      </c>
      <c r="B1360" s="3" t="s">
        <v>1367</v>
      </c>
      <c r="C1360" s="2" t="str">
        <f ca="1">IFERROR(__xludf.DUMMYFUNCTION("GOOGLETRANSLATE(B1360, ""en"",""es"")"),"sol")</f>
        <v>sol</v>
      </c>
      <c r="D1360" s="2" t="str">
        <f ca="1">IFERROR(__xludf.DUMMYFUNCTION("GOOGLETRANSLATE(B1360,""en"",""ig"")"),"anwu")</f>
        <v>anwu</v>
      </c>
      <c r="E1360" s="2" t="str">
        <f ca="1">IFERROR(__xludf.DUMMYFUNCTION("GOOGLETRANSLATE(B1360,""en"",""fr"")"),"soleil")</f>
        <v>soleil</v>
      </c>
      <c r="F1360" s="2" t="str">
        <f ca="1">IFERROR(__xludf.DUMMYFUNCTION("GOOGLETRANSLATE(B1360,""en"",""it"")"),"sole")</f>
        <v>sole</v>
      </c>
      <c r="G1360" s="2" t="str">
        <f ca="1">IFERROR(__xludf.DUMMYFUNCTION("GOOGLETRANSLATE(B1360,""en"",""de"")"),"Sonne")</f>
        <v>Sonne</v>
      </c>
      <c r="H1360" s="2" t="str">
        <f ca="1">IFERROR(__xludf.DUMMYFUNCTION("GOOGLETRANSLATE(B1360,""en"",""zh"")"),"太阳")</f>
        <v>太阳</v>
      </c>
      <c r="I1360" s="2" t="str">
        <f ca="1">IFERROR(__xludf.DUMMYFUNCTION("GOOGLETRANSLATE(B1360,""en"",""gd"")"),"grian")</f>
        <v>grian</v>
      </c>
    </row>
    <row r="1361" spans="1:9" ht="14.25" customHeight="1" x14ac:dyDescent="0.3">
      <c r="A1361" s="2">
        <v>1360</v>
      </c>
      <c r="B1361" s="3" t="s">
        <v>1368</v>
      </c>
      <c r="C1361" s="2" t="str">
        <f ca="1">IFERROR(__xludf.DUMMYFUNCTION("GOOGLETRANSLATE(B1361, ""en"",""es"")"),"saludable")</f>
        <v>saludable</v>
      </c>
      <c r="D1361" s="2" t="str">
        <f ca="1">IFERROR(__xludf.DUMMYFUNCTION("GOOGLETRANSLATE(B1361,""en"",""ig"")"),"keji ahu")</f>
        <v>keji ahu</v>
      </c>
      <c r="E1361" s="2" t="str">
        <f ca="1">IFERROR(__xludf.DUMMYFUNCTION("GOOGLETRANSLATE(B1361,""en"",""fr"")"),"en bonne santé")</f>
        <v>en bonne santé</v>
      </c>
      <c r="F1361" s="2" t="str">
        <f ca="1">IFERROR(__xludf.DUMMYFUNCTION("GOOGLETRANSLATE(B1361,""en"",""it"")"),"salutare")</f>
        <v>salutare</v>
      </c>
      <c r="G1361" s="2" t="str">
        <f ca="1">IFERROR(__xludf.DUMMYFUNCTION("GOOGLETRANSLATE(B1361,""en"",""de"")"),"gesund")</f>
        <v>gesund</v>
      </c>
      <c r="H1361" s="2" t="str">
        <f ca="1">IFERROR(__xludf.DUMMYFUNCTION("GOOGLETRANSLATE(B1361,""en"",""zh"")"),"健康")</f>
        <v>健康</v>
      </c>
      <c r="I1361" s="2" t="str">
        <f ca="1">IFERROR(__xludf.DUMMYFUNCTION("GOOGLETRANSLATE(B1361,""en"",""gd"")"),"fallain")</f>
        <v>fallain</v>
      </c>
    </row>
    <row r="1362" spans="1:9" ht="14.25" customHeight="1" x14ac:dyDescent="0.3">
      <c r="A1362" s="2">
        <v>1361</v>
      </c>
      <c r="B1362" s="3" t="s">
        <v>1369</v>
      </c>
      <c r="C1362" s="2" t="str">
        <f ca="1">IFERROR(__xludf.DUMMYFUNCTION("GOOGLETRANSLATE(B1362, ""en"",""es"")"),"explotar")</f>
        <v>explotar</v>
      </c>
      <c r="D1362" s="2" t="str">
        <f ca="1">IFERROR(__xludf.DUMMYFUNCTION("GOOGLETRANSLATE(B1362,""en"",""ig"")"),"igbu")</f>
        <v>igbu</v>
      </c>
      <c r="E1362" s="2" t="str">
        <f ca="1">IFERROR(__xludf.DUMMYFUNCTION("GOOGLETRANSLATE(B1362,""en"",""fr"")"),"souffler")</f>
        <v>souffler</v>
      </c>
      <c r="F1362" s="2" t="str">
        <f ca="1">IFERROR(__xludf.DUMMYFUNCTION("GOOGLETRANSLATE(B1362,""en"",""it"")"),"soffio")</f>
        <v>soffio</v>
      </c>
      <c r="G1362" s="2" t="str">
        <f ca="1">IFERROR(__xludf.DUMMYFUNCTION("GOOGLETRANSLATE(B1362,""en"",""de"")"),"Schlag")</f>
        <v>Schlag</v>
      </c>
      <c r="H1362" s="2" t="str">
        <f ca="1">IFERROR(__xludf.DUMMYFUNCTION("GOOGLETRANSLATE(B1362,""en"",""zh"")"),"吹")</f>
        <v>吹</v>
      </c>
      <c r="I1362" s="2" t="str">
        <f ca="1">IFERROR(__xludf.DUMMYFUNCTION("GOOGLETRANSLATE(B1362,""en"",""gd"")"),"buille")</f>
        <v>buille</v>
      </c>
    </row>
    <row r="1363" spans="1:9" ht="14.25" customHeight="1" x14ac:dyDescent="0.3">
      <c r="A1363" s="2">
        <v>1362</v>
      </c>
      <c r="B1363" s="3" t="s">
        <v>1370</v>
      </c>
      <c r="C1363" s="2" t="str">
        <f ca="1">IFERROR(__xludf.DUMMYFUNCTION("GOOGLETRANSLATE(B1363, ""en"",""es"")"),"volumen")</f>
        <v>volumen</v>
      </c>
      <c r="D1363" s="2" t="str">
        <f ca="1">IFERROR(__xludf.DUMMYFUNCTION("GOOGLETRANSLATE(B1363,""en"",""ig"")"),"ibu")</f>
        <v>ibu</v>
      </c>
      <c r="E1363" s="2" t="str">
        <f ca="1">IFERROR(__xludf.DUMMYFUNCTION("GOOGLETRANSLATE(B1363,""en"",""fr"")"),"volume")</f>
        <v>volume</v>
      </c>
      <c r="F1363" s="2" t="str">
        <f ca="1">IFERROR(__xludf.DUMMYFUNCTION("GOOGLETRANSLATE(B1363,""en"",""it"")"),"volume")</f>
        <v>volume</v>
      </c>
      <c r="G1363" s="2" t="str">
        <f ca="1">IFERROR(__xludf.DUMMYFUNCTION("GOOGLETRANSLATE(B1363,""en"",""de"")"),"Volumen")</f>
        <v>Volumen</v>
      </c>
      <c r="H1363" s="2" t="str">
        <f ca="1">IFERROR(__xludf.DUMMYFUNCTION("GOOGLETRANSLATE(B1363,""en"",""zh"")"),"体积")</f>
        <v>体积</v>
      </c>
      <c r="I1363" s="2" t="str">
        <f ca="1">IFERROR(__xludf.DUMMYFUNCTION("GOOGLETRANSLATE(B1363,""en"",""gd"")"),"tomhas-lìonaidh")</f>
        <v>tomhas-lìonaidh</v>
      </c>
    </row>
    <row r="1364" spans="1:9" ht="14.25" customHeight="1" x14ac:dyDescent="0.3">
      <c r="A1364" s="2">
        <v>1363</v>
      </c>
      <c r="B1364" s="3" t="s">
        <v>1371</v>
      </c>
      <c r="C1364" s="2" t="str">
        <f ca="1">IFERROR(__xludf.DUMMYFUNCTION("GOOGLETRANSLATE(B1364, ""en"",""es"")"),"ubicación")</f>
        <v>ubicación</v>
      </c>
      <c r="D1364" s="2" t="str">
        <f ca="1">IFERROR(__xludf.DUMMYFUNCTION("GOOGLETRANSLATE(B1364,""en"",""ig"")"),"mchputa")</f>
        <v>mchputa</v>
      </c>
      <c r="E1364" s="2" t="str">
        <f ca="1">IFERROR(__xludf.DUMMYFUNCTION("GOOGLETRANSLATE(B1364,""en"",""fr"")"),"emplacement")</f>
        <v>emplacement</v>
      </c>
      <c r="F1364" s="2" t="str">
        <f ca="1">IFERROR(__xludf.DUMMYFUNCTION("GOOGLETRANSLATE(B1364,""en"",""it"")"),"posizione")</f>
        <v>posizione</v>
      </c>
      <c r="G1364" s="2" t="str">
        <f ca="1">IFERROR(__xludf.DUMMYFUNCTION("GOOGLETRANSLATE(B1364,""en"",""de"")"),"Standort")</f>
        <v>Standort</v>
      </c>
      <c r="H1364" s="2" t="str">
        <f ca="1">IFERROR(__xludf.DUMMYFUNCTION("GOOGLETRANSLATE(B1364,""en"",""zh"")"),"地点")</f>
        <v>地点</v>
      </c>
      <c r="I1364" s="2" t="str">
        <f ca="1">IFERROR(__xludf.DUMMYFUNCTION("GOOGLETRANSLATE(B1364,""en"",""gd"")"),"Àite")</f>
        <v>Àite</v>
      </c>
    </row>
    <row r="1365" spans="1:9" ht="14.25" customHeight="1" x14ac:dyDescent="0.3">
      <c r="A1365" s="2">
        <v>1364</v>
      </c>
      <c r="B1365" s="3" t="s">
        <v>1372</v>
      </c>
      <c r="C1365" s="2" t="str">
        <f ca="1">IFERROR(__xludf.DUMMYFUNCTION("GOOGLETRANSLATE(B1365, ""en"",""es"")"),"invertir")</f>
        <v>invertir</v>
      </c>
      <c r="D1365" s="2" t="str">
        <f ca="1">IFERROR(__xludf.DUMMYFUNCTION("GOOGLETRANSLATE(B1365,""en"",""ig"")"),"itinye ego")</f>
        <v>itinye ego</v>
      </c>
      <c r="E1365" s="2" t="str">
        <f ca="1">IFERROR(__xludf.DUMMYFUNCTION("GOOGLETRANSLATE(B1365,""en"",""fr"")"),"investir")</f>
        <v>investir</v>
      </c>
      <c r="F1365" s="2" t="str">
        <f ca="1">IFERROR(__xludf.DUMMYFUNCTION("GOOGLETRANSLATE(B1365,""en"",""it"")"),"investire")</f>
        <v>investire</v>
      </c>
      <c r="G1365" s="2" t="str">
        <f ca="1">IFERROR(__xludf.DUMMYFUNCTION("GOOGLETRANSLATE(B1365,""en"",""de"")"),"investieren")</f>
        <v>investieren</v>
      </c>
      <c r="H1365" s="2" t="str">
        <f ca="1">IFERROR(__xludf.DUMMYFUNCTION("GOOGLETRANSLATE(B1365,""en"",""zh"")"),"投资")</f>
        <v>投资</v>
      </c>
      <c r="I1365" s="2" t="str">
        <f ca="1">IFERROR(__xludf.DUMMYFUNCTION("GOOGLETRANSLATE(B1365,""en"",""gd"")"),"Tasgadh")</f>
        <v>Tasgadh</v>
      </c>
    </row>
    <row r="1366" spans="1:9" ht="14.25" customHeight="1" x14ac:dyDescent="0.3">
      <c r="A1366" s="2">
        <v>1365</v>
      </c>
      <c r="B1366" s="3" t="s">
        <v>1373</v>
      </c>
      <c r="C1366" s="2" t="str">
        <f ca="1">IFERROR(__xludf.DUMMYFUNCTION("GOOGLETRANSLATE(B1366, ""en"",""es"")"),"proceder")</f>
        <v>proceder</v>
      </c>
      <c r="D1366" s="2" t="str">
        <f ca="1">IFERROR(__xludf.DUMMYFUNCTION("GOOGLETRANSLATE(B1366,""en"",""ig"")"),"gaba")</f>
        <v>gaba</v>
      </c>
      <c r="E1366" s="2" t="str">
        <f ca="1">IFERROR(__xludf.DUMMYFUNCTION("GOOGLETRANSLATE(B1366,""en"",""fr"")"),"procéder")</f>
        <v>procéder</v>
      </c>
      <c r="F1366" s="2" t="str">
        <f ca="1">IFERROR(__xludf.DUMMYFUNCTION("GOOGLETRANSLATE(B1366,""en"",""it"")"),"procedere")</f>
        <v>procedere</v>
      </c>
      <c r="G1366" s="2" t="str">
        <f ca="1">IFERROR(__xludf.DUMMYFUNCTION("GOOGLETRANSLATE(B1366,""en"",""de"")"),"fortfahren")</f>
        <v>fortfahren</v>
      </c>
      <c r="H1366" s="2" t="str">
        <f ca="1">IFERROR(__xludf.DUMMYFUNCTION("GOOGLETRANSLATE(B1366,""en"",""zh"")"),"继续")</f>
        <v>继续</v>
      </c>
      <c r="I1366" s="2" t="str">
        <f ca="1">IFERROR(__xludf.DUMMYFUNCTION("GOOGLETRANSLATE(B1366,""en"",""gd"")"),"Lean air adhart")</f>
        <v>Lean air adhart</v>
      </c>
    </row>
    <row r="1367" spans="1:9" ht="14.25" customHeight="1" x14ac:dyDescent="0.3">
      <c r="A1367" s="2">
        <v>1366</v>
      </c>
      <c r="B1367" s="3" t="s">
        <v>1374</v>
      </c>
      <c r="C1367" s="2" t="str">
        <f ca="1">IFERROR(__xludf.DUMMYFUNCTION("GOOGLETRANSLATE(B1367, ""en"",""es"")"),"lavar")</f>
        <v>lavar</v>
      </c>
      <c r="D1367" s="2" t="str">
        <f ca="1">IFERROR(__xludf.DUMMYFUNCTION("GOOGLETRANSLATE(B1367,""en"",""ig"")"),"suo")</f>
        <v>suo</v>
      </c>
      <c r="E1367" s="2" t="str">
        <f ca="1">IFERROR(__xludf.DUMMYFUNCTION("GOOGLETRANSLATE(B1367,""en"",""fr"")"),"laver")</f>
        <v>laver</v>
      </c>
      <c r="F1367" s="2" t="str">
        <f ca="1">IFERROR(__xludf.DUMMYFUNCTION("GOOGLETRANSLATE(B1367,""en"",""it"")"),"lavare")</f>
        <v>lavare</v>
      </c>
      <c r="G1367" s="2" t="str">
        <f ca="1">IFERROR(__xludf.DUMMYFUNCTION("GOOGLETRANSLATE(B1367,""en"",""de"")"),"waschen")</f>
        <v>waschen</v>
      </c>
      <c r="H1367" s="2" t="str">
        <f ca="1">IFERROR(__xludf.DUMMYFUNCTION("GOOGLETRANSLATE(B1367,""en"",""zh"")"),"洗")</f>
        <v>洗</v>
      </c>
      <c r="I1367" s="2" t="str">
        <f ca="1">IFERROR(__xludf.DUMMYFUNCTION("GOOGLETRANSLATE(B1367,""en"",""gd"")"),"nighe")</f>
        <v>nighe</v>
      </c>
    </row>
    <row r="1368" spans="1:9" ht="14.25" customHeight="1" x14ac:dyDescent="0.3">
      <c r="A1368" s="2">
        <v>1367</v>
      </c>
      <c r="B1368" s="3" t="s">
        <v>1375</v>
      </c>
      <c r="C1368" s="2" t="str">
        <f ca="1">IFERROR(__xludf.DUMMYFUNCTION("GOOGLETRANSLATE(B1368, ""en"",""es"")"),"actor")</f>
        <v>actor</v>
      </c>
      <c r="D1368" s="2" t="str">
        <f ca="1">IFERROR(__xludf.DUMMYFUNCTION("GOOGLETRANSLATE(B1368,""en"",""ig"")"),"omee")</f>
        <v>omee</v>
      </c>
      <c r="E1368" s="2" t="str">
        <f ca="1">IFERROR(__xludf.DUMMYFUNCTION("GOOGLETRANSLATE(B1368,""en"",""fr"")"),"acteur")</f>
        <v>acteur</v>
      </c>
      <c r="F1368" s="2" t="str">
        <f ca="1">IFERROR(__xludf.DUMMYFUNCTION("GOOGLETRANSLATE(B1368,""en"",""it"")"),"attore")</f>
        <v>attore</v>
      </c>
      <c r="G1368" s="2" t="str">
        <f ca="1">IFERROR(__xludf.DUMMYFUNCTION("GOOGLETRANSLATE(B1368,""en"",""de"")"),"Schauspieler")</f>
        <v>Schauspieler</v>
      </c>
      <c r="H1368" s="2" t="str">
        <f ca="1">IFERROR(__xludf.DUMMYFUNCTION("GOOGLETRANSLATE(B1368,""en"",""zh"")"),"演员")</f>
        <v>演员</v>
      </c>
      <c r="I1368" s="2" t="str">
        <f ca="1">IFERROR(__xludf.DUMMYFUNCTION("GOOGLETRANSLATE(B1368,""en"",""gd"")"),"Actore")</f>
        <v>Actore</v>
      </c>
    </row>
    <row r="1369" spans="1:9" ht="14.25" customHeight="1" x14ac:dyDescent="0.3">
      <c r="A1369" s="2">
        <v>1368</v>
      </c>
      <c r="B1369" s="3" t="s">
        <v>1376</v>
      </c>
      <c r="C1369" s="2" t="str">
        <f ca="1">IFERROR(__xludf.DUMMYFUNCTION("GOOGLETRANSLATE(B1369, ""en"",""es"")"),"contento")</f>
        <v>contento</v>
      </c>
      <c r="D1369" s="2" t="str">
        <f ca="1">IFERROR(__xludf.DUMMYFUNCTION("GOOGLETRANSLATE(B1369,""en"",""ig"")"),"obiuto")</f>
        <v>obiuto</v>
      </c>
      <c r="E1369" s="2" t="str">
        <f ca="1">IFERROR(__xludf.DUMMYFUNCTION("GOOGLETRANSLATE(B1369,""en"",""fr"")"),"content")</f>
        <v>content</v>
      </c>
      <c r="F1369" s="2" t="str">
        <f ca="1">IFERROR(__xludf.DUMMYFUNCTION("GOOGLETRANSLATE(B1369,""en"",""it"")"),"lieto")</f>
        <v>lieto</v>
      </c>
      <c r="G1369" s="2" t="str">
        <f ca="1">IFERROR(__xludf.DUMMYFUNCTION("GOOGLETRANSLATE(B1369,""en"",""de"")"),"froh")</f>
        <v>froh</v>
      </c>
      <c r="H1369" s="2" t="str">
        <f ca="1">IFERROR(__xludf.DUMMYFUNCTION("GOOGLETRANSLATE(B1369,""en"",""zh"")"),"高兴的")</f>
        <v>高兴的</v>
      </c>
      <c r="I1369" s="2" t="str">
        <f ca="1">IFERROR(__xludf.DUMMYFUNCTION("GOOGLETRANSLATE(B1369,""en"",""gd"")"),"Toilichte")</f>
        <v>Toilichte</v>
      </c>
    </row>
    <row r="1370" spans="1:9" ht="14.25" customHeight="1" x14ac:dyDescent="0.3">
      <c r="A1370" s="2">
        <v>1369</v>
      </c>
      <c r="B1370" s="3" t="s">
        <v>1377</v>
      </c>
      <c r="C1370" s="2" t="str">
        <f ca="1">IFERROR(__xludf.DUMMYFUNCTION("GOOGLETRANSLATE(B1370, ""en"",""es"")"),"cinta")</f>
        <v>cinta</v>
      </c>
      <c r="D1370" s="2" t="str">
        <f ca="1">IFERROR(__xludf.DUMMYFUNCTION("GOOGLETRANSLATE(B1370,""en"",""ig"")"),"tep")</f>
        <v>tep</v>
      </c>
      <c r="E1370" s="2" t="str">
        <f ca="1">IFERROR(__xludf.DUMMYFUNCTION("GOOGLETRANSLATE(B1370,""en"",""fr"")"),"ruban adhésif")</f>
        <v>ruban adhésif</v>
      </c>
      <c r="F1370" s="2" t="str">
        <f ca="1">IFERROR(__xludf.DUMMYFUNCTION("GOOGLETRANSLATE(B1370,""en"",""it"")"),"nastro")</f>
        <v>nastro</v>
      </c>
      <c r="G1370" s="2" t="str">
        <f ca="1">IFERROR(__xludf.DUMMYFUNCTION("GOOGLETRANSLATE(B1370,""en"",""de"")"),"Band")</f>
        <v>Band</v>
      </c>
      <c r="H1370" s="2" t="str">
        <f ca="1">IFERROR(__xludf.DUMMYFUNCTION("GOOGLETRANSLATE(B1370,""en"",""zh"")"),"磁带")</f>
        <v>磁带</v>
      </c>
      <c r="I1370" s="2" t="str">
        <f ca="1">IFERROR(__xludf.DUMMYFUNCTION("GOOGLETRANSLATE(B1370,""en"",""gd"")"),"teip")</f>
        <v>teip</v>
      </c>
    </row>
    <row r="1371" spans="1:9" ht="14.25" customHeight="1" x14ac:dyDescent="0.3">
      <c r="A1371" s="2">
        <v>1370</v>
      </c>
      <c r="B1371" s="3" t="s">
        <v>1378</v>
      </c>
      <c r="C1371" s="2" t="str">
        <f ca="1">IFERROR(__xludf.DUMMYFUNCTION("GOOGLETRANSLATE(B1371, ""en"",""es"")"),"mientras")</f>
        <v>mientras</v>
      </c>
      <c r="D1371" s="2" t="str">
        <f ca="1">IFERROR(__xludf.DUMMYFUNCTION("GOOGLETRANSLATE(B1371,""en"",""ig"")"),"ebe")</f>
        <v>ebe</v>
      </c>
      <c r="E1371" s="2" t="str">
        <f ca="1">IFERROR(__xludf.DUMMYFUNCTION("GOOGLETRANSLATE(B1371,""en"",""fr"")"),"alors que")</f>
        <v>alors que</v>
      </c>
      <c r="F1371" s="2" t="str">
        <f ca="1">IFERROR(__xludf.DUMMYFUNCTION("GOOGLETRANSLATE(B1371,""en"",""it"")"),"mentre")</f>
        <v>mentre</v>
      </c>
      <c r="G1371" s="2" t="str">
        <f ca="1">IFERROR(__xludf.DUMMYFUNCTION("GOOGLETRANSLATE(B1371,""en"",""de"")"),"wohingegen")</f>
        <v>wohingegen</v>
      </c>
      <c r="H1371" s="2" t="str">
        <f ca="1">IFERROR(__xludf.DUMMYFUNCTION("GOOGLETRANSLATE(B1371,""en"",""zh"")"),"然而")</f>
        <v>然而</v>
      </c>
      <c r="I1371" s="2" t="str">
        <f ca="1">IFERROR(__xludf.DUMMYFUNCTION("GOOGLETRANSLATE(B1371,""en"",""gd"")"),"ach")</f>
        <v>ach</v>
      </c>
    </row>
    <row r="1372" spans="1:9" ht="14.25" customHeight="1" x14ac:dyDescent="0.3">
      <c r="A1372" s="2">
        <v>1371</v>
      </c>
      <c r="B1372" s="3" t="s">
        <v>1379</v>
      </c>
      <c r="C1372" s="2" t="str">
        <f ca="1">IFERROR(__xludf.DUMMYFUNCTION("GOOGLETRANSLATE(B1372, ""en"",""es"")"),"opuesto")</f>
        <v>opuesto</v>
      </c>
      <c r="D1372" s="2" t="str">
        <f ca="1">IFERROR(__xludf.DUMMYFUNCTION("GOOGLETRANSLATE(B1372,""en"",""ig"")"),"nke ozo")</f>
        <v>nke ozo</v>
      </c>
      <c r="E1372" s="2" t="str">
        <f ca="1">IFERROR(__xludf.DUMMYFUNCTION("GOOGLETRANSLATE(B1372,""en"",""fr"")"),"opposé")</f>
        <v>opposé</v>
      </c>
      <c r="F1372" s="2" t="str">
        <f ca="1">IFERROR(__xludf.DUMMYFUNCTION("GOOGLETRANSLATE(B1372,""en"",""it"")"),"opposto")</f>
        <v>opposto</v>
      </c>
      <c r="G1372" s="2" t="str">
        <f ca="1">IFERROR(__xludf.DUMMYFUNCTION("GOOGLETRANSLATE(B1372,""en"",""de"")"),"Gegenteil")</f>
        <v>Gegenteil</v>
      </c>
      <c r="H1372" s="2" t="str">
        <f ca="1">IFERROR(__xludf.DUMMYFUNCTION("GOOGLETRANSLATE(B1372,""en"",""zh"")"),"对面的")</f>
        <v>对面的</v>
      </c>
      <c r="I1372" s="2" t="str">
        <f ca="1">IFERROR(__xludf.DUMMYFUNCTION("GOOGLETRANSLATE(B1372,""en"",""gd"")"),"mu choinneamh")</f>
        <v>mu choinneamh</v>
      </c>
    </row>
    <row r="1373" spans="1:9" ht="14.25" customHeight="1" x14ac:dyDescent="0.3">
      <c r="A1373" s="2">
        <v>1372</v>
      </c>
      <c r="B1373" s="3" t="s">
        <v>1380</v>
      </c>
      <c r="C1373" s="2" t="str">
        <f ca="1">IFERROR(__xludf.DUMMYFUNCTION("GOOGLETRANSLATE(B1373, ""en"",""es"")"),"piedra")</f>
        <v>piedra</v>
      </c>
      <c r="D1373" s="2" t="str">
        <f ca="1">IFERROR(__xludf.DUMMYFUNCTION("GOOGLETRANSLATE(B1373,""en"",""ig"")"),"okute")</f>
        <v>okute</v>
      </c>
      <c r="E1373" s="2" t="str">
        <f ca="1">IFERROR(__xludf.DUMMYFUNCTION("GOOGLETRANSLATE(B1373,""en"",""fr"")"),"pierre")</f>
        <v>pierre</v>
      </c>
      <c r="F1373" s="2" t="str">
        <f ca="1">IFERROR(__xludf.DUMMYFUNCTION("GOOGLETRANSLATE(B1373,""en"",""it"")"),"calcolo")</f>
        <v>calcolo</v>
      </c>
      <c r="G1373" s="2" t="str">
        <f ca="1">IFERROR(__xludf.DUMMYFUNCTION("GOOGLETRANSLATE(B1373,""en"",""de"")"),"Stein")</f>
        <v>Stein</v>
      </c>
      <c r="H1373" s="2" t="str">
        <f ca="1">IFERROR(__xludf.DUMMYFUNCTION("GOOGLETRANSLATE(B1373,""en"",""zh"")"),"石头")</f>
        <v>石头</v>
      </c>
      <c r="I1373" s="2" t="str">
        <f ca="1">IFERROR(__xludf.DUMMYFUNCTION("GOOGLETRANSLATE(B1373,""en"",""gd"")"),"Clach")</f>
        <v>Clach</v>
      </c>
    </row>
    <row r="1374" spans="1:9" ht="14.25" customHeight="1" x14ac:dyDescent="0.3">
      <c r="A1374" s="2">
        <v>1373</v>
      </c>
      <c r="B1374" s="3" t="s">
        <v>1381</v>
      </c>
      <c r="C1374" s="2" t="str">
        <f ca="1">IFERROR(__xludf.DUMMYFUNCTION("GOOGLETRANSLATE(B1374, ""en"",""es"")"),"suma")</f>
        <v>suma</v>
      </c>
      <c r="D1374" s="2" t="str">
        <f ca="1">IFERROR(__xludf.DUMMYFUNCTION("GOOGLETRANSLATE(B1374,""en"",""ig"")"),"nchikota")</f>
        <v>nchikota</v>
      </c>
      <c r="E1374" s="2" t="str">
        <f ca="1">IFERROR(__xludf.DUMMYFUNCTION("GOOGLETRANSLATE(B1374,""en"",""fr"")"),"somme")</f>
        <v>somme</v>
      </c>
      <c r="F1374" s="2" t="str">
        <f ca="1">IFERROR(__xludf.DUMMYFUNCTION("GOOGLETRANSLATE(B1374,""en"",""it"")"),"somma")</f>
        <v>somma</v>
      </c>
      <c r="G1374" s="2" t="str">
        <f ca="1">IFERROR(__xludf.DUMMYFUNCTION("GOOGLETRANSLATE(B1374,""en"",""de"")"),"Summe")</f>
        <v>Summe</v>
      </c>
      <c r="H1374" s="2" t="str">
        <f ca="1">IFERROR(__xludf.DUMMYFUNCTION("GOOGLETRANSLATE(B1374,""en"",""zh"")"),"和")</f>
        <v>和</v>
      </c>
      <c r="I1374" s="2" t="str">
        <f ca="1">IFERROR(__xludf.DUMMYFUNCTION("GOOGLETRANSLATE(B1374,""en"",""gd"")"),"suim")</f>
        <v>suim</v>
      </c>
    </row>
    <row r="1375" spans="1:9" ht="14.25" customHeight="1" x14ac:dyDescent="0.3">
      <c r="A1375" s="2">
        <v>1374</v>
      </c>
      <c r="B1375" s="3" t="s">
        <v>1382</v>
      </c>
      <c r="C1375" s="2" t="str">
        <f ca="1">IFERROR(__xludf.DUMMYFUNCTION("GOOGLETRANSLATE(B1375, ""en"",""es"")"),"asesinato")</f>
        <v>asesinato</v>
      </c>
      <c r="D1375" s="2" t="str">
        <f ca="1">IFERROR(__xludf.DUMMYFUNCTION("GOOGLETRANSLATE(B1375,""en"",""ig"")"),"ogbugbu")</f>
        <v>ogbugbu</v>
      </c>
      <c r="E1375" s="2" t="str">
        <f ca="1">IFERROR(__xludf.DUMMYFUNCTION("GOOGLETRANSLATE(B1375,""en"",""fr"")"),"meurtre")</f>
        <v>meurtre</v>
      </c>
      <c r="F1375" s="2" t="str">
        <f ca="1">IFERROR(__xludf.DUMMYFUNCTION("GOOGLETRANSLATE(B1375,""en"",""it"")"),"omicidio")</f>
        <v>omicidio</v>
      </c>
      <c r="G1375" s="2" t="str">
        <f ca="1">IFERROR(__xludf.DUMMYFUNCTION("GOOGLETRANSLATE(B1375,""en"",""de"")"),"Mord")</f>
        <v>Mord</v>
      </c>
      <c r="H1375" s="2" t="str">
        <f ca="1">IFERROR(__xludf.DUMMYFUNCTION("GOOGLETRANSLATE(B1375,""en"",""zh"")"),"谋杀")</f>
        <v>谋杀</v>
      </c>
      <c r="I1375" s="2" t="str">
        <f ca="1">IFERROR(__xludf.DUMMYFUNCTION("GOOGLETRANSLATE(B1375,""en"",""gd"")"),"murt")</f>
        <v>murt</v>
      </c>
    </row>
    <row r="1376" spans="1:9" ht="14.25" customHeight="1" x14ac:dyDescent="0.3">
      <c r="A1376" s="2">
        <v>1375</v>
      </c>
      <c r="B1376" s="3" t="s">
        <v>1383</v>
      </c>
      <c r="C1376" s="2" t="str">
        <f ca="1">IFERROR(__xludf.DUMMYFUNCTION("GOOGLETRANSLATE(B1376, ""en"",""es"")"),"monitor")</f>
        <v>monitor</v>
      </c>
      <c r="D1376" s="2" t="str">
        <f ca="1">IFERROR(__xludf.DUMMYFUNCTION("GOOGLETRANSLATE(B1376,""en"",""ig"")"),"ileba anya")</f>
        <v>ileba anya</v>
      </c>
      <c r="E1376" s="2" t="str">
        <f ca="1">IFERROR(__xludf.DUMMYFUNCTION("GOOGLETRANSLATE(B1376,""en"",""fr"")"),"moniteur")</f>
        <v>moniteur</v>
      </c>
      <c r="F1376" s="2" t="str">
        <f ca="1">IFERROR(__xludf.DUMMYFUNCTION("GOOGLETRANSLATE(B1376,""en"",""it"")"),"tenere sotto controllo")</f>
        <v>tenere sotto controllo</v>
      </c>
      <c r="G1376" s="2" t="str">
        <f ca="1">IFERROR(__xludf.DUMMYFUNCTION("GOOGLETRANSLATE(B1376,""en"",""de"")"),"Monitor")</f>
        <v>Monitor</v>
      </c>
      <c r="H1376" s="2" t="str">
        <f ca="1">IFERROR(__xludf.DUMMYFUNCTION("GOOGLETRANSLATE(B1376,""en"",""zh"")"),"监视器")</f>
        <v>监视器</v>
      </c>
      <c r="I1376" s="2" t="str">
        <f ca="1">IFERROR(__xludf.DUMMYFUNCTION("GOOGLETRANSLATE(B1376,""en"",""gd"")"),"Monitor")</f>
        <v>Monitor</v>
      </c>
    </row>
    <row r="1377" spans="1:9" ht="14.25" customHeight="1" x14ac:dyDescent="0.3">
      <c r="A1377" s="2">
        <v>1376</v>
      </c>
      <c r="B1377" s="3" t="s">
        <v>1384</v>
      </c>
      <c r="C1377" s="2" t="str">
        <f ca="1">IFERROR(__xludf.DUMMYFUNCTION("GOOGLETRANSLATE(B1377, ""en"",""es"")"),"soldado")</f>
        <v>soldado</v>
      </c>
      <c r="D1377" s="2" t="str">
        <f ca="1">IFERROR(__xludf.DUMMYFUNCTION("GOOGLETRANSLATE(B1377,""en"",""ig"")"),"ami")</f>
        <v>ami</v>
      </c>
      <c r="E1377" s="2" t="str">
        <f ca="1">IFERROR(__xludf.DUMMYFUNCTION("GOOGLETRANSLATE(B1377,""en"",""fr"")"),"soldat")</f>
        <v>soldat</v>
      </c>
      <c r="F1377" s="2" t="str">
        <f ca="1">IFERROR(__xludf.DUMMYFUNCTION("GOOGLETRANSLATE(B1377,""en"",""it"")"),"soldato")</f>
        <v>soldato</v>
      </c>
      <c r="G1377" s="2" t="str">
        <f ca="1">IFERROR(__xludf.DUMMYFUNCTION("GOOGLETRANSLATE(B1377,""en"",""de"")"),"Soldat")</f>
        <v>Soldat</v>
      </c>
      <c r="H1377" s="2" t="str">
        <f ca="1">IFERROR(__xludf.DUMMYFUNCTION("GOOGLETRANSLATE(B1377,""en"",""zh"")"),"士兵")</f>
        <v>士兵</v>
      </c>
      <c r="I1377" s="2" t="str">
        <f ca="1">IFERROR(__xludf.DUMMYFUNCTION("GOOGLETRANSLATE(B1377,""en"",""gd"")"),"Saighdear")</f>
        <v>Saighdear</v>
      </c>
    </row>
    <row r="1378" spans="1:9" ht="14.25" customHeight="1" x14ac:dyDescent="0.3">
      <c r="A1378" s="2">
        <v>1377</v>
      </c>
      <c r="B1378" s="3" t="s">
        <v>1385</v>
      </c>
      <c r="C1378" s="2" t="str">
        <f ca="1">IFERROR(__xludf.DUMMYFUNCTION("GOOGLETRANSLATE(B1378, ""en"",""es"")"),"finanzas")</f>
        <v>finanzas</v>
      </c>
      <c r="D1378" s="2" t="str">
        <f ca="1">IFERROR(__xludf.DUMMYFUNCTION("GOOGLETRANSLATE(B1378,""en"",""ig"")"),"ego")</f>
        <v>ego</v>
      </c>
      <c r="E1378" s="2" t="str">
        <f ca="1">IFERROR(__xludf.DUMMYFUNCTION("GOOGLETRANSLATE(B1378,""en"",""fr"")"),"finance")</f>
        <v>finance</v>
      </c>
      <c r="F1378" s="2" t="str">
        <f ca="1">IFERROR(__xludf.DUMMYFUNCTION("GOOGLETRANSLATE(B1378,""en"",""it"")"),"finanza")</f>
        <v>finanza</v>
      </c>
      <c r="G1378" s="2" t="str">
        <f ca="1">IFERROR(__xludf.DUMMYFUNCTION("GOOGLETRANSLATE(B1378,""en"",""de"")"),"Finanzen")</f>
        <v>Finanzen</v>
      </c>
      <c r="H1378" s="2" t="str">
        <f ca="1">IFERROR(__xludf.DUMMYFUNCTION("GOOGLETRANSLATE(B1378,""en"",""zh"")"),"金融")</f>
        <v>金融</v>
      </c>
      <c r="I1378" s="2" t="str">
        <f ca="1">IFERROR(__xludf.DUMMYFUNCTION("GOOGLETRANSLATE(B1378,""en"",""gd"")"),"Ionmhas")</f>
        <v>Ionmhas</v>
      </c>
    </row>
    <row r="1379" spans="1:9" ht="14.25" customHeight="1" x14ac:dyDescent="0.3">
      <c r="A1379" s="2">
        <v>1378</v>
      </c>
      <c r="B1379" s="3" t="s">
        <v>1386</v>
      </c>
      <c r="C1379" s="2" t="str">
        <f ca="1">IFERROR(__xludf.DUMMYFUNCTION("GOOGLETRANSLATE(B1379, ""en"",""es"")"),"odiar")</f>
        <v>odiar</v>
      </c>
      <c r="D1379" s="2" t="str">
        <f ca="1">IFERROR(__xludf.DUMMYFUNCTION("GOOGLETRANSLATE(B1379,""en"",""ig"")"),"asi")</f>
        <v>asi</v>
      </c>
      <c r="E1379" s="2" t="str">
        <f ca="1">IFERROR(__xludf.DUMMYFUNCTION("GOOGLETRANSLATE(B1379,""en"",""fr"")"),"détester")</f>
        <v>détester</v>
      </c>
      <c r="F1379" s="2" t="str">
        <f ca="1">IFERROR(__xludf.DUMMYFUNCTION("GOOGLETRANSLATE(B1379,""en"",""it"")"),"odio")</f>
        <v>odio</v>
      </c>
      <c r="G1379" s="2" t="str">
        <f ca="1">IFERROR(__xludf.DUMMYFUNCTION("GOOGLETRANSLATE(B1379,""en"",""de"")"),"hassen")</f>
        <v>hassen</v>
      </c>
      <c r="H1379" s="2" t="str">
        <f ca="1">IFERROR(__xludf.DUMMYFUNCTION("GOOGLETRANSLATE(B1379,""en"",""zh"")"),"恨")</f>
        <v>恨</v>
      </c>
      <c r="I1379" s="2" t="str">
        <f ca="1">IFERROR(__xludf.DUMMYFUNCTION("GOOGLETRANSLATE(B1379,""en"",""gd"")"),"gràin")</f>
        <v>gràin</v>
      </c>
    </row>
    <row r="1380" spans="1:9" ht="14.25" customHeight="1" x14ac:dyDescent="0.3">
      <c r="A1380" s="2">
        <v>1379</v>
      </c>
      <c r="B1380" s="3" t="s">
        <v>1387</v>
      </c>
      <c r="C1380" s="2" t="str">
        <f ca="1">IFERROR(__xludf.DUMMYFUNCTION("GOOGLETRANSLATE(B1380, ""en"",""es"")"),"huevo")</f>
        <v>huevo</v>
      </c>
      <c r="D1380" s="2" t="str">
        <f ca="1">IFERROR(__xludf.DUMMYFUNCTION("GOOGLETRANSLATE(B1380,""en"",""ig"")"),"akwa")</f>
        <v>akwa</v>
      </c>
      <c r="E1380" s="2" t="str">
        <f ca="1">IFERROR(__xludf.DUMMYFUNCTION("GOOGLETRANSLATE(B1380,""en"",""fr"")"),"œuf")</f>
        <v>œuf</v>
      </c>
      <c r="F1380" s="2" t="str">
        <f ca="1">IFERROR(__xludf.DUMMYFUNCTION("GOOGLETRANSLATE(B1380,""en"",""it"")"),"uovo")</f>
        <v>uovo</v>
      </c>
      <c r="G1380" s="2" t="str">
        <f ca="1">IFERROR(__xludf.DUMMYFUNCTION("GOOGLETRANSLATE(B1380,""en"",""de"")"),"Ei")</f>
        <v>Ei</v>
      </c>
      <c r="H1380" s="2" t="str">
        <f ca="1">IFERROR(__xludf.DUMMYFUNCTION("GOOGLETRANSLATE(B1380,""en"",""zh"")"),"蛋")</f>
        <v>蛋</v>
      </c>
      <c r="I1380" s="2" t="str">
        <f ca="1">IFERROR(__xludf.DUMMYFUNCTION("GOOGLETRANSLATE(B1380,""en"",""gd"")"),"ugh")</f>
        <v>ugh</v>
      </c>
    </row>
    <row r="1381" spans="1:9" ht="14.25" customHeight="1" x14ac:dyDescent="0.3">
      <c r="A1381" s="2">
        <v>1380</v>
      </c>
      <c r="B1381" s="3" t="s">
        <v>1388</v>
      </c>
      <c r="C1381" s="2" t="str">
        <f ca="1">IFERROR(__xludf.DUMMYFUNCTION("GOOGLETRANSLATE(B1381, ""en"",""es"")"),"concierto")</f>
        <v>concierto</v>
      </c>
      <c r="D1381" s="2" t="str">
        <f ca="1">IFERROR(__xludf.DUMMYFUNCTION("GOOGLETRANSLATE(B1381,""en"",""ig"")"),"mmeochi")</f>
        <v>mmeochi</v>
      </c>
      <c r="E1381" s="2" t="str">
        <f ca="1">IFERROR(__xludf.DUMMYFUNCTION("GOOGLETRANSLATE(B1381,""en"",""fr"")"),"concert")</f>
        <v>concert</v>
      </c>
      <c r="F1381" s="2" t="str">
        <f ca="1">IFERROR(__xludf.DUMMYFUNCTION("GOOGLETRANSLATE(B1381,""en"",""it"")"),"concerto")</f>
        <v>concerto</v>
      </c>
      <c r="G1381" s="2" t="str">
        <f ca="1">IFERROR(__xludf.DUMMYFUNCTION("GOOGLETRANSLATE(B1381,""en"",""de"")"),"Konzert")</f>
        <v>Konzert</v>
      </c>
      <c r="H1381" s="2" t="str">
        <f ca="1">IFERROR(__xludf.DUMMYFUNCTION("GOOGLETRANSLATE(B1381,""en"",""zh"")"),"音乐会")</f>
        <v>音乐会</v>
      </c>
      <c r="I1381" s="2" t="str">
        <f ca="1">IFERROR(__xludf.DUMMYFUNCTION("GOOGLETRANSLATE(B1381,""en"",""gd"")"),"Cuirm-chiùil")</f>
        <v>Cuirm-chiùil</v>
      </c>
    </row>
    <row r="1382" spans="1:9" ht="14.25" customHeight="1" x14ac:dyDescent="0.3">
      <c r="A1382" s="2">
        <v>1381</v>
      </c>
      <c r="B1382" s="3" t="s">
        <v>1389</v>
      </c>
      <c r="C1382" s="2" t="str">
        <f ca="1">IFERROR(__xludf.DUMMYFUNCTION("GOOGLETRANSLATE(B1382, ""en"",""es"")"),"choque")</f>
        <v>choque</v>
      </c>
      <c r="D1382" s="2" t="str">
        <f ca="1">IFERROR(__xludf.DUMMYFUNCTION("GOOGLETRANSLATE(B1382,""en"",""ig"")"),"ujo")</f>
        <v>ujo</v>
      </c>
      <c r="E1382" s="2" t="str">
        <f ca="1">IFERROR(__xludf.DUMMYFUNCTION("GOOGLETRANSLATE(B1382,""en"",""fr"")"),"choc")</f>
        <v>choc</v>
      </c>
      <c r="F1382" s="2" t="str">
        <f ca="1">IFERROR(__xludf.DUMMYFUNCTION("GOOGLETRANSLATE(B1382,""en"",""it"")"),"shock")</f>
        <v>shock</v>
      </c>
      <c r="G1382" s="2" t="str">
        <f ca="1">IFERROR(__xludf.DUMMYFUNCTION("GOOGLETRANSLATE(B1382,""en"",""de"")"),"Schock")</f>
        <v>Schock</v>
      </c>
      <c r="H1382" s="2" t="str">
        <f ca="1">IFERROR(__xludf.DUMMYFUNCTION("GOOGLETRANSLATE(B1382,""en"",""zh"")"),"震惊")</f>
        <v>震惊</v>
      </c>
      <c r="I1382" s="2" t="str">
        <f ca="1">IFERROR(__xludf.DUMMYFUNCTION("GOOGLETRANSLATE(B1382,""en"",""gd"")"),"clisgeadh")</f>
        <v>clisgeadh</v>
      </c>
    </row>
    <row r="1383" spans="1:9" ht="14.25" customHeight="1" x14ac:dyDescent="0.3">
      <c r="A1383" s="2">
        <v>1382</v>
      </c>
      <c r="B1383" s="3" t="s">
        <v>1390</v>
      </c>
      <c r="C1383" s="2" t="str">
        <f ca="1">IFERROR(__xludf.DUMMYFUNCTION("GOOGLETRANSLATE(B1383, ""en"",""es"")"),"cómodo")</f>
        <v>cómodo</v>
      </c>
      <c r="D1383" s="2" t="str">
        <f ca="1">IFERROR(__xludf.DUMMYFUNCTION("GOOGLETRANSLATE(B1383,""en"",""ig"")"),"kennotu")</f>
        <v>kennotu</v>
      </c>
      <c r="E1383" s="2" t="str">
        <f ca="1">IFERROR(__xludf.DUMMYFUNCTION("GOOGLETRANSLATE(B1383,""en"",""fr"")"),"confortable")</f>
        <v>confortable</v>
      </c>
      <c r="F1383" s="2" t="str">
        <f ca="1">IFERROR(__xludf.DUMMYFUNCTION("GOOGLETRANSLATE(B1383,""en"",""it"")"),"comodo")</f>
        <v>comodo</v>
      </c>
      <c r="G1383" s="2" t="str">
        <f ca="1">IFERROR(__xludf.DUMMYFUNCTION("GOOGLETRANSLATE(B1383,""en"",""de"")"),"komfortabel")</f>
        <v>komfortabel</v>
      </c>
      <c r="H1383" s="2" t="str">
        <f ca="1">IFERROR(__xludf.DUMMYFUNCTION("GOOGLETRANSLATE(B1383,""en"",""zh"")"),"舒服的")</f>
        <v>舒服的</v>
      </c>
      <c r="I1383" s="2" t="str">
        <f ca="1">IFERROR(__xludf.DUMMYFUNCTION("GOOGLETRANSLATE(B1383,""en"",""gd"")"),"comhfhurtail")</f>
        <v>comhfhurtail</v>
      </c>
    </row>
    <row r="1384" spans="1:9" ht="14.25" customHeight="1" x14ac:dyDescent="0.3">
      <c r="A1384" s="2">
        <v>1383</v>
      </c>
      <c r="B1384" s="3" t="s">
        <v>1391</v>
      </c>
      <c r="C1384" s="2" t="str">
        <f ca="1">IFERROR(__xludf.DUMMYFUNCTION("GOOGLETRANSLATE(B1384, ""en"",""es"")"),"habitual")</f>
        <v>habitual</v>
      </c>
      <c r="D1384" s="2" t="str">
        <f ca="1">IFERROR(__xludf.DUMMYFUNCTION("GOOGLETRANSLATE(B1384,""en"",""ig"")"),"otutu mgbe")</f>
        <v>otutu mgbe</v>
      </c>
      <c r="E1384" s="2" t="str">
        <f ca="1">IFERROR(__xludf.DUMMYFUNCTION("GOOGLETRANSLATE(B1384,""en"",""fr"")"),"habituel")</f>
        <v>habituel</v>
      </c>
      <c r="F1384" s="2" t="str">
        <f ca="1">IFERROR(__xludf.DUMMYFUNCTION("GOOGLETRANSLATE(B1384,""en"",""it"")"),"solito")</f>
        <v>solito</v>
      </c>
      <c r="G1384" s="2" t="str">
        <f ca="1">IFERROR(__xludf.DUMMYFUNCTION("GOOGLETRANSLATE(B1384,""en"",""de"")"),"üblich")</f>
        <v>üblich</v>
      </c>
      <c r="H1384" s="2" t="str">
        <f ca="1">IFERROR(__xludf.DUMMYFUNCTION("GOOGLETRANSLATE(B1384,""en"",""zh"")"),"通常")</f>
        <v>通常</v>
      </c>
      <c r="I1384" s="2" t="str">
        <f ca="1">IFERROR(__xludf.DUMMYFUNCTION("GOOGLETRANSLATE(B1384,""en"",""gd"")"),"àbhaisteach")</f>
        <v>àbhaisteach</v>
      </c>
    </row>
    <row r="1385" spans="1:9" ht="14.25" customHeight="1" x14ac:dyDescent="0.3">
      <c r="A1385" s="2">
        <v>1384</v>
      </c>
      <c r="B1385" s="3" t="s">
        <v>1392</v>
      </c>
      <c r="C1385" s="2" t="str">
        <f ca="1">IFERROR(__xludf.DUMMYFUNCTION("GOOGLETRANSLATE(B1385, ""en"",""es"")"),"con cuidado")</f>
        <v>con cuidado</v>
      </c>
      <c r="D1385" s="2" t="str">
        <f ca="1">IFERROR(__xludf.DUMMYFUNCTION("GOOGLETRANSLATE(B1385,""en"",""ig"")"),"kpachara anya")</f>
        <v>kpachara anya</v>
      </c>
      <c r="E1385" s="2" t="str">
        <f ca="1">IFERROR(__xludf.DUMMYFUNCTION("GOOGLETRANSLATE(B1385,""en"",""fr"")"),"soigneusement")</f>
        <v>soigneusement</v>
      </c>
      <c r="F1385" s="2" t="str">
        <f ca="1">IFERROR(__xludf.DUMMYFUNCTION("GOOGLETRANSLATE(B1385,""en"",""it"")"),"accuratamente")</f>
        <v>accuratamente</v>
      </c>
      <c r="G1385" s="2" t="str">
        <f ca="1">IFERROR(__xludf.DUMMYFUNCTION("GOOGLETRANSLATE(B1385,""en"",""de"")"),"sorgfältig")</f>
        <v>sorgfältig</v>
      </c>
      <c r="H1385" s="2" t="str">
        <f ca="1">IFERROR(__xludf.DUMMYFUNCTION("GOOGLETRANSLATE(B1385,""en"",""zh"")"),"小心")</f>
        <v>小心</v>
      </c>
      <c r="I1385" s="2" t="str">
        <f ca="1">IFERROR(__xludf.DUMMYFUNCTION("GOOGLETRANSLATE(B1385,""en"",""gd"")"),"gu faiceallach")</f>
        <v>gu faiceallach</v>
      </c>
    </row>
    <row r="1386" spans="1:9" ht="14.25" customHeight="1" x14ac:dyDescent="0.3">
      <c r="A1386" s="2">
        <v>1385</v>
      </c>
      <c r="B1386" s="3" t="s">
        <v>1393</v>
      </c>
      <c r="C1386" s="2" t="str">
        <f ca="1">IFERROR(__xludf.DUMMYFUNCTION("GOOGLETRANSLATE(B1386, ""en"",""es"")"),"embalar")</f>
        <v>embalar</v>
      </c>
      <c r="D1386" s="2" t="str">
        <f ca="1">IFERROR(__xludf.DUMMYFUNCTION("GOOGLETRANSLATE(B1386,""en"",""ig"")"),"bukota")</f>
        <v>bukota</v>
      </c>
      <c r="E1386" s="2" t="str">
        <f ca="1">IFERROR(__xludf.DUMMYFUNCTION("GOOGLETRANSLATE(B1386,""en"",""fr"")"),"paquet")</f>
        <v>paquet</v>
      </c>
      <c r="F1386" s="2" t="str">
        <f ca="1">IFERROR(__xludf.DUMMYFUNCTION("GOOGLETRANSLATE(B1386,""en"",""it"")"),"pacchetto")</f>
        <v>pacchetto</v>
      </c>
      <c r="G1386" s="2" t="str">
        <f ca="1">IFERROR(__xludf.DUMMYFUNCTION("GOOGLETRANSLATE(B1386,""en"",""de"")"),"Pack")</f>
        <v>Pack</v>
      </c>
      <c r="H1386" s="2" t="str">
        <f ca="1">IFERROR(__xludf.DUMMYFUNCTION("GOOGLETRANSLATE(B1386,""en"",""zh"")"),"盒")</f>
        <v>盒</v>
      </c>
      <c r="I1386" s="2" t="str">
        <f ca="1">IFERROR(__xludf.DUMMYFUNCTION("GOOGLETRANSLATE(B1386,""en"",""gd"")"),"pacaid")</f>
        <v>pacaid</v>
      </c>
    </row>
    <row r="1387" spans="1:9" ht="14.25" customHeight="1" x14ac:dyDescent="0.3">
      <c r="A1387" s="2">
        <v>1386</v>
      </c>
      <c r="B1387" s="3" t="s">
        <v>1394</v>
      </c>
      <c r="C1387" s="2" t="str">
        <f ca="1">IFERROR(__xludf.DUMMYFUNCTION("GOOGLETRANSLATE(B1387, ""en"",""es"")"),"recordar")</f>
        <v>recordar</v>
      </c>
      <c r="D1387" s="2" t="str">
        <f ca="1">IFERROR(__xludf.DUMMYFUNCTION("GOOGLETRANSLATE(B1387,""en"",""ig"")"),"icheta")</f>
        <v>icheta</v>
      </c>
      <c r="E1387" s="2" t="str">
        <f ca="1">IFERROR(__xludf.DUMMYFUNCTION("GOOGLETRANSLATE(B1387,""en"",""fr"")"),"rappel")</f>
        <v>rappel</v>
      </c>
      <c r="F1387" s="2" t="str">
        <f ca="1">IFERROR(__xludf.DUMMYFUNCTION("GOOGLETRANSLATE(B1387,""en"",""it"")"),"richiamare")</f>
        <v>richiamare</v>
      </c>
      <c r="G1387" s="2" t="str">
        <f ca="1">IFERROR(__xludf.DUMMYFUNCTION("GOOGLETRANSLATE(B1387,""en"",""de"")"),"abrufen")</f>
        <v>abrufen</v>
      </c>
      <c r="H1387" s="2" t="str">
        <f ca="1">IFERROR(__xludf.DUMMYFUNCTION("GOOGLETRANSLATE(B1387,""en"",""zh"")"),"记起")</f>
        <v>记起</v>
      </c>
      <c r="I1387" s="2" t="str">
        <f ca="1">IFERROR(__xludf.DUMMYFUNCTION("GOOGLETRANSLATE(B1387,""en"",""gd"")"),"Ath-ghairm")</f>
        <v>Ath-ghairm</v>
      </c>
    </row>
    <row r="1388" spans="1:9" ht="14.25" customHeight="1" x14ac:dyDescent="0.3">
      <c r="A1388" s="2">
        <v>1387</v>
      </c>
      <c r="B1388" s="3" t="s">
        <v>1395</v>
      </c>
      <c r="C1388" s="2" t="str">
        <f ca="1">IFERROR(__xludf.DUMMYFUNCTION("GOOGLETRANSLATE(B1388, ""en"",""es"")"),"vino")</f>
        <v>vino</v>
      </c>
      <c r="D1388" s="2" t="str">
        <f ca="1">IFERROR(__xludf.DUMMYFUNCTION("GOOGLETRANSLATE(B1388,""en"",""ig"")"),"mmanya")</f>
        <v>mmanya</v>
      </c>
      <c r="E1388" s="2" t="str">
        <f ca="1">IFERROR(__xludf.DUMMYFUNCTION("GOOGLETRANSLATE(B1388,""en"",""fr"")"),"vin")</f>
        <v>vin</v>
      </c>
      <c r="F1388" s="2" t="str">
        <f ca="1">IFERROR(__xludf.DUMMYFUNCTION("GOOGLETRANSLATE(B1388,""en"",""it"")"),"vino")</f>
        <v>vino</v>
      </c>
      <c r="G1388" s="2" t="str">
        <f ca="1">IFERROR(__xludf.DUMMYFUNCTION("GOOGLETRANSLATE(B1388,""en"",""de"")"),"Wein")</f>
        <v>Wein</v>
      </c>
      <c r="H1388" s="2" t="str">
        <f ca="1">IFERROR(__xludf.DUMMYFUNCTION("GOOGLETRANSLATE(B1388,""en"",""zh"")"),"葡萄酒")</f>
        <v>葡萄酒</v>
      </c>
      <c r="I1388" s="2" t="str">
        <f ca="1">IFERROR(__xludf.DUMMYFUNCTION("GOOGLETRANSLATE(B1388,""en"",""gd"")"),"fìon")</f>
        <v>fìon</v>
      </c>
    </row>
    <row r="1389" spans="1:9" ht="14.25" customHeight="1" x14ac:dyDescent="0.3">
      <c r="A1389" s="2">
        <v>1388</v>
      </c>
      <c r="B1389" s="3" t="s">
        <v>1396</v>
      </c>
      <c r="C1389" s="2" t="str">
        <f ca="1">IFERROR(__xludf.DUMMYFUNCTION("GOOGLETRANSLATE(B1389, ""en"",""es"")"),"cámara")</f>
        <v>cámara</v>
      </c>
      <c r="D1389" s="2" t="str">
        <f ca="1">IFERROR(__xludf.DUMMYFUNCTION("GOOGLETRANSLATE(B1389,""en"",""ig"")"),"kamera")</f>
        <v>kamera</v>
      </c>
      <c r="E1389" s="2" t="str">
        <f ca="1">IFERROR(__xludf.DUMMYFUNCTION("GOOGLETRANSLATE(B1389,""en"",""fr"")"),"caméra")</f>
        <v>caméra</v>
      </c>
      <c r="F1389" s="2" t="str">
        <f ca="1">IFERROR(__xludf.DUMMYFUNCTION("GOOGLETRANSLATE(B1389,""en"",""it"")"),"telecamera")</f>
        <v>telecamera</v>
      </c>
      <c r="G1389" s="2" t="str">
        <f ca="1">IFERROR(__xludf.DUMMYFUNCTION("GOOGLETRANSLATE(B1389,""en"",""de"")"),"Kamera")</f>
        <v>Kamera</v>
      </c>
      <c r="H1389" s="2" t="str">
        <f ca="1">IFERROR(__xludf.DUMMYFUNCTION("GOOGLETRANSLATE(B1389,""en"",""zh"")"),"相机")</f>
        <v>相机</v>
      </c>
      <c r="I1389" s="2" t="str">
        <f ca="1">IFERROR(__xludf.DUMMYFUNCTION("GOOGLETRANSLATE(B1389,""en"",""gd"")"),"Camara")</f>
        <v>Camara</v>
      </c>
    </row>
    <row r="1390" spans="1:9" ht="14.25" customHeight="1" x14ac:dyDescent="0.3">
      <c r="A1390" s="2">
        <v>1389</v>
      </c>
      <c r="B1390" s="3" t="s">
        <v>1397</v>
      </c>
      <c r="C1390" s="2" t="str">
        <f ca="1">IFERROR(__xludf.DUMMYFUNCTION("GOOGLETRANSLATE(B1390, ""en"",""es"")"),"nadar")</f>
        <v>nadar</v>
      </c>
      <c r="D1390" s="2" t="str">
        <f ca="1">IFERROR(__xludf.DUMMYFUNCTION("GOOGLETRANSLATE(B1390,""en"",""ig"")"),"gwuo")</f>
        <v>gwuo</v>
      </c>
      <c r="E1390" s="2" t="str">
        <f ca="1">IFERROR(__xludf.DUMMYFUNCTION("GOOGLETRANSLATE(B1390,""en"",""fr"")"),"nager")</f>
        <v>nager</v>
      </c>
      <c r="F1390" s="2" t="str">
        <f ca="1">IFERROR(__xludf.DUMMYFUNCTION("GOOGLETRANSLATE(B1390,""en"",""it"")"),"nuotare")</f>
        <v>nuotare</v>
      </c>
      <c r="G1390" s="2" t="str">
        <f ca="1">IFERROR(__xludf.DUMMYFUNCTION("GOOGLETRANSLATE(B1390,""en"",""de"")"),"schwimmen")</f>
        <v>schwimmen</v>
      </c>
      <c r="H1390" s="2" t="str">
        <f ca="1">IFERROR(__xludf.DUMMYFUNCTION("GOOGLETRANSLATE(B1390,""en"",""zh"")"),"游泳")</f>
        <v>游泳</v>
      </c>
      <c r="I1390" s="2" t="str">
        <f ca="1">IFERROR(__xludf.DUMMYFUNCTION("GOOGLETRANSLATE(B1390,""en"",""gd"")"),"snàmh")</f>
        <v>snàmh</v>
      </c>
    </row>
    <row r="1391" spans="1:9" ht="14.25" customHeight="1" x14ac:dyDescent="0.3">
      <c r="A1391" s="2">
        <v>1390</v>
      </c>
      <c r="B1391" s="3" t="s">
        <v>1398</v>
      </c>
      <c r="C1391" s="2" t="str">
        <f ca="1">IFERROR(__xludf.DUMMYFUNCTION("GOOGLETRANSLATE(B1391, ""en"",""es"")"),"fabricar")</f>
        <v>fabricar</v>
      </c>
      <c r="D1391" s="2" t="str">
        <f ca="1">IFERROR(__xludf.DUMMYFUNCTION("GOOGLETRANSLATE(B1391,""en"",""ig"")"),"imewe")</f>
        <v>imewe</v>
      </c>
      <c r="E1391" s="2" t="str">
        <f ca="1">IFERROR(__xludf.DUMMYFUNCTION("GOOGLETRANSLATE(B1391,""en"",""fr"")"),"fabrication")</f>
        <v>fabrication</v>
      </c>
      <c r="F1391" s="2" t="str">
        <f ca="1">IFERROR(__xludf.DUMMYFUNCTION("GOOGLETRANSLATE(B1391,""en"",""it"")"),"produzione")</f>
        <v>produzione</v>
      </c>
      <c r="G1391" s="2" t="str">
        <f ca="1">IFERROR(__xludf.DUMMYFUNCTION("GOOGLETRANSLATE(B1391,""en"",""de"")"),"Herstellung")</f>
        <v>Herstellung</v>
      </c>
      <c r="H1391" s="2" t="str">
        <f ca="1">IFERROR(__xludf.DUMMYFUNCTION("GOOGLETRANSLATE(B1391,""en"",""zh"")"),"生产")</f>
        <v>生产</v>
      </c>
      <c r="I1391" s="2" t="str">
        <f ca="1">IFERROR(__xludf.DUMMYFUNCTION("GOOGLETRANSLATE(B1391,""en"",""gd"")"),"saothrachadh")</f>
        <v>saothrachadh</v>
      </c>
    </row>
    <row r="1392" spans="1:9" ht="14.25" customHeight="1" x14ac:dyDescent="0.3">
      <c r="A1392" s="2">
        <v>1391</v>
      </c>
      <c r="B1392" s="3" t="s">
        <v>1399</v>
      </c>
      <c r="C1392" s="2" t="str">
        <f ca="1">IFERROR(__xludf.DUMMYFUNCTION("GOOGLETRANSLATE(B1392, ""en"",""es"")"),"teatro")</f>
        <v>teatro</v>
      </c>
      <c r="D1392" s="2" t="str">
        <f ca="1">IFERROR(__xludf.DUMMYFUNCTION("GOOGLETRANSLATE(B1392,""en"",""ig"")"),"ekwuru")</f>
        <v>ekwuru</v>
      </c>
      <c r="E1392" s="2" t="str">
        <f ca="1">IFERROR(__xludf.DUMMYFUNCTION("GOOGLETRANSLATE(B1392,""en"",""fr"")"),"théâtre")</f>
        <v>théâtre</v>
      </c>
      <c r="F1392" s="2" t="str">
        <f ca="1">IFERROR(__xludf.DUMMYFUNCTION("GOOGLETRANSLATE(B1392,""en"",""it"")"),"Teatro")</f>
        <v>Teatro</v>
      </c>
      <c r="G1392" s="2" t="str">
        <f ca="1">IFERROR(__xludf.DUMMYFUNCTION("GOOGLETRANSLATE(B1392,""en"",""de"")"),"Theater")</f>
        <v>Theater</v>
      </c>
      <c r="H1392" s="2" t="str">
        <f ca="1">IFERROR(__xludf.DUMMYFUNCTION("GOOGLETRANSLATE(B1392,""en"",""zh"")"),"剧院")</f>
        <v>剧院</v>
      </c>
      <c r="I1392" s="2" t="str">
        <f ca="1">IFERROR(__xludf.DUMMYFUNCTION("GOOGLETRANSLATE(B1392,""en"",""gd"")"),"theatar")</f>
        <v>theatar</v>
      </c>
    </row>
    <row r="1393" spans="1:9" ht="14.25" customHeight="1" x14ac:dyDescent="0.3">
      <c r="A1393" s="2">
        <v>1392</v>
      </c>
      <c r="B1393" s="3" t="s">
        <v>1400</v>
      </c>
      <c r="C1393" s="2" t="str">
        <f ca="1">IFERROR(__xludf.DUMMYFUNCTION("GOOGLETRANSLATE(B1393, ""en"",""es"")"),"ciclo")</f>
        <v>ciclo</v>
      </c>
      <c r="D1393" s="2" t="str">
        <f ca="1">IFERROR(__xludf.DUMMYFUNCTION("GOOGLETRANSLATE(B1393,""en"",""ig"")"),"eregide")</f>
        <v>eregide</v>
      </c>
      <c r="E1393" s="2" t="str">
        <f ca="1">IFERROR(__xludf.DUMMYFUNCTION("GOOGLETRANSLATE(B1393,""en"",""fr"")"),"faire du vélo")</f>
        <v>faire du vélo</v>
      </c>
      <c r="F1393" s="2" t="str">
        <f ca="1">IFERROR(__xludf.DUMMYFUNCTION("GOOGLETRANSLATE(B1393,""en"",""it"")"),"ciclo")</f>
        <v>ciclo</v>
      </c>
      <c r="G1393" s="2" t="str">
        <f ca="1">IFERROR(__xludf.DUMMYFUNCTION("GOOGLETRANSLATE(B1393,""en"",""de"")"),"Zyklus")</f>
        <v>Zyklus</v>
      </c>
      <c r="H1393" s="2" t="str">
        <f ca="1">IFERROR(__xludf.DUMMYFUNCTION("GOOGLETRANSLATE(B1393,""en"",""zh"")"),"循环")</f>
        <v>循环</v>
      </c>
      <c r="I1393" s="2" t="str">
        <f ca="1">IFERROR(__xludf.DUMMYFUNCTION("GOOGLETRANSLATE(B1393,""en"",""gd"")"),"Cearcall")</f>
        <v>Cearcall</v>
      </c>
    </row>
    <row r="1394" spans="1:9" ht="14.25" customHeight="1" x14ac:dyDescent="0.3">
      <c r="A1394" s="2">
        <v>1393</v>
      </c>
      <c r="B1394" s="3" t="s">
        <v>1401</v>
      </c>
      <c r="C1394" s="2" t="str">
        <f ca="1">IFERROR(__xludf.DUMMYFUNCTION("GOOGLETRANSLATE(B1394, ""en"",""es"")"),"café")</f>
        <v>café</v>
      </c>
      <c r="D1394" s="2" t="str">
        <f ca="1">IFERROR(__xludf.DUMMYFUNCTION("GOOGLETRANSLATE(B1394,""en"",""ig"")"),"kọfị")</f>
        <v>kọfị</v>
      </c>
      <c r="E1394" s="2" t="str">
        <f ca="1">IFERROR(__xludf.DUMMYFUNCTION("GOOGLETRANSLATE(B1394,""en"",""fr"")"),"café")</f>
        <v>café</v>
      </c>
      <c r="F1394" s="2" t="str">
        <f ca="1">IFERROR(__xludf.DUMMYFUNCTION("GOOGLETRANSLATE(B1394,""en"",""it"")"),"caffè")</f>
        <v>caffè</v>
      </c>
      <c r="G1394" s="2" t="str">
        <f ca="1">IFERROR(__xludf.DUMMYFUNCTION("GOOGLETRANSLATE(B1394,""en"",""de"")"),"Kaffee")</f>
        <v>Kaffee</v>
      </c>
      <c r="H1394" s="2" t="str">
        <f ca="1">IFERROR(__xludf.DUMMYFUNCTION("GOOGLETRANSLATE(B1394,""en"",""zh"")"),"咖啡")</f>
        <v>咖啡</v>
      </c>
      <c r="I1394" s="2" t="str">
        <f ca="1">IFERROR(__xludf.DUMMYFUNCTION("GOOGLETRANSLATE(B1394,""en"",""gd"")"),"cofaidh")</f>
        <v>cofaidh</v>
      </c>
    </row>
    <row r="1395" spans="1:9" ht="14.25" customHeight="1" x14ac:dyDescent="0.3">
      <c r="A1395" s="2">
        <v>1394</v>
      </c>
      <c r="B1395" s="3" t="s">
        <v>1402</v>
      </c>
      <c r="C1395" s="2" t="str">
        <f ca="1">IFERROR(__xludf.DUMMYFUNCTION("GOOGLETRANSLATE(B1395, ""en"",""es"")"),"totalmente")</f>
        <v>totalmente</v>
      </c>
      <c r="D1395" s="2" t="str">
        <f ca="1">IFERROR(__xludf.DUMMYFUNCTION("GOOGLETRANSLATE(B1395,""en"",""ig"")"),"mgbakotacha")</f>
        <v>mgbakotacha</v>
      </c>
      <c r="E1395" s="2" t="str">
        <f ca="1">IFERROR(__xludf.DUMMYFUNCTION("GOOGLETRANSLATE(B1395,""en"",""fr"")"),"totalement")</f>
        <v>totalement</v>
      </c>
      <c r="F1395" s="2" t="str">
        <f ca="1">IFERROR(__xludf.DUMMYFUNCTION("GOOGLETRANSLATE(B1395,""en"",""it"")"),"totalmente")</f>
        <v>totalmente</v>
      </c>
      <c r="G1395" s="2" t="str">
        <f ca="1">IFERROR(__xludf.DUMMYFUNCTION("GOOGLETRANSLATE(B1395,""en"",""de"")"),"total")</f>
        <v>total</v>
      </c>
      <c r="H1395" s="2" t="str">
        <f ca="1">IFERROR(__xludf.DUMMYFUNCTION("GOOGLETRANSLATE(B1395,""en"",""zh"")"),"完全")</f>
        <v>完全</v>
      </c>
      <c r="I1395" s="2" t="str">
        <f ca="1">IFERROR(__xludf.DUMMYFUNCTION("GOOGLETRANSLATE(B1395,""en"",""gd"")"),"gu tur")</f>
        <v>gu tur</v>
      </c>
    </row>
    <row r="1396" spans="1:9" ht="14.25" customHeight="1" x14ac:dyDescent="0.3">
      <c r="A1396" s="2">
        <v>1395</v>
      </c>
      <c r="B1396" s="3" t="s">
        <v>1403</v>
      </c>
      <c r="C1396" s="2" t="str">
        <f ca="1">IFERROR(__xludf.DUMMYFUNCTION("GOOGLETRANSLATE(B1396, ""en"",""es"")"),"museo")</f>
        <v>museo</v>
      </c>
      <c r="D1396" s="2" t="str">
        <f ca="1">IFERROR(__xludf.DUMMYFUNCTION("GOOGLETRANSLATE(B1396,""en"",""ig"")"),"oba nkaokpu")</f>
        <v>oba nkaokpu</v>
      </c>
      <c r="E1396" s="2" t="str">
        <f ca="1">IFERROR(__xludf.DUMMYFUNCTION("GOOGLETRANSLATE(B1396,""en"",""fr"")"),"musée")</f>
        <v>musée</v>
      </c>
      <c r="F1396" s="2" t="str">
        <f ca="1">IFERROR(__xludf.DUMMYFUNCTION("GOOGLETRANSLATE(B1396,""en"",""it"")"),"Museo")</f>
        <v>Museo</v>
      </c>
      <c r="G1396" s="2" t="str">
        <f ca="1">IFERROR(__xludf.DUMMYFUNCTION("GOOGLETRANSLATE(B1396,""en"",""de"")"),"Museum")</f>
        <v>Museum</v>
      </c>
      <c r="H1396" s="2" t="str">
        <f ca="1">IFERROR(__xludf.DUMMYFUNCTION("GOOGLETRANSLATE(B1396,""en"",""zh"")"),"博物馆")</f>
        <v>博物馆</v>
      </c>
      <c r="I1396" s="2" t="str">
        <f ca="1">IFERROR(__xludf.DUMMYFUNCTION("GOOGLETRANSLATE(B1396,""en"",""gd"")"),"Taigh-tasgaidh")</f>
        <v>Taigh-tasgaidh</v>
      </c>
    </row>
    <row r="1397" spans="1:9" ht="14.25" customHeight="1" x14ac:dyDescent="0.3">
      <c r="A1397" s="2">
        <v>1396</v>
      </c>
      <c r="B1397" s="3" t="s">
        <v>1404</v>
      </c>
      <c r="C1397" s="2" t="str">
        <f ca="1">IFERROR(__xludf.DUMMYFUNCTION("GOOGLETRANSLATE(B1397, ""en"",""es"")"),"visitante")</f>
        <v>visitante</v>
      </c>
      <c r="D1397" s="2" t="str">
        <f ca="1">IFERROR(__xludf.DUMMYFUNCTION("GOOGLETRANSLATE(B1397,""en"",""ig"")"),"onyeobia nwoke")</f>
        <v>onyeobia nwoke</v>
      </c>
      <c r="E1397" s="2" t="str">
        <f ca="1">IFERROR(__xludf.DUMMYFUNCTION("GOOGLETRANSLATE(B1397,""en"",""fr"")"),"visiteur")</f>
        <v>visiteur</v>
      </c>
      <c r="F1397" s="2" t="str">
        <f ca="1">IFERROR(__xludf.DUMMYFUNCTION("GOOGLETRANSLATE(B1397,""en"",""it"")"),"visitatore")</f>
        <v>visitatore</v>
      </c>
      <c r="G1397" s="2" t="str">
        <f ca="1">IFERROR(__xludf.DUMMYFUNCTION("GOOGLETRANSLATE(B1397,""en"",""de"")"),"Besucher")</f>
        <v>Besucher</v>
      </c>
      <c r="H1397" s="2" t="str">
        <f ca="1">IFERROR(__xludf.DUMMYFUNCTION("GOOGLETRANSLATE(B1397,""en"",""zh"")"),"游客")</f>
        <v>游客</v>
      </c>
      <c r="I1397" s="2" t="str">
        <f ca="1">IFERROR(__xludf.DUMMYFUNCTION("GOOGLETRANSLATE(B1397,""en"",""gd"")"),"Tadhail")</f>
        <v>Tadhail</v>
      </c>
    </row>
    <row r="1398" spans="1:9" ht="14.25" customHeight="1" x14ac:dyDescent="0.3">
      <c r="A1398" s="2">
        <v>1397</v>
      </c>
      <c r="B1398" s="3" t="s">
        <v>1405</v>
      </c>
      <c r="C1398" s="2" t="str">
        <f ca="1">IFERROR(__xludf.DUMMYFUNCTION("GOOGLETRANSLATE(B1398, ""en"",""es"")"),"libertad")</f>
        <v>libertad</v>
      </c>
      <c r="D1398" s="2" t="str">
        <f ca="1">IFERROR(__xludf.DUMMYFUNCTION("GOOGLETRANSLATE(B1398,""en"",""ig"")"),"nnwereonwe")</f>
        <v>nnwereonwe</v>
      </c>
      <c r="E1398" s="2" t="str">
        <f ca="1">IFERROR(__xludf.DUMMYFUNCTION("GOOGLETRANSLATE(B1398,""en"",""fr"")"),"liberté")</f>
        <v>liberté</v>
      </c>
      <c r="F1398" s="2" t="str">
        <f ca="1">IFERROR(__xludf.DUMMYFUNCTION("GOOGLETRANSLATE(B1398,""en"",""it"")"),"libertà")</f>
        <v>libertà</v>
      </c>
      <c r="G1398" s="2" t="str">
        <f ca="1">IFERROR(__xludf.DUMMYFUNCTION("GOOGLETRANSLATE(B1398,""en"",""de"")"),"Freiheit")</f>
        <v>Freiheit</v>
      </c>
      <c r="H1398" s="2" t="str">
        <f ca="1">IFERROR(__xludf.DUMMYFUNCTION("GOOGLETRANSLATE(B1398,""en"",""zh"")"),"自由")</f>
        <v>自由</v>
      </c>
      <c r="I1398" s="2" t="str">
        <f ca="1">IFERROR(__xludf.DUMMYFUNCTION("GOOGLETRANSLATE(B1398,""en"",""gd"")"),"Saorsa")</f>
        <v>Saorsa</v>
      </c>
    </row>
    <row r="1399" spans="1:9" ht="14.25" customHeight="1" x14ac:dyDescent="0.3">
      <c r="A1399" s="2">
        <v>1398</v>
      </c>
      <c r="B1399" s="3" t="s">
        <v>1406</v>
      </c>
      <c r="C1399" s="2" t="str">
        <f ca="1">IFERROR(__xludf.DUMMYFUNCTION("GOOGLETRANSLATE(B1399, ""en"",""es"")"),"construcción")</f>
        <v>construcción</v>
      </c>
      <c r="D1399" s="2" t="str">
        <f ca="1">IFERROR(__xludf.DUMMYFUNCTION("GOOGLETRANSLATE(B1399,""en"",""ig"")"),"mwube")</f>
        <v>mwube</v>
      </c>
      <c r="E1399" s="2" t="str">
        <f ca="1">IFERROR(__xludf.DUMMYFUNCTION("GOOGLETRANSLATE(B1399,""en"",""fr"")"),"construction")</f>
        <v>construction</v>
      </c>
      <c r="F1399" s="2" t="str">
        <f ca="1">IFERROR(__xludf.DUMMYFUNCTION("GOOGLETRANSLATE(B1399,""en"",""it"")"),"costruzione")</f>
        <v>costruzione</v>
      </c>
      <c r="G1399" s="2" t="str">
        <f ca="1">IFERROR(__xludf.DUMMYFUNCTION("GOOGLETRANSLATE(B1399,""en"",""de"")"),"Konstruktion")</f>
        <v>Konstruktion</v>
      </c>
      <c r="H1399" s="2" t="str">
        <f ca="1">IFERROR(__xludf.DUMMYFUNCTION("GOOGLETRANSLATE(B1399,""en"",""zh"")"),"建造")</f>
        <v>建造</v>
      </c>
      <c r="I1399" s="2" t="str">
        <f ca="1">IFERROR(__xludf.DUMMYFUNCTION("GOOGLETRANSLATE(B1399,""en"",""gd"")"),"togail")</f>
        <v>togail</v>
      </c>
    </row>
    <row r="1400" spans="1:9" ht="14.25" customHeight="1" x14ac:dyDescent="0.3">
      <c r="A1400" s="2">
        <v>1399</v>
      </c>
      <c r="B1400" s="3" t="s">
        <v>1407</v>
      </c>
      <c r="C1400" s="2" t="str">
        <f ca="1">IFERROR(__xludf.DUMMYFUNCTION("GOOGLETRANSLATE(B1400, ""en"",""es"")"),"estimado")</f>
        <v>estimado</v>
      </c>
      <c r="D1400" s="2" t="str">
        <f ca="1">IFERROR(__xludf.DUMMYFUNCTION("GOOGLETRANSLATE(B1400,""en"",""ig"")"),"nke oma")</f>
        <v>nke oma</v>
      </c>
      <c r="E1400" s="2" t="str">
        <f ca="1">IFERROR(__xludf.DUMMYFUNCTION("GOOGLETRANSLATE(B1400,""en"",""fr"")"),"cher")</f>
        <v>cher</v>
      </c>
      <c r="F1400" s="2" t="str">
        <f ca="1">IFERROR(__xludf.DUMMYFUNCTION("GOOGLETRANSLATE(B1400,""en"",""it"")"),"Caro")</f>
        <v>Caro</v>
      </c>
      <c r="G1400" s="2" t="str">
        <f ca="1">IFERROR(__xludf.DUMMYFUNCTION("GOOGLETRANSLATE(B1400,""en"",""de"")"),"Liebling")</f>
        <v>Liebling</v>
      </c>
      <c r="H1400" s="2" t="str">
        <f ca="1">IFERROR(__xludf.DUMMYFUNCTION("GOOGLETRANSLATE(B1400,""en"",""zh"")"),"亲爱的")</f>
        <v>亲爱的</v>
      </c>
      <c r="I1400" s="2" t="str">
        <f ca="1">IFERROR(__xludf.DUMMYFUNCTION("GOOGLETRANSLATE(B1400,""en"",""gd"")"),"Dear")</f>
        <v>Dear</v>
      </c>
    </row>
    <row r="1401" spans="1:9" ht="14.25" customHeight="1" x14ac:dyDescent="0.3">
      <c r="A1401" s="2">
        <v>1400</v>
      </c>
      <c r="B1401" s="3" t="s">
        <v>1408</v>
      </c>
      <c r="C1401" s="2" t="str">
        <f ca="1">IFERROR(__xludf.DUMMYFUNCTION("GOOGLETRANSLATE(B1401, ""en"",""es"")"),"objetivo")</f>
        <v>objetivo</v>
      </c>
      <c r="D1401" s="2" t="str">
        <f ca="1">IFERROR(__xludf.DUMMYFUNCTION("GOOGLETRANSLATE(B1401,""en"",""ig"")"),"mbunuuche")</f>
        <v>mbunuuche</v>
      </c>
      <c r="E1401" s="2" t="str">
        <f ca="1">IFERROR(__xludf.DUMMYFUNCTION("GOOGLETRANSLATE(B1401,""en"",""fr"")"),"objectif")</f>
        <v>objectif</v>
      </c>
      <c r="F1401" s="2" t="str">
        <f ca="1">IFERROR(__xludf.DUMMYFUNCTION("GOOGLETRANSLATE(B1401,""en"",""it"")"),"obbiettivo")</f>
        <v>obbiettivo</v>
      </c>
      <c r="G1401" s="2" t="str">
        <f ca="1">IFERROR(__xludf.DUMMYFUNCTION("GOOGLETRANSLATE(B1401,""en"",""de"")"),"Zielsetzung")</f>
        <v>Zielsetzung</v>
      </c>
      <c r="H1401" s="2" t="str">
        <f ca="1">IFERROR(__xludf.DUMMYFUNCTION("GOOGLETRANSLATE(B1401,""en"",""zh"")"),"客观的")</f>
        <v>客观的</v>
      </c>
      <c r="I1401" s="2" t="str">
        <f ca="1">IFERROR(__xludf.DUMMYFUNCTION("GOOGLETRANSLATE(B1401,""en"",""gd"")"),"Amas")</f>
        <v>Amas</v>
      </c>
    </row>
    <row r="1402" spans="1:9" ht="14.25" customHeight="1" x14ac:dyDescent="0.3">
      <c r="A1402" s="2">
        <v>1401</v>
      </c>
      <c r="B1402" s="3" t="s">
        <v>1409</v>
      </c>
      <c r="C1402" s="2" t="str">
        <f ca="1">IFERROR(__xludf.DUMMYFUNCTION("GOOGLETRANSLATE(B1402, ""en"",""es"")"),"además")</f>
        <v>además</v>
      </c>
      <c r="D1402" s="2" t="str">
        <f ca="1">IFERROR(__xludf.DUMMYFUNCTION("GOOGLETRANSLATE(B1402,""en"",""ig"")"),"ọzọ")</f>
        <v>ọzọ</v>
      </c>
      <c r="E1402" s="2" t="str">
        <f ca="1">IFERROR(__xludf.DUMMYFUNCTION("GOOGLETRANSLATE(B1402,""en"",""fr"")"),"de plus")</f>
        <v>de plus</v>
      </c>
      <c r="F1402" s="2" t="str">
        <f ca="1">IFERROR(__xludf.DUMMYFUNCTION("GOOGLETRANSLATE(B1402,""en"",""it"")"),"Inoltre")</f>
        <v>Inoltre</v>
      </c>
      <c r="G1402" s="2" t="str">
        <f ca="1">IFERROR(__xludf.DUMMYFUNCTION("GOOGLETRANSLATE(B1402,""en"",""de"")"),"darüber hinaus")</f>
        <v>darüber hinaus</v>
      </c>
      <c r="H1402" s="2" t="str">
        <f ca="1">IFERROR(__xludf.DUMMYFUNCTION("GOOGLETRANSLATE(B1402,""en"",""zh"")"),"而且")</f>
        <v>而且</v>
      </c>
      <c r="I1402" s="2" t="str">
        <f ca="1">IFERROR(__xludf.DUMMYFUNCTION("GOOGLETRANSLATE(B1402,""en"",""gd"")"),"A bharrachd air an sin")</f>
        <v>A bharrachd air an sin</v>
      </c>
    </row>
    <row r="1403" spans="1:9" ht="14.25" customHeight="1" x14ac:dyDescent="0.3">
      <c r="A1403" s="2">
        <v>1402</v>
      </c>
      <c r="B1403" s="3" t="s">
        <v>1410</v>
      </c>
      <c r="C1403" s="2" t="str">
        <f ca="1">IFERROR(__xludf.DUMMYFUNCTION("GOOGLETRANSLATE(B1403, ""en"",""es"")"),"sobre")</f>
        <v>sobre</v>
      </c>
      <c r="D1403" s="2" t="str">
        <f ca="1">IFERROR(__xludf.DUMMYFUNCTION("GOOGLETRANSLATE(B1403,""en"",""ig"")"),"oto")</f>
        <v>oto</v>
      </c>
      <c r="E1403" s="2" t="str">
        <f ca="1">IFERROR(__xludf.DUMMYFUNCTION("GOOGLETRANSLATE(B1403,""en"",""fr"")"),"sur")</f>
        <v>sur</v>
      </c>
      <c r="F1403" s="2" t="str">
        <f ca="1">IFERROR(__xludf.DUMMYFUNCTION("GOOGLETRANSLATE(B1403,""en"",""it"")"),"su")</f>
        <v>su</v>
      </c>
      <c r="G1403" s="2" t="str">
        <f ca="1">IFERROR(__xludf.DUMMYFUNCTION("GOOGLETRANSLATE(B1403,""en"",""de"")"),"auf zu")</f>
        <v>auf zu</v>
      </c>
      <c r="H1403" s="2" t="str">
        <f ca="1">IFERROR(__xludf.DUMMYFUNCTION("GOOGLETRANSLATE(B1403,""en"",""zh"")"),"到")</f>
        <v>到</v>
      </c>
      <c r="I1403" s="2" t="str">
        <f ca="1">IFERROR(__xludf.DUMMYFUNCTION("GOOGLETRANSLATE(B1403,""en"",""gd"")"),"air adhart")</f>
        <v>air adhart</v>
      </c>
    </row>
    <row r="1404" spans="1:9" ht="14.25" customHeight="1" x14ac:dyDescent="0.3">
      <c r="A1404" s="2">
        <v>1403</v>
      </c>
      <c r="B1404" s="3" t="s">
        <v>1411</v>
      </c>
      <c r="C1404" s="2" t="str">
        <f ca="1">IFERROR(__xludf.DUMMYFUNCTION("GOOGLETRANSLATE(B1404, ""en"",""es"")"),"histórico")</f>
        <v>histórico</v>
      </c>
      <c r="D1404" s="2" t="str">
        <f ca="1">IFERROR(__xludf.DUMMYFUNCTION("GOOGLETRANSLATE(B1404,""en"",""ig"")"),"keakuko")</f>
        <v>keakuko</v>
      </c>
      <c r="E1404" s="2" t="str">
        <f ca="1">IFERROR(__xludf.DUMMYFUNCTION("GOOGLETRANSLATE(B1404,""en"",""fr"")"),"historique")</f>
        <v>historique</v>
      </c>
      <c r="F1404" s="2" t="str">
        <f ca="1">IFERROR(__xludf.DUMMYFUNCTION("GOOGLETRANSLATE(B1404,""en"",""it"")"),"storico")</f>
        <v>storico</v>
      </c>
      <c r="G1404" s="2" t="str">
        <f ca="1">IFERROR(__xludf.DUMMYFUNCTION("GOOGLETRANSLATE(B1404,""en"",""de"")"),"historisch")</f>
        <v>historisch</v>
      </c>
      <c r="H1404" s="2" t="str">
        <f ca="1">IFERROR(__xludf.DUMMYFUNCTION("GOOGLETRANSLATE(B1404,""en"",""zh"")"),"历史")</f>
        <v>历史</v>
      </c>
      <c r="I1404" s="2" t="str">
        <f ca="1">IFERROR(__xludf.DUMMYFUNCTION("GOOGLETRANSLATE(B1404,""en"",""gd"")"),"Eachdraidheil")</f>
        <v>Eachdraidheil</v>
      </c>
    </row>
    <row r="1405" spans="1:9" ht="14.25" customHeight="1" x14ac:dyDescent="0.3">
      <c r="A1405" s="2">
        <v>1404</v>
      </c>
      <c r="B1405" s="3" t="s">
        <v>1412</v>
      </c>
      <c r="C1405" s="2" t="str">
        <f ca="1">IFERROR(__xludf.DUMMYFUNCTION("GOOGLETRANSLATE(B1405, ""en"",""es"")"),"oponerse a")</f>
        <v>oponerse a</v>
      </c>
      <c r="D1405" s="2" t="str">
        <f ca="1">IFERROR(__xludf.DUMMYFUNCTION("GOOGLETRANSLATE(B1405,""en"",""ig"")"),"ibuso agha")</f>
        <v>ibuso agha</v>
      </c>
      <c r="E1405" s="2" t="str">
        <f ca="1">IFERROR(__xludf.DUMMYFUNCTION("GOOGLETRANSLATE(B1405,""en"",""fr"")"),"s'opposer")</f>
        <v>s'opposer</v>
      </c>
      <c r="F1405" s="2" t="str">
        <f ca="1">IFERROR(__xludf.DUMMYFUNCTION("GOOGLETRANSLATE(B1405,""en"",""it"")"),"opporsi")</f>
        <v>opporsi</v>
      </c>
      <c r="G1405" s="2" t="str">
        <f ca="1">IFERROR(__xludf.DUMMYFUNCTION("GOOGLETRANSLATE(B1405,""en"",""de"")"),"ablehnen")</f>
        <v>ablehnen</v>
      </c>
      <c r="H1405" s="2" t="str">
        <f ca="1">IFERROR(__xludf.DUMMYFUNCTION("GOOGLETRANSLATE(B1405,""en"",""zh"")"),"反对")</f>
        <v>反对</v>
      </c>
      <c r="I1405" s="2" t="str">
        <f ca="1">IFERROR(__xludf.DUMMYFUNCTION("GOOGLETRANSLATE(B1405,""en"",""gd"")"),"cuir an aghaidh")</f>
        <v>cuir an aghaidh</v>
      </c>
    </row>
    <row r="1406" spans="1:9" ht="14.25" customHeight="1" x14ac:dyDescent="0.3">
      <c r="A1406" s="2">
        <v>1405</v>
      </c>
      <c r="B1406" s="3" t="s">
        <v>1413</v>
      </c>
      <c r="C1406" s="2" t="str">
        <f ca="1">IFERROR(__xludf.DUMMYFUNCTION("GOOGLETRANSLATE(B1406, ""en"",""es"")"),"rama")</f>
        <v>rama</v>
      </c>
      <c r="D1406" s="2" t="str">
        <f ca="1">IFERROR(__xludf.DUMMYFUNCTION("GOOGLETRANSLATE(B1406,""en"",""ig"")"),"mpalaga osisi")</f>
        <v>mpalaga osisi</v>
      </c>
      <c r="E1406" s="2" t="str">
        <f ca="1">IFERROR(__xludf.DUMMYFUNCTION("GOOGLETRANSLATE(B1406,""en"",""fr"")"),"bifurquer")</f>
        <v>bifurquer</v>
      </c>
      <c r="F1406" s="2" t="str">
        <f ca="1">IFERROR(__xludf.DUMMYFUNCTION("GOOGLETRANSLATE(B1406,""en"",""it"")"),"ramo")</f>
        <v>ramo</v>
      </c>
      <c r="G1406" s="2" t="str">
        <f ca="1">IFERROR(__xludf.DUMMYFUNCTION("GOOGLETRANSLATE(B1406,""en"",""de"")"),"Zweig")</f>
        <v>Zweig</v>
      </c>
      <c r="H1406" s="2" t="str">
        <f ca="1">IFERROR(__xludf.DUMMYFUNCTION("GOOGLETRANSLATE(B1406,""en"",""zh"")"),"分支")</f>
        <v>分支</v>
      </c>
      <c r="I1406" s="2" t="str">
        <f ca="1">IFERROR(__xludf.DUMMYFUNCTION("GOOGLETRANSLATE(B1406,""en"",""gd"")"),"meur")</f>
        <v>meur</v>
      </c>
    </row>
    <row r="1407" spans="1:9" ht="14.25" customHeight="1" x14ac:dyDescent="0.3">
      <c r="A1407" s="2">
        <v>1406</v>
      </c>
      <c r="B1407" s="3" t="s">
        <v>1414</v>
      </c>
      <c r="C1407" s="2" t="str">
        <f ca="1">IFERROR(__xludf.DUMMYFUNCTION("GOOGLETRANSLATE(B1407, ""en"",""es"")"),"vehículo")</f>
        <v>vehículo</v>
      </c>
      <c r="D1407" s="2" t="str">
        <f ca="1">IFERROR(__xludf.DUMMYFUNCTION("GOOGLETRANSLATE(B1407,""en"",""ig"")"),"ugbo")</f>
        <v>ugbo</v>
      </c>
      <c r="E1407" s="2" t="str">
        <f ca="1">IFERROR(__xludf.DUMMYFUNCTION("GOOGLETRANSLATE(B1407,""en"",""fr"")"),"véhicule")</f>
        <v>véhicule</v>
      </c>
      <c r="F1407" s="2" t="str">
        <f ca="1">IFERROR(__xludf.DUMMYFUNCTION("GOOGLETRANSLATE(B1407,""en"",""it"")"),"veicolo")</f>
        <v>veicolo</v>
      </c>
      <c r="G1407" s="2" t="str">
        <f ca="1">IFERROR(__xludf.DUMMYFUNCTION("GOOGLETRANSLATE(B1407,""en"",""de"")"),"Fahrzeug")</f>
        <v>Fahrzeug</v>
      </c>
      <c r="H1407" s="2" t="str">
        <f ca="1">IFERROR(__xludf.DUMMYFUNCTION("GOOGLETRANSLATE(B1407,""en"",""zh"")"),"车辆")</f>
        <v>车辆</v>
      </c>
      <c r="I1407" s="2" t="str">
        <f ca="1">IFERROR(__xludf.DUMMYFUNCTION("GOOGLETRANSLATE(B1407,""en"",""gd"")"),"carbad")</f>
        <v>carbad</v>
      </c>
    </row>
    <row r="1408" spans="1:9" ht="14.25" customHeight="1" x14ac:dyDescent="0.3">
      <c r="A1408" s="2">
        <v>1407</v>
      </c>
      <c r="B1408" s="3" t="s">
        <v>1415</v>
      </c>
      <c r="C1408" s="2" t="str">
        <f ca="1">IFERROR(__xludf.DUMMYFUNCTION("GOOGLETRANSLATE(B1408, ""en"",""es"")"),"científico")</f>
        <v>científico</v>
      </c>
      <c r="D1408" s="2" t="str">
        <f ca="1">IFERROR(__xludf.DUMMYFUNCTION("GOOGLETRANSLATE(B1408,""en"",""ig"")"),"sayentist nwoke")</f>
        <v>sayentist nwoke</v>
      </c>
      <c r="E1408" s="2" t="str">
        <f ca="1">IFERROR(__xludf.DUMMYFUNCTION("GOOGLETRANSLATE(B1408,""en"",""fr"")"),"scientifique")</f>
        <v>scientifique</v>
      </c>
      <c r="F1408" s="2" t="str">
        <f ca="1">IFERROR(__xludf.DUMMYFUNCTION("GOOGLETRANSLATE(B1408,""en"",""it"")"),"scienziato")</f>
        <v>scienziato</v>
      </c>
      <c r="G1408" s="2" t="str">
        <f ca="1">IFERROR(__xludf.DUMMYFUNCTION("GOOGLETRANSLATE(B1408,""en"",""de"")"),"Wissenschaftler")</f>
        <v>Wissenschaftler</v>
      </c>
      <c r="H1408" s="2" t="str">
        <f ca="1">IFERROR(__xludf.DUMMYFUNCTION("GOOGLETRANSLATE(B1408,""en"",""zh"")"),"科学家")</f>
        <v>科学家</v>
      </c>
      <c r="I1408" s="2" t="str">
        <f ca="1">IFERROR(__xludf.DUMMYFUNCTION("GOOGLETRANSLATE(B1408,""en"",""gd"")"),"neach-saidheans")</f>
        <v>neach-saidheans</v>
      </c>
    </row>
    <row r="1409" spans="1:9" ht="14.25" customHeight="1" x14ac:dyDescent="0.3">
      <c r="A1409" s="2">
        <v>1408</v>
      </c>
      <c r="B1409" s="3" t="s">
        <v>1416</v>
      </c>
      <c r="C1409" s="2" t="str">
        <f ca="1">IFERROR(__xludf.DUMMYFUNCTION("GOOGLETRANSLATE(B1409, ""en"",""es"")"),"ruta")</f>
        <v>ruta</v>
      </c>
      <c r="D1409" s="2" t="str">
        <f ca="1">IFERROR(__xludf.DUMMYFUNCTION("GOOGLETRANSLATE(B1409,""en"",""ig"")"),"uzo")</f>
        <v>uzo</v>
      </c>
      <c r="E1409" s="2" t="str">
        <f ca="1">IFERROR(__xludf.DUMMYFUNCTION("GOOGLETRANSLATE(B1409,""en"",""fr"")"),"itinéraire")</f>
        <v>itinéraire</v>
      </c>
      <c r="F1409" s="2" t="str">
        <f ca="1">IFERROR(__xludf.DUMMYFUNCTION("GOOGLETRANSLATE(B1409,""en"",""it"")"),"itinerario")</f>
        <v>itinerario</v>
      </c>
      <c r="G1409" s="2" t="str">
        <f ca="1">IFERROR(__xludf.DUMMYFUNCTION("GOOGLETRANSLATE(B1409,""en"",""de"")"),"Route")</f>
        <v>Route</v>
      </c>
      <c r="H1409" s="2" t="str">
        <f ca="1">IFERROR(__xludf.DUMMYFUNCTION("GOOGLETRANSLATE(B1409,""en"",""zh"")"),"路线")</f>
        <v>路线</v>
      </c>
      <c r="I1409" s="2" t="str">
        <f ca="1">IFERROR(__xludf.DUMMYFUNCTION("GOOGLETRANSLATE(B1409,""en"",""gd"")"),"Slighe")</f>
        <v>Slighe</v>
      </c>
    </row>
    <row r="1410" spans="1:9" ht="14.25" customHeight="1" x14ac:dyDescent="0.3">
      <c r="A1410" s="2">
        <v>1409</v>
      </c>
      <c r="B1410" s="3" t="s">
        <v>1417</v>
      </c>
      <c r="C1410" s="2" t="str">
        <f ca="1">IFERROR(__xludf.DUMMYFUNCTION("GOOGLETRANSLATE(B1410, ""en"",""es"")"),"unir")</f>
        <v>unir</v>
      </c>
      <c r="D1410" s="2" t="str">
        <f ca="1">IFERROR(__xludf.DUMMYFUNCTION("GOOGLETRANSLATE(B1410,""en"",""ig"")"),"iragide")</f>
        <v>iragide</v>
      </c>
      <c r="E1410" s="2" t="str">
        <f ca="1">IFERROR(__xludf.DUMMYFUNCTION("GOOGLETRANSLATE(B1410,""en"",""fr"")"),"lier")</f>
        <v>lier</v>
      </c>
      <c r="F1410" s="2" t="str">
        <f ca="1">IFERROR(__xludf.DUMMYFUNCTION("GOOGLETRANSLATE(B1410,""en"",""it"")"),"legamento")</f>
        <v>legamento</v>
      </c>
      <c r="G1410" s="2" t="str">
        <f ca="1">IFERROR(__xludf.DUMMYFUNCTION("GOOGLETRANSLATE(B1410,""en"",""de"")"),"binden")</f>
        <v>binden</v>
      </c>
      <c r="H1410" s="2" t="str">
        <f ca="1">IFERROR(__xludf.DUMMYFUNCTION("GOOGLETRANSLATE(B1410,""en"",""zh"")"),"绑定")</f>
        <v>绑定</v>
      </c>
      <c r="I1410" s="2" t="str">
        <f ca="1">IFERROR(__xludf.DUMMYFUNCTION("GOOGLETRANSLATE(B1410,""en"",""gd"")"),"ceangail")</f>
        <v>ceangail</v>
      </c>
    </row>
    <row r="1411" spans="1:9" ht="14.25" customHeight="1" x14ac:dyDescent="0.3">
      <c r="A1411" s="2">
        <v>1410</v>
      </c>
      <c r="B1411" s="3" t="s">
        <v>1418</v>
      </c>
      <c r="C1411" s="2" t="str">
        <f ca="1">IFERROR(__xludf.DUMMYFUNCTION("GOOGLETRANSLATE(B1411, ""en"",""es"")"),"pertenecer")</f>
        <v>pertenecer</v>
      </c>
      <c r="D1411" s="2" t="str">
        <f ca="1">IFERROR(__xludf.DUMMYFUNCTION("GOOGLETRANSLATE(B1411,""en"",""ig"")"),"iso")</f>
        <v>iso</v>
      </c>
      <c r="E1411" s="2" t="str">
        <f ca="1">IFERROR(__xludf.DUMMYFUNCTION("GOOGLETRANSLATE(B1411,""en"",""fr"")"),"appartenir")</f>
        <v>appartenir</v>
      </c>
      <c r="F1411" s="2" t="str">
        <f ca="1">IFERROR(__xludf.DUMMYFUNCTION("GOOGLETRANSLATE(B1411,""en"",""it"")"),"appartenere")</f>
        <v>appartenere</v>
      </c>
      <c r="G1411" s="2" t="str">
        <f ca="1">IFERROR(__xludf.DUMMYFUNCTION("GOOGLETRANSLATE(B1411,""en"",""de"")"),"gehören")</f>
        <v>gehören</v>
      </c>
      <c r="H1411" s="2" t="str">
        <f ca="1">IFERROR(__xludf.DUMMYFUNCTION("GOOGLETRANSLATE(B1411,""en"",""zh"")"),"属于")</f>
        <v>属于</v>
      </c>
      <c r="I1411" s="2" t="str">
        <f ca="1">IFERROR(__xludf.DUMMYFUNCTION("GOOGLETRANSLATE(B1411,""en"",""gd"")"),"buinidh")</f>
        <v>buinidh</v>
      </c>
    </row>
    <row r="1412" spans="1:9" ht="14.25" customHeight="1" x14ac:dyDescent="0.3">
      <c r="A1412" s="2">
        <v>1411</v>
      </c>
      <c r="B1412" s="3" t="s">
        <v>1419</v>
      </c>
      <c r="C1412" s="2" t="str">
        <f ca="1">IFERROR(__xludf.DUMMYFUNCTION("GOOGLETRANSLATE(B1412, ""en"",""es"")"),"gusto")</f>
        <v>gusto</v>
      </c>
      <c r="D1412" s="2" t="str">
        <f ca="1">IFERROR(__xludf.DUMMYFUNCTION("GOOGLETRANSLATE(B1412,""en"",""ig"")"),"uto")</f>
        <v>uto</v>
      </c>
      <c r="E1412" s="2" t="str">
        <f ca="1">IFERROR(__xludf.DUMMYFUNCTION("GOOGLETRANSLATE(B1412,""en"",""fr"")"),"goût")</f>
        <v>goût</v>
      </c>
      <c r="F1412" s="2" t="str">
        <f ca="1">IFERROR(__xludf.DUMMYFUNCTION("GOOGLETRANSLATE(B1412,""en"",""it"")"),"gusto")</f>
        <v>gusto</v>
      </c>
      <c r="G1412" s="2" t="str">
        <f ca="1">IFERROR(__xludf.DUMMYFUNCTION("GOOGLETRANSLATE(B1412,""en"",""de"")"),"schmecken")</f>
        <v>schmecken</v>
      </c>
      <c r="H1412" s="2" t="str">
        <f ca="1">IFERROR(__xludf.DUMMYFUNCTION("GOOGLETRANSLATE(B1412,""en"",""zh"")"),"品尝")</f>
        <v>品尝</v>
      </c>
      <c r="I1412" s="2" t="str">
        <f ca="1">IFERROR(__xludf.DUMMYFUNCTION("GOOGLETRANSLATE(B1412,""en"",""gd"")"),"blas")</f>
        <v>blas</v>
      </c>
    </row>
    <row r="1413" spans="1:9" ht="14.25" customHeight="1" x14ac:dyDescent="0.3">
      <c r="A1413" s="2">
        <v>1412</v>
      </c>
      <c r="B1413" s="3" t="s">
        <v>1420</v>
      </c>
      <c r="C1413" s="2" t="str">
        <f ca="1">IFERROR(__xludf.DUMMYFUNCTION("GOOGLETRANSLATE(B1413, ""en"",""es"")"),"esta noche")</f>
        <v>esta noche</v>
      </c>
      <c r="D1413" s="2" t="str">
        <f ca="1">IFERROR(__xludf.DUMMYFUNCTION("GOOGLETRANSLATE(B1413,""en"",""ig"")"),"abalita")</f>
        <v>abalita</v>
      </c>
      <c r="E1413" s="2" t="str">
        <f ca="1">IFERROR(__xludf.DUMMYFUNCTION("GOOGLETRANSLATE(B1413,""en"",""fr"")"),"ce soir")</f>
        <v>ce soir</v>
      </c>
      <c r="F1413" s="2" t="str">
        <f ca="1">IFERROR(__xludf.DUMMYFUNCTION("GOOGLETRANSLATE(B1413,""en"",""it"")"),"stasera")</f>
        <v>stasera</v>
      </c>
      <c r="G1413" s="2" t="str">
        <f ca="1">IFERROR(__xludf.DUMMYFUNCTION("GOOGLETRANSLATE(B1413,""en"",""de"")"),"heute Abend")</f>
        <v>heute Abend</v>
      </c>
      <c r="H1413" s="2" t="str">
        <f ca="1">IFERROR(__xludf.DUMMYFUNCTION("GOOGLETRANSLATE(B1413,""en"",""zh"")"),"今晚")</f>
        <v>今晚</v>
      </c>
      <c r="I1413" s="2" t="str">
        <f ca="1">IFERROR(__xludf.DUMMYFUNCTION("GOOGLETRANSLATE(B1413,""en"",""gd"")"),"a-nochd")</f>
        <v>a-nochd</v>
      </c>
    </row>
    <row r="1414" spans="1:9" ht="14.25" customHeight="1" x14ac:dyDescent="0.3">
      <c r="A1414" s="2">
        <v>1413</v>
      </c>
      <c r="B1414" s="3" t="s">
        <v>1421</v>
      </c>
      <c r="C1414" s="2" t="str">
        <f ca="1">IFERROR(__xludf.DUMMYFUNCTION("GOOGLETRANSLATE(B1414, ""en"",""es"")"),"moda")</f>
        <v>moda</v>
      </c>
      <c r="D1414" s="2" t="str">
        <f ca="1">IFERROR(__xludf.DUMMYFUNCTION("GOOGLETRANSLATE(B1414,""en"",""ig"")"),"eyimeeyi")</f>
        <v>eyimeeyi</v>
      </c>
      <c r="E1414" s="2" t="str">
        <f ca="1">IFERROR(__xludf.DUMMYFUNCTION("GOOGLETRANSLATE(B1414,""en"",""fr"")"),"mode")</f>
        <v>mode</v>
      </c>
      <c r="F1414" s="2" t="str">
        <f ca="1">IFERROR(__xludf.DUMMYFUNCTION("GOOGLETRANSLATE(B1414,""en"",""it"")"),"moda")</f>
        <v>moda</v>
      </c>
      <c r="G1414" s="2" t="str">
        <f ca="1">IFERROR(__xludf.DUMMYFUNCTION("GOOGLETRANSLATE(B1414,""en"",""de"")"),"Mode")</f>
        <v>Mode</v>
      </c>
      <c r="H1414" s="2" t="str">
        <f ca="1">IFERROR(__xludf.DUMMYFUNCTION("GOOGLETRANSLATE(B1414,""en"",""zh"")"),"时尚")</f>
        <v>时尚</v>
      </c>
      <c r="I1414" s="2" t="str">
        <f ca="1">IFERROR(__xludf.DUMMYFUNCTION("GOOGLETRANSLATE(B1414,""en"",""gd"")"),"fasan")</f>
        <v>fasan</v>
      </c>
    </row>
    <row r="1415" spans="1:9" ht="14.25" customHeight="1" x14ac:dyDescent="0.3">
      <c r="A1415" s="2">
        <v>1414</v>
      </c>
      <c r="B1415" s="3" t="s">
        <v>1422</v>
      </c>
      <c r="C1415" s="2" t="str">
        <f ca="1">IFERROR(__xludf.DUMMYFUNCTION("GOOGLETRANSLATE(B1415, ""en"",""es"")"),"peligro")</f>
        <v>peligro</v>
      </c>
      <c r="D1415" s="2" t="str">
        <f ca="1">IFERROR(__xludf.DUMMYFUNCTION("GOOGLETRANSLATE(B1415,""en"",""ig"")"),"Ihe egwu")</f>
        <v>Ihe egwu</v>
      </c>
      <c r="E1415" s="2" t="str">
        <f ca="1">IFERROR(__xludf.DUMMYFUNCTION("GOOGLETRANSLATE(B1415,""en"",""fr"")"),"danger")</f>
        <v>danger</v>
      </c>
      <c r="F1415" s="2" t="str">
        <f ca="1">IFERROR(__xludf.DUMMYFUNCTION("GOOGLETRANSLATE(B1415,""en"",""it"")"),"Pericolo")</f>
        <v>Pericolo</v>
      </c>
      <c r="G1415" s="2" t="str">
        <f ca="1">IFERROR(__xludf.DUMMYFUNCTION("GOOGLETRANSLATE(B1415,""en"",""de"")"),"Gefahr")</f>
        <v>Gefahr</v>
      </c>
      <c r="H1415" s="2" t="str">
        <f ca="1">IFERROR(__xludf.DUMMYFUNCTION("GOOGLETRANSLATE(B1415,""en"",""zh"")"),"危险")</f>
        <v>危险</v>
      </c>
      <c r="I1415" s="2" t="str">
        <f ca="1">IFERROR(__xludf.DUMMYFUNCTION("GOOGLETRANSLATE(B1415,""en"",""gd"")"),"cunnart")</f>
        <v>cunnart</v>
      </c>
    </row>
    <row r="1416" spans="1:9" ht="14.25" customHeight="1" x14ac:dyDescent="0.3">
      <c r="A1416" s="2">
        <v>1415</v>
      </c>
      <c r="B1416" s="3" t="s">
        <v>1423</v>
      </c>
      <c r="C1416" s="2" t="str">
        <f ca="1">IFERROR(__xludf.DUMMYFUNCTION("GOOGLETRANSLATE(B1416, ""en"",""es"")"),"bomba")</f>
        <v>bomba</v>
      </c>
      <c r="D1416" s="2" t="str">
        <f ca="1">IFERROR(__xludf.DUMMYFUNCTION("GOOGLETRANSLATE(B1416,""en"",""ig"")"),"bombu")</f>
        <v>bombu</v>
      </c>
      <c r="E1416" s="2" t="str">
        <f ca="1">IFERROR(__xludf.DUMMYFUNCTION("GOOGLETRANSLATE(B1416,""en"",""fr"")"),"bombe")</f>
        <v>bombe</v>
      </c>
      <c r="F1416" s="2" t="str">
        <f ca="1">IFERROR(__xludf.DUMMYFUNCTION("GOOGLETRANSLATE(B1416,""en"",""it"")"),"bomba")</f>
        <v>bomba</v>
      </c>
      <c r="G1416" s="2" t="str">
        <f ca="1">IFERROR(__xludf.DUMMYFUNCTION("GOOGLETRANSLATE(B1416,""en"",""de"")"),"Bombe")</f>
        <v>Bombe</v>
      </c>
      <c r="H1416" s="2" t="str">
        <f ca="1">IFERROR(__xludf.DUMMYFUNCTION("GOOGLETRANSLATE(B1416,""en"",""zh"")"),"炸弹")</f>
        <v>炸弹</v>
      </c>
      <c r="I1416" s="2" t="str">
        <f ca="1">IFERROR(__xludf.DUMMYFUNCTION("GOOGLETRANSLATE(B1416,""en"",""gd"")"),"boma")</f>
        <v>boma</v>
      </c>
    </row>
    <row r="1417" spans="1:9" ht="14.25" customHeight="1" x14ac:dyDescent="0.3">
      <c r="A1417" s="2">
        <v>1416</v>
      </c>
      <c r="B1417" s="3" t="s">
        <v>1424</v>
      </c>
      <c r="C1417" s="2" t="str">
        <f ca="1">IFERROR(__xludf.DUMMYFUNCTION("GOOGLETRANSLATE(B1417, ""en"",""es"")"),"ejército")</f>
        <v>ejército</v>
      </c>
      <c r="D1417" s="2" t="str">
        <f ca="1">IFERROR(__xludf.DUMMYFUNCTION("GOOGLETRANSLATE(B1417,""en"",""ig"")"),"ami")</f>
        <v>ami</v>
      </c>
      <c r="E1417" s="2" t="str">
        <f ca="1">IFERROR(__xludf.DUMMYFUNCTION("GOOGLETRANSLATE(B1417,""en"",""fr"")"),"armée")</f>
        <v>armée</v>
      </c>
      <c r="F1417" s="2" t="str">
        <f ca="1">IFERROR(__xludf.DUMMYFUNCTION("GOOGLETRANSLATE(B1417,""en"",""it"")"),"esercito")</f>
        <v>esercito</v>
      </c>
      <c r="G1417" s="2" t="str">
        <f ca="1">IFERROR(__xludf.DUMMYFUNCTION("GOOGLETRANSLATE(B1417,""en"",""de"")"),"Armee")</f>
        <v>Armee</v>
      </c>
      <c r="H1417" s="2" t="str">
        <f ca="1">IFERROR(__xludf.DUMMYFUNCTION("GOOGLETRANSLATE(B1417,""en"",""zh"")"),"军队")</f>
        <v>军队</v>
      </c>
      <c r="I1417" s="2" t="str">
        <f ca="1">IFERROR(__xludf.DUMMYFUNCTION("GOOGLETRANSLATE(B1417,""en"",""gd"")"),"Arm")</f>
        <v>Arm</v>
      </c>
    </row>
    <row r="1418" spans="1:9" ht="14.25" customHeight="1" x14ac:dyDescent="0.3">
      <c r="A1418" s="2">
        <v>1417</v>
      </c>
      <c r="B1418" s="3" t="s">
        <v>1425</v>
      </c>
      <c r="C1418" s="2" t="str">
        <f ca="1">IFERROR(__xludf.DUMMYFUNCTION("GOOGLETRANSLATE(B1418, ""en"",""es"")"),"peligroso")</f>
        <v>peligroso</v>
      </c>
      <c r="D1418" s="2" t="str">
        <f ca="1">IFERROR(__xludf.DUMMYFUNCTION("GOOGLETRANSLATE(B1418,""en"",""ig"")"),"kedi egwu")</f>
        <v>kedi egwu</v>
      </c>
      <c r="E1418" s="2" t="str">
        <f ca="1">IFERROR(__xludf.DUMMYFUNCTION("GOOGLETRANSLATE(B1418,""en"",""fr"")"),"dangereux")</f>
        <v>dangereux</v>
      </c>
      <c r="F1418" s="2" t="str">
        <f ca="1">IFERROR(__xludf.DUMMYFUNCTION("GOOGLETRANSLATE(B1418,""en"",""it"")"),"pericoloso")</f>
        <v>pericoloso</v>
      </c>
      <c r="G1418" s="2" t="str">
        <f ca="1">IFERROR(__xludf.DUMMYFUNCTION("GOOGLETRANSLATE(B1418,""en"",""de"")"),"gefährlich")</f>
        <v>gefährlich</v>
      </c>
      <c r="H1418" s="2" t="str">
        <f ca="1">IFERROR(__xludf.DUMMYFUNCTION("GOOGLETRANSLATE(B1418,""en"",""zh"")"),"危险的")</f>
        <v>危险的</v>
      </c>
      <c r="I1418" s="2" t="str">
        <f ca="1">IFERROR(__xludf.DUMMYFUNCTION("GOOGLETRANSLATE(B1418,""en"",""gd"")"),"cunnartach")</f>
        <v>cunnartach</v>
      </c>
    </row>
    <row r="1419" spans="1:9" ht="14.25" customHeight="1" x14ac:dyDescent="0.3">
      <c r="A1419" s="2">
        <v>1418</v>
      </c>
      <c r="B1419" s="3" t="s">
        <v>1426</v>
      </c>
      <c r="C1419" s="2" t="str">
        <f ca="1">IFERROR(__xludf.DUMMYFUNCTION("GOOGLETRANSLATE(B1419, ""en"",""es"")"),"disminuir")</f>
        <v>disminuir</v>
      </c>
      <c r="D1419" s="2" t="str">
        <f ca="1">IFERROR(__xludf.DUMMYFUNCTION("GOOGLETRANSLATE(B1419,""en"",""ig"")"),"iwedata")</f>
        <v>iwedata</v>
      </c>
      <c r="E1419" s="2" t="str">
        <f ca="1">IFERROR(__xludf.DUMMYFUNCTION("GOOGLETRANSLATE(B1419,""en"",""fr"")"),"diminuer")</f>
        <v>diminuer</v>
      </c>
      <c r="F1419" s="2" t="str">
        <f ca="1">IFERROR(__xludf.DUMMYFUNCTION("GOOGLETRANSLATE(B1419,""en"",""it"")"),"diminuire")</f>
        <v>diminuire</v>
      </c>
      <c r="G1419" s="2" t="str">
        <f ca="1">IFERROR(__xludf.DUMMYFUNCTION("GOOGLETRANSLATE(B1419,""en"",""de"")"),"verringern")</f>
        <v>verringern</v>
      </c>
      <c r="H1419" s="2" t="str">
        <f ca="1">IFERROR(__xludf.DUMMYFUNCTION("GOOGLETRANSLATE(B1419,""en"",""zh"")"),"减少")</f>
        <v>减少</v>
      </c>
      <c r="I1419" s="2" t="str">
        <f ca="1">IFERROR(__xludf.DUMMYFUNCTION("GOOGLETRANSLATE(B1419,""en"",""gd"")"),"Lùghdachadh")</f>
        <v>Lùghdachadh</v>
      </c>
    </row>
    <row r="1420" spans="1:9" ht="14.25" customHeight="1" x14ac:dyDescent="0.3">
      <c r="A1420" s="2">
        <v>1419</v>
      </c>
      <c r="B1420" s="3" t="s">
        <v>1427</v>
      </c>
      <c r="C1420" s="2" t="str">
        <f ca="1">IFERROR(__xludf.DUMMYFUNCTION("GOOGLETRANSLATE(B1420, ""en"",""es"")"),"herir")</f>
        <v>herir</v>
      </c>
      <c r="D1420" s="2" t="str">
        <f ca="1">IFERROR(__xludf.DUMMYFUNCTION("GOOGLETRANSLATE(B1420,""en"",""ig"")"),"mmekuta")</f>
        <v>mmekuta</v>
      </c>
      <c r="E1420" s="2" t="str">
        <f ca="1">IFERROR(__xludf.DUMMYFUNCTION("GOOGLETRANSLATE(B1420,""en"",""fr"")"),"blesser")</f>
        <v>blesser</v>
      </c>
      <c r="F1420" s="2" t="str">
        <f ca="1">IFERROR(__xludf.DUMMYFUNCTION("GOOGLETRANSLATE(B1420,""en"",""it"")"),"male")</f>
        <v>male</v>
      </c>
      <c r="G1420" s="2" t="str">
        <f ca="1">IFERROR(__xludf.DUMMYFUNCTION("GOOGLETRANSLATE(B1420,""en"",""de"")"),"verletzt")</f>
        <v>verletzt</v>
      </c>
      <c r="H1420" s="2" t="str">
        <f ca="1">IFERROR(__xludf.DUMMYFUNCTION("GOOGLETRANSLATE(B1420,""en"",""zh"")"),"伤害")</f>
        <v>伤害</v>
      </c>
      <c r="I1420" s="2" t="str">
        <f ca="1">IFERROR(__xludf.DUMMYFUNCTION("GOOGLETRANSLATE(B1420,""en"",""gd"")"),"air a ghoirteachadh")</f>
        <v>air a ghoirteachadh</v>
      </c>
    </row>
    <row r="1421" spans="1:9" ht="14.25" customHeight="1" x14ac:dyDescent="0.3">
      <c r="A1421" s="2">
        <v>1420</v>
      </c>
      <c r="B1421" s="3" t="s">
        <v>1428</v>
      </c>
      <c r="C1421" s="2" t="str">
        <f ca="1">IFERROR(__xludf.DUMMYFUNCTION("GOOGLETRANSLATE(B1421, ""en"",""es"")"),"concejo")</f>
        <v>concejo</v>
      </c>
      <c r="D1421" s="2" t="str">
        <f ca="1">IFERROR(__xludf.DUMMYFUNCTION("GOOGLETRANSLATE(B1421,""en"",""ig"")"),"kansul")</f>
        <v>kansul</v>
      </c>
      <c r="E1421" s="2" t="str">
        <f ca="1">IFERROR(__xludf.DUMMYFUNCTION("GOOGLETRANSLATE(B1421,""en"",""fr"")"),"conseil")</f>
        <v>conseil</v>
      </c>
      <c r="F1421" s="2" t="str">
        <f ca="1">IFERROR(__xludf.DUMMYFUNCTION("GOOGLETRANSLATE(B1421,""en"",""it"")"),"consiglio")</f>
        <v>consiglio</v>
      </c>
      <c r="G1421" s="2" t="str">
        <f ca="1">IFERROR(__xludf.DUMMYFUNCTION("GOOGLETRANSLATE(B1421,""en"",""de"")"),"Rat")</f>
        <v>Rat</v>
      </c>
      <c r="H1421" s="2" t="str">
        <f ca="1">IFERROR(__xludf.DUMMYFUNCTION("GOOGLETRANSLATE(B1421,""en"",""zh"")"),"理事会")</f>
        <v>理事会</v>
      </c>
      <c r="I1421" s="2" t="str">
        <f ca="1">IFERROR(__xludf.DUMMYFUNCTION("GOOGLETRANSLATE(B1421,""en"",""gd"")"),"Comhairle")</f>
        <v>Comhairle</v>
      </c>
    </row>
    <row r="1422" spans="1:9" ht="14.25" customHeight="1" x14ac:dyDescent="0.3">
      <c r="A1422" s="2">
        <v>1421</v>
      </c>
      <c r="B1422" s="3" t="s">
        <v>1429</v>
      </c>
      <c r="C1422" s="2" t="str">
        <f ca="1">IFERROR(__xludf.DUMMYFUNCTION("GOOGLETRANSLATE(B1422, ""en"",""es"")"),"editor")</f>
        <v>editor</v>
      </c>
      <c r="D1422" s="2" t="str">
        <f ca="1">IFERROR(__xludf.DUMMYFUNCTION("GOOGLETRANSLATE(B1422,""en"",""ig"")"),"onye ndezi")</f>
        <v>onye ndezi</v>
      </c>
      <c r="E1422" s="2" t="str">
        <f ca="1">IFERROR(__xludf.DUMMYFUNCTION("GOOGLETRANSLATE(B1422,""en"",""fr"")"),"éditeur")</f>
        <v>éditeur</v>
      </c>
      <c r="F1422" s="2" t="str">
        <f ca="1">IFERROR(__xludf.DUMMYFUNCTION("GOOGLETRANSLATE(B1422,""en"",""it"")"),"editore")</f>
        <v>editore</v>
      </c>
      <c r="G1422" s="2" t="str">
        <f ca="1">IFERROR(__xludf.DUMMYFUNCTION("GOOGLETRANSLATE(B1422,""en"",""de"")"),"Editor")</f>
        <v>Editor</v>
      </c>
      <c r="H1422" s="2" t="str">
        <f ca="1">IFERROR(__xludf.DUMMYFUNCTION("GOOGLETRANSLATE(B1422,""en"",""zh"")"),"编辑")</f>
        <v>编辑</v>
      </c>
      <c r="I1422" s="2" t="str">
        <f ca="1">IFERROR(__xludf.DUMMYFUNCTION("GOOGLETRANSLATE(B1422,""en"",""gd"")"),"Deasaiche")</f>
        <v>Deasaiche</v>
      </c>
    </row>
    <row r="1423" spans="1:9" ht="14.25" customHeight="1" x14ac:dyDescent="0.3">
      <c r="A1423" s="2">
        <v>1422</v>
      </c>
      <c r="B1423" s="3" t="s">
        <v>1430</v>
      </c>
      <c r="C1423" s="2" t="str">
        <f ca="1">IFERROR(__xludf.DUMMYFUNCTION("GOOGLETRANSLATE(B1423, ""en"",""es"")"),"normalmente")</f>
        <v>normalmente</v>
      </c>
      <c r="D1423" s="2" t="str">
        <f ca="1">IFERROR(__xludf.DUMMYFUNCTION("GOOGLETRANSLATE(B1423,""en"",""ig"")"),"ndabazi")</f>
        <v>ndabazi</v>
      </c>
      <c r="E1423" s="2" t="str">
        <f ca="1">IFERROR(__xludf.DUMMYFUNCTION("GOOGLETRANSLATE(B1423,""en"",""fr"")"),"normalement")</f>
        <v>normalement</v>
      </c>
      <c r="F1423" s="2" t="str">
        <f ca="1">IFERROR(__xludf.DUMMYFUNCTION("GOOGLETRANSLATE(B1423,""en"",""it"")"),"normalmente")</f>
        <v>normalmente</v>
      </c>
      <c r="G1423" s="2" t="str">
        <f ca="1">IFERROR(__xludf.DUMMYFUNCTION("GOOGLETRANSLATE(B1423,""en"",""de"")"),"normalerweise")</f>
        <v>normalerweise</v>
      </c>
      <c r="H1423" s="2" t="str">
        <f ca="1">IFERROR(__xludf.DUMMYFUNCTION("GOOGLETRANSLATE(B1423,""en"",""zh"")"),"通常情况下")</f>
        <v>通常情况下</v>
      </c>
      <c r="I1423" s="2" t="str">
        <f ca="1">IFERROR(__xludf.DUMMYFUNCTION("GOOGLETRANSLATE(B1423,""en"",""gd"")"),"mar as trice")</f>
        <v>mar as trice</v>
      </c>
    </row>
    <row r="1424" spans="1:9" ht="14.25" customHeight="1" x14ac:dyDescent="0.3">
      <c r="A1424" s="2">
        <v>1423</v>
      </c>
      <c r="B1424" s="3" t="s">
        <v>1431</v>
      </c>
      <c r="C1424" s="2" t="str">
        <f ca="1">IFERROR(__xludf.DUMMYFUNCTION("GOOGLETRANSLATE(B1424, ""en"",""es"")"),"vista")</f>
        <v>vista</v>
      </c>
      <c r="D1424" s="2" t="str">
        <f ca="1">IFERROR(__xludf.DUMMYFUNCTION("GOOGLETRANSLATE(B1424,""en"",""ig"")"),"anya")</f>
        <v>anya</v>
      </c>
      <c r="E1424" s="2" t="str">
        <f ca="1">IFERROR(__xludf.DUMMYFUNCTION("GOOGLETRANSLATE(B1424,""en"",""fr"")"),"vue")</f>
        <v>vue</v>
      </c>
      <c r="F1424" s="2" t="str">
        <f ca="1">IFERROR(__xludf.DUMMYFUNCTION("GOOGLETRANSLATE(B1424,""en"",""it"")"),"vista")</f>
        <v>vista</v>
      </c>
      <c r="G1424" s="2" t="str">
        <f ca="1">IFERROR(__xludf.DUMMYFUNCTION("GOOGLETRANSLATE(B1424,""en"",""de"")"),"Sicht")</f>
        <v>Sicht</v>
      </c>
      <c r="H1424" s="2" t="str">
        <f ca="1">IFERROR(__xludf.DUMMYFUNCTION("GOOGLETRANSLATE(B1424,""en"",""zh"")"),"视线")</f>
        <v>视线</v>
      </c>
      <c r="I1424" s="2" t="str">
        <f ca="1">IFERROR(__xludf.DUMMYFUNCTION("GOOGLETRANSLATE(B1424,""en"",""gd"")"),"Sealladh")</f>
        <v>Sealladh</v>
      </c>
    </row>
    <row r="1425" spans="1:9" ht="14.25" customHeight="1" x14ac:dyDescent="0.3">
      <c r="A1425" s="2">
        <v>1424</v>
      </c>
      <c r="B1425" s="3" t="s">
        <v>1432</v>
      </c>
      <c r="C1425" s="2" t="str">
        <f ca="1">IFERROR(__xludf.DUMMYFUNCTION("GOOGLETRANSLATE(B1425, ""en"",""es"")"),"generar")</f>
        <v>generar</v>
      </c>
      <c r="D1425" s="2" t="str">
        <f ca="1">IFERROR(__xludf.DUMMYFUNCTION("GOOGLETRANSLATE(B1425,""en"",""ig"")"),"igbanye")</f>
        <v>igbanye</v>
      </c>
      <c r="E1425" s="2" t="str">
        <f ca="1">IFERROR(__xludf.DUMMYFUNCTION("GOOGLETRANSLATE(B1425,""en"",""fr"")"),"générer")</f>
        <v>générer</v>
      </c>
      <c r="F1425" s="2" t="str">
        <f ca="1">IFERROR(__xludf.DUMMYFUNCTION("GOOGLETRANSLATE(B1425,""en"",""it"")"),"creare")</f>
        <v>creare</v>
      </c>
      <c r="G1425" s="2" t="str">
        <f ca="1">IFERROR(__xludf.DUMMYFUNCTION("GOOGLETRANSLATE(B1425,""en"",""de"")"),"generieren")</f>
        <v>generieren</v>
      </c>
      <c r="H1425" s="2" t="str">
        <f ca="1">IFERROR(__xludf.DUMMYFUNCTION("GOOGLETRANSLATE(B1425,""en"",""zh"")"),"产生")</f>
        <v>产生</v>
      </c>
      <c r="I1425" s="2" t="str">
        <f ca="1">IFERROR(__xludf.DUMMYFUNCTION("GOOGLETRANSLATE(B1425,""en"",""gd"")"),"gineadh")</f>
        <v>gineadh</v>
      </c>
    </row>
    <row r="1426" spans="1:9" ht="14.25" customHeight="1" x14ac:dyDescent="0.3">
      <c r="A1426" s="2">
        <v>1425</v>
      </c>
      <c r="B1426" s="3" t="s">
        <v>1433</v>
      </c>
      <c r="C1426" s="2" t="str">
        <f ca="1">IFERROR(__xludf.DUMMYFUNCTION("GOOGLETRANSLATE(B1426, ""en"",""es"")"),"regalo")</f>
        <v>regalo</v>
      </c>
      <c r="D1426" s="2" t="str">
        <f ca="1">IFERROR(__xludf.DUMMYFUNCTION("GOOGLETRANSLATE(B1426,""en"",""ig"")"),"onyinye")</f>
        <v>onyinye</v>
      </c>
      <c r="E1426" s="2" t="str">
        <f ca="1">IFERROR(__xludf.DUMMYFUNCTION("GOOGLETRANSLATE(B1426,""en"",""fr"")"),"cadeau")</f>
        <v>cadeau</v>
      </c>
      <c r="F1426" s="2" t="str">
        <f ca="1">IFERROR(__xludf.DUMMYFUNCTION("GOOGLETRANSLATE(B1426,""en"",""it"")"),"regalo")</f>
        <v>regalo</v>
      </c>
      <c r="G1426" s="2" t="str">
        <f ca="1">IFERROR(__xludf.DUMMYFUNCTION("GOOGLETRANSLATE(B1426,""en"",""de"")"),"Geschenk")</f>
        <v>Geschenk</v>
      </c>
      <c r="H1426" s="2" t="str">
        <f ca="1">IFERROR(__xludf.DUMMYFUNCTION("GOOGLETRANSLATE(B1426,""en"",""zh"")"),"礼物")</f>
        <v>礼物</v>
      </c>
      <c r="I1426" s="2" t="str">
        <f ca="1">IFERROR(__xludf.DUMMYFUNCTION("GOOGLETRANSLATE(B1426,""en"",""gd"")"),"Tiodhlac")</f>
        <v>Tiodhlac</v>
      </c>
    </row>
    <row r="1427" spans="1:9" ht="14.25" customHeight="1" x14ac:dyDescent="0.3">
      <c r="A1427" s="2">
        <v>1426</v>
      </c>
      <c r="B1427" s="3" t="s">
        <v>1434</v>
      </c>
      <c r="C1427" s="2" t="str">
        <f ca="1">IFERROR(__xludf.DUMMYFUNCTION("GOOGLETRANSLATE(B1427, ""en"",""es"")"),"entrega")</f>
        <v>entrega</v>
      </c>
      <c r="D1427" s="2" t="str">
        <f ca="1">IFERROR(__xludf.DUMMYFUNCTION("GOOGLETRANSLATE(B1427,""en"",""ig"")"),"mwegara")</f>
        <v>mwegara</v>
      </c>
      <c r="E1427" s="2" t="str">
        <f ca="1">IFERROR(__xludf.DUMMYFUNCTION("GOOGLETRANSLATE(B1427,""en"",""fr"")"),"livraison")</f>
        <v>livraison</v>
      </c>
      <c r="F1427" s="2" t="str">
        <f ca="1">IFERROR(__xludf.DUMMYFUNCTION("GOOGLETRANSLATE(B1427,""en"",""it"")"),"consegna")</f>
        <v>consegna</v>
      </c>
      <c r="G1427" s="2" t="str">
        <f ca="1">IFERROR(__xludf.DUMMYFUNCTION("GOOGLETRANSLATE(B1427,""en"",""de"")"),"Lieferung")</f>
        <v>Lieferung</v>
      </c>
      <c r="H1427" s="2" t="str">
        <f ca="1">IFERROR(__xludf.DUMMYFUNCTION("GOOGLETRANSLATE(B1427,""en"",""zh"")"),"送货")</f>
        <v>送货</v>
      </c>
      <c r="I1427" s="2" t="str">
        <f ca="1">IFERROR(__xludf.DUMMYFUNCTION("GOOGLETRANSLATE(B1427,""en"",""gd"")"),"Lìbhrigeadh")</f>
        <v>Lìbhrigeadh</v>
      </c>
    </row>
    <row r="1428" spans="1:9" ht="14.25" customHeight="1" x14ac:dyDescent="0.3">
      <c r="A1428" s="2">
        <v>1427</v>
      </c>
      <c r="B1428" s="3" t="s">
        <v>1435</v>
      </c>
      <c r="C1428" s="2" t="str">
        <f ca="1">IFERROR(__xludf.DUMMYFUNCTION("GOOGLETRANSLATE(B1428, ""en"",""es"")"),"denegar")</f>
        <v>denegar</v>
      </c>
      <c r="D1428" s="2" t="str">
        <f ca="1">IFERROR(__xludf.DUMMYFUNCTION("GOOGLETRANSLATE(B1428,""en"",""ig"")"),"igo ago")</f>
        <v>igo ago</v>
      </c>
      <c r="E1428" s="2" t="str">
        <f ca="1">IFERROR(__xludf.DUMMYFUNCTION("GOOGLETRANSLATE(B1428,""en"",""fr"")"),"refuser")</f>
        <v>refuser</v>
      </c>
      <c r="F1428" s="2" t="str">
        <f ca="1">IFERROR(__xludf.DUMMYFUNCTION("GOOGLETRANSLATE(B1428,""en"",""it"")"),"negare")</f>
        <v>negare</v>
      </c>
      <c r="G1428" s="2" t="str">
        <f ca="1">IFERROR(__xludf.DUMMYFUNCTION("GOOGLETRANSLATE(B1428,""en"",""de"")"),"leugnen")</f>
        <v>leugnen</v>
      </c>
      <c r="H1428" s="2" t="str">
        <f ca="1">IFERROR(__xludf.DUMMYFUNCTION("GOOGLETRANSLATE(B1428,""en"",""zh"")"),"否定")</f>
        <v>否定</v>
      </c>
      <c r="I1428" s="2" t="str">
        <f ca="1">IFERROR(__xludf.DUMMYFUNCTION("GOOGLETRANSLATE(B1428,""en"",""gd"")"),"dey")</f>
        <v>dey</v>
      </c>
    </row>
    <row r="1429" spans="1:9" ht="14.25" customHeight="1" x14ac:dyDescent="0.3">
      <c r="A1429" s="2">
        <v>1428</v>
      </c>
      <c r="B1429" s="3" t="s">
        <v>1436</v>
      </c>
      <c r="C1429" s="2" t="str">
        <f ca="1">IFERROR(__xludf.DUMMYFUNCTION("GOOGLETRANSLATE(B1429, ""en"",""es"")"),"invitado")</f>
        <v>invitado</v>
      </c>
      <c r="D1429" s="2" t="str">
        <f ca="1">IFERROR(__xludf.DUMMYFUNCTION("GOOGLETRANSLATE(B1429,""en"",""ig"")"),"onye obia")</f>
        <v>onye obia</v>
      </c>
      <c r="E1429" s="2" t="str">
        <f ca="1">IFERROR(__xludf.DUMMYFUNCTION("GOOGLETRANSLATE(B1429,""en"",""fr"")"),"invité")</f>
        <v>invité</v>
      </c>
      <c r="F1429" s="2" t="str">
        <f ca="1">IFERROR(__xludf.DUMMYFUNCTION("GOOGLETRANSLATE(B1429,""en"",""it"")"),"ospite")</f>
        <v>ospite</v>
      </c>
      <c r="G1429" s="2" t="str">
        <f ca="1">IFERROR(__xludf.DUMMYFUNCTION("GOOGLETRANSLATE(B1429,""en"",""de"")"),"Gast")</f>
        <v>Gast</v>
      </c>
      <c r="H1429" s="2" t="str">
        <f ca="1">IFERROR(__xludf.DUMMYFUNCTION("GOOGLETRANSLATE(B1429,""en"",""zh"")"),"客人")</f>
        <v>客人</v>
      </c>
      <c r="I1429" s="2" t="str">
        <f ca="1">IFERROR(__xludf.DUMMYFUNCTION("GOOGLETRANSLATE(B1429,""en"",""gd"")"),"Guest")</f>
        <v>Guest</v>
      </c>
    </row>
    <row r="1430" spans="1:9" ht="14.25" customHeight="1" x14ac:dyDescent="0.3">
      <c r="A1430" s="2">
        <v>1429</v>
      </c>
      <c r="B1430" s="3" t="s">
        <v>1437</v>
      </c>
      <c r="C1430" s="2" t="str">
        <f ca="1">IFERROR(__xludf.DUMMYFUNCTION("GOOGLETRANSLATE(B1430, ""en"",""es"")"),"cualquiera")</f>
        <v>cualquiera</v>
      </c>
      <c r="D1430" s="2" t="str">
        <f ca="1">IFERROR(__xludf.DUMMYFUNCTION("GOOGLETRANSLATE(B1430,""en"",""ig"")"),"onye obula")</f>
        <v>onye obula</v>
      </c>
      <c r="E1430" s="2" t="str">
        <f ca="1">IFERROR(__xludf.DUMMYFUNCTION("GOOGLETRANSLATE(B1430,""en"",""fr"")"),"n'importe qui")</f>
        <v>n'importe qui</v>
      </c>
      <c r="F1430" s="2" t="str">
        <f ca="1">IFERROR(__xludf.DUMMYFUNCTION("GOOGLETRANSLATE(B1430,""en"",""it"")"),"nessuno")</f>
        <v>nessuno</v>
      </c>
      <c r="G1430" s="2" t="str">
        <f ca="1">IFERROR(__xludf.DUMMYFUNCTION("GOOGLETRANSLATE(B1430,""en"",""de"")"),"irgendjemand")</f>
        <v>irgendjemand</v>
      </c>
      <c r="H1430" s="2" t="str">
        <f ca="1">IFERROR(__xludf.DUMMYFUNCTION("GOOGLETRANSLATE(B1430,""en"",""zh"")"),"任何人")</f>
        <v>任何人</v>
      </c>
      <c r="I1430" s="2" t="str">
        <f ca="1">IFERROR(__xludf.DUMMYFUNCTION("GOOGLETRANSLATE(B1430,""en"",""gd"")"),"duine sam bith")</f>
        <v>duine sam bith</v>
      </c>
    </row>
    <row r="1431" spans="1:9" ht="14.25" customHeight="1" x14ac:dyDescent="0.3">
      <c r="A1431" s="2">
        <v>1430</v>
      </c>
      <c r="B1431" s="3" t="s">
        <v>1438</v>
      </c>
      <c r="C1431" s="2" t="str">
        <f ca="1">IFERROR(__xludf.DUMMYFUNCTION("GOOGLETRANSLATE(B1431, ""en"",""es"")"),"dormitorio")</f>
        <v>dormitorio</v>
      </c>
      <c r="D1431" s="2" t="str">
        <f ca="1">IFERROR(__xludf.DUMMYFUNCTION("GOOGLETRANSLATE(B1431,""en"",""ig"")"),"ime ulo")</f>
        <v>ime ulo</v>
      </c>
      <c r="E1431" s="2" t="str">
        <f ca="1">IFERROR(__xludf.DUMMYFUNCTION("GOOGLETRANSLATE(B1431,""en"",""fr"")"),"chambre à coucher")</f>
        <v>chambre à coucher</v>
      </c>
      <c r="F1431" s="2" t="str">
        <f ca="1">IFERROR(__xludf.DUMMYFUNCTION("GOOGLETRANSLATE(B1431,""en"",""it"")"),"camera da letto")</f>
        <v>camera da letto</v>
      </c>
      <c r="G1431" s="2" t="str">
        <f ca="1">IFERROR(__xludf.DUMMYFUNCTION("GOOGLETRANSLATE(B1431,""en"",""de"")"),"Schlafzimmer")</f>
        <v>Schlafzimmer</v>
      </c>
      <c r="H1431" s="2" t="str">
        <f ca="1">IFERROR(__xludf.DUMMYFUNCTION("GOOGLETRANSLATE(B1431,""en"",""zh"")"),"卧室")</f>
        <v>卧室</v>
      </c>
      <c r="I1431" s="2" t="str">
        <f ca="1">IFERROR(__xludf.DUMMYFUNCTION("GOOGLETRANSLATE(B1431,""en"",""gd"")"),"Seòmar-cadail")</f>
        <v>Seòmar-cadail</v>
      </c>
    </row>
    <row r="1432" spans="1:9" ht="14.25" customHeight="1" x14ac:dyDescent="0.3">
      <c r="A1432" s="2">
        <v>1431</v>
      </c>
      <c r="B1432" s="3" t="s">
        <v>1439</v>
      </c>
      <c r="C1432" s="2" t="str">
        <f ca="1">IFERROR(__xludf.DUMMYFUNCTION("GOOGLETRANSLATE(B1432, ""en"",""es"")"),"cita")</f>
        <v>cita</v>
      </c>
      <c r="D1432" s="2" t="str">
        <f ca="1">IFERROR(__xludf.DUMMYFUNCTION("GOOGLETRANSLATE(B1432,""en"",""ig"")"),"kwotu")</f>
        <v>kwotu</v>
      </c>
      <c r="E1432" s="2" t="str">
        <f ca="1">IFERROR(__xludf.DUMMYFUNCTION("GOOGLETRANSLATE(B1432,""en"",""fr"")"),"citation")</f>
        <v>citation</v>
      </c>
      <c r="F1432" s="2" t="str">
        <f ca="1">IFERROR(__xludf.DUMMYFUNCTION("GOOGLETRANSLATE(B1432,""en"",""it"")"),"citazione")</f>
        <v>citazione</v>
      </c>
      <c r="G1432" s="2" t="str">
        <f ca="1">IFERROR(__xludf.DUMMYFUNCTION("GOOGLETRANSLATE(B1432,""en"",""de"")"),"Zitat")</f>
        <v>Zitat</v>
      </c>
      <c r="H1432" s="2" t="str">
        <f ca="1">IFERROR(__xludf.DUMMYFUNCTION("GOOGLETRANSLATE(B1432,""en"",""zh"")"),"引用")</f>
        <v>引用</v>
      </c>
      <c r="I1432" s="2" t="str">
        <f ca="1">IFERROR(__xludf.DUMMYFUNCTION("GOOGLETRANSLATE(B1432,""en"",""gd"")"),"cuòt")</f>
        <v>cuòt</v>
      </c>
    </row>
    <row r="1433" spans="1:9" ht="14.25" customHeight="1" x14ac:dyDescent="0.3">
      <c r="A1433" s="2">
        <v>1432</v>
      </c>
      <c r="B1433" s="3" t="s">
        <v>1440</v>
      </c>
      <c r="C1433" s="2" t="str">
        <f ca="1">IFERROR(__xludf.DUMMYFUNCTION("GOOGLETRANSLATE(B1433, ""en"",""es"")"),"trepar")</f>
        <v>trepar</v>
      </c>
      <c r="D1433" s="2" t="str">
        <f ca="1">IFERROR(__xludf.DUMMYFUNCTION("GOOGLETRANSLATE(B1433,""en"",""ig"")"),"inyielu")</f>
        <v>inyielu</v>
      </c>
      <c r="E1433" s="2" t="str">
        <f ca="1">IFERROR(__xludf.DUMMYFUNCTION("GOOGLETRANSLATE(B1433,""en"",""fr"")"),"grimper")</f>
        <v>grimper</v>
      </c>
      <c r="F1433" s="2" t="str">
        <f ca="1">IFERROR(__xludf.DUMMYFUNCTION("GOOGLETRANSLATE(B1433,""en"",""it"")"),"scalata")</f>
        <v>scalata</v>
      </c>
      <c r="G1433" s="2" t="str">
        <f ca="1">IFERROR(__xludf.DUMMYFUNCTION("GOOGLETRANSLATE(B1433,""en"",""de"")"),"steigen")</f>
        <v>steigen</v>
      </c>
      <c r="H1433" s="2" t="str">
        <f ca="1">IFERROR(__xludf.DUMMYFUNCTION("GOOGLETRANSLATE(B1433,""en"",""zh"")"),"爬")</f>
        <v>爬</v>
      </c>
      <c r="I1433" s="2" t="str">
        <f ca="1">IFERROR(__xludf.DUMMYFUNCTION("GOOGLETRANSLATE(B1433,""en"",""gd"")"),"streap")</f>
        <v>streap</v>
      </c>
    </row>
    <row r="1434" spans="1:9" ht="14.25" customHeight="1" x14ac:dyDescent="0.3">
      <c r="A1434" s="2">
        <v>1433</v>
      </c>
      <c r="B1434" s="3" t="s">
        <v>1441</v>
      </c>
      <c r="C1434" s="2" t="str">
        <f ca="1">IFERROR(__xludf.DUMMYFUNCTION("GOOGLETRANSLATE(B1434, ""en"",""es"")"),"básicamente")</f>
        <v>básicamente</v>
      </c>
      <c r="D1434" s="2" t="str">
        <f ca="1">IFERROR(__xludf.DUMMYFUNCTION("GOOGLETRANSLATE(B1434,""en"",""ig"")"),"ezi ihe")</f>
        <v>ezi ihe</v>
      </c>
      <c r="E1434" s="2" t="str">
        <f ca="1">IFERROR(__xludf.DUMMYFUNCTION("GOOGLETRANSLATE(B1434,""en"",""fr"")"),"essentiellement")</f>
        <v>essentiellement</v>
      </c>
      <c r="F1434" s="2" t="str">
        <f ca="1">IFERROR(__xludf.DUMMYFUNCTION("GOOGLETRANSLATE(B1434,""en"",""it"")"),"fondamentalmente")</f>
        <v>fondamentalmente</v>
      </c>
      <c r="G1434" s="2" t="str">
        <f ca="1">IFERROR(__xludf.DUMMYFUNCTION("GOOGLETRANSLATE(B1434,""en"",""de"")"),"grundsätzlich")</f>
        <v>grundsätzlich</v>
      </c>
      <c r="H1434" s="2" t="str">
        <f ca="1">IFERROR(__xludf.DUMMYFUNCTION("GOOGLETRANSLATE(B1434,""en"",""zh"")"),"基本上")</f>
        <v>基本上</v>
      </c>
      <c r="I1434" s="2" t="str">
        <f ca="1">IFERROR(__xludf.DUMMYFUNCTION("GOOGLETRANSLATE(B1434,""en"",""gd"")"),"gu bunaiteach")</f>
        <v>gu bunaiteach</v>
      </c>
    </row>
    <row r="1435" spans="1:9" ht="14.25" customHeight="1" x14ac:dyDescent="0.3">
      <c r="A1435" s="2">
        <v>1434</v>
      </c>
      <c r="B1435" s="3" t="s">
        <v>1442</v>
      </c>
      <c r="C1435" s="2" t="str">
        <f ca="1">IFERROR(__xludf.DUMMYFUNCTION("GOOGLETRANSLATE(B1435, ""en"",""es"")"),"violencia")</f>
        <v>violencia</v>
      </c>
      <c r="D1435" s="2" t="str">
        <f ca="1">IFERROR(__xludf.DUMMYFUNCTION("GOOGLETRANSLATE(B1435,""en"",""ig"")"),"mmesiike")</f>
        <v>mmesiike</v>
      </c>
      <c r="E1435" s="2" t="str">
        <f ca="1">IFERROR(__xludf.DUMMYFUNCTION("GOOGLETRANSLATE(B1435,""en"",""fr"")"),"violence")</f>
        <v>violence</v>
      </c>
      <c r="F1435" s="2" t="str">
        <f ca="1">IFERROR(__xludf.DUMMYFUNCTION("GOOGLETRANSLATE(B1435,""en"",""it"")"),"violenza")</f>
        <v>violenza</v>
      </c>
      <c r="G1435" s="2" t="str">
        <f ca="1">IFERROR(__xludf.DUMMYFUNCTION("GOOGLETRANSLATE(B1435,""en"",""de"")"),"Gewalt")</f>
        <v>Gewalt</v>
      </c>
      <c r="H1435" s="2" t="str">
        <f ca="1">IFERROR(__xludf.DUMMYFUNCTION("GOOGLETRANSLATE(B1435,""en"",""zh"")"),"暴力")</f>
        <v>暴力</v>
      </c>
      <c r="I1435" s="2" t="str">
        <f ca="1">IFERROR(__xludf.DUMMYFUNCTION("GOOGLETRANSLATE(B1435,""en"",""gd"")"),"fòirneart")</f>
        <v>fòirneart</v>
      </c>
    </row>
    <row r="1436" spans="1:9" ht="14.25" customHeight="1" x14ac:dyDescent="0.3">
      <c r="A1436" s="2">
        <v>1435</v>
      </c>
      <c r="B1436" s="3" t="s">
        <v>1443</v>
      </c>
      <c r="C1436" s="2" t="str">
        <f ca="1">IFERROR(__xludf.DUMMYFUNCTION("GOOGLETRANSLATE(B1436, ""en"",""es"")"),"ministro")</f>
        <v>ministro</v>
      </c>
      <c r="D1436" s="2" t="str">
        <f ca="1">IFERROR(__xludf.DUMMYFUNCTION("GOOGLETRANSLATE(B1436,""en"",""ig"")"),"ukochukwu")</f>
        <v>ukochukwu</v>
      </c>
      <c r="E1436" s="2" t="str">
        <f ca="1">IFERROR(__xludf.DUMMYFUNCTION("GOOGLETRANSLATE(B1436,""en"",""fr"")"),"ministre")</f>
        <v>ministre</v>
      </c>
      <c r="F1436" s="2" t="str">
        <f ca="1">IFERROR(__xludf.DUMMYFUNCTION("GOOGLETRANSLATE(B1436,""en"",""it"")"),"ministro")</f>
        <v>ministro</v>
      </c>
      <c r="G1436" s="2" t="str">
        <f ca="1">IFERROR(__xludf.DUMMYFUNCTION("GOOGLETRANSLATE(B1436,""en"",""de"")"),"Minister")</f>
        <v>Minister</v>
      </c>
      <c r="H1436" s="2" t="str">
        <f ca="1">IFERROR(__xludf.DUMMYFUNCTION("GOOGLETRANSLATE(B1436,""en"",""zh"")"),"部长")</f>
        <v>部长</v>
      </c>
      <c r="I1436" s="2" t="str">
        <f ca="1">IFERROR(__xludf.DUMMYFUNCTION("GOOGLETRANSLATE(B1436,""en"",""gd"")"),"Ministear")</f>
        <v>Ministear</v>
      </c>
    </row>
    <row r="1437" spans="1:9" ht="14.25" customHeight="1" x14ac:dyDescent="0.3">
      <c r="A1437" s="2">
        <v>1436</v>
      </c>
      <c r="B1437" s="3" t="s">
        <v>1444</v>
      </c>
      <c r="C1437" s="2" t="str">
        <f ca="1">IFERROR(__xludf.DUMMYFUNCTION("GOOGLETRANSLATE(B1437, ""en"",""es"")"),"principalmente")</f>
        <v>principalmente</v>
      </c>
      <c r="D1437" s="2" t="str">
        <f ca="1">IFERROR(__xludf.DUMMYFUNCTION("GOOGLETRANSLATE(B1437,""en"",""ig"")"),"tumadi")</f>
        <v>tumadi</v>
      </c>
      <c r="E1437" s="2" t="str">
        <f ca="1">IFERROR(__xludf.DUMMYFUNCTION("GOOGLETRANSLATE(B1437,""en"",""fr"")"),"principalement")</f>
        <v>principalement</v>
      </c>
      <c r="F1437" s="2" t="str">
        <f ca="1">IFERROR(__xludf.DUMMYFUNCTION("GOOGLETRANSLATE(B1437,""en"",""it"")"),"principalmente")</f>
        <v>principalmente</v>
      </c>
      <c r="G1437" s="2" t="str">
        <f ca="1">IFERROR(__xludf.DUMMYFUNCTION("GOOGLETRANSLATE(B1437,""en"",""de"")"),"hauptsächlich")</f>
        <v>hauptsächlich</v>
      </c>
      <c r="H1437" s="2" t="str">
        <f ca="1">IFERROR(__xludf.DUMMYFUNCTION("GOOGLETRANSLATE(B1437,""en"",""zh"")"),"主要是")</f>
        <v>主要是</v>
      </c>
      <c r="I1437" s="2" t="str">
        <f ca="1">IFERROR(__xludf.DUMMYFUNCTION("GOOGLETRANSLATE(B1437,""en"",""gd"")"),"sa mhòr-chuid")</f>
        <v>sa mhòr-chuid</v>
      </c>
    </row>
    <row r="1438" spans="1:9" ht="14.25" customHeight="1" x14ac:dyDescent="0.3">
      <c r="A1438" s="2">
        <v>1437</v>
      </c>
      <c r="B1438" s="3" t="s">
        <v>1445</v>
      </c>
      <c r="C1438" s="2" t="str">
        <f ca="1">IFERROR(__xludf.DUMMYFUNCTION("GOOGLETRANSLATE(B1438, ""en"",""es"")"),"boca")</f>
        <v>boca</v>
      </c>
      <c r="D1438" s="2" t="str">
        <f ca="1">IFERROR(__xludf.DUMMYFUNCTION("GOOGLETRANSLATE(B1438,""en"",""ig"")"),"onu")</f>
        <v>onu</v>
      </c>
      <c r="E1438" s="2" t="str">
        <f ca="1">IFERROR(__xludf.DUMMYFUNCTION("GOOGLETRANSLATE(B1438,""en"",""fr"")"),"bouche")</f>
        <v>bouche</v>
      </c>
      <c r="F1438" s="2" t="str">
        <f ca="1">IFERROR(__xludf.DUMMYFUNCTION("GOOGLETRANSLATE(B1438,""en"",""it"")"),"bocca")</f>
        <v>bocca</v>
      </c>
      <c r="G1438" s="2" t="str">
        <f ca="1">IFERROR(__xludf.DUMMYFUNCTION("GOOGLETRANSLATE(B1438,""en"",""de"")"),"Mund")</f>
        <v>Mund</v>
      </c>
      <c r="H1438" s="2" t="str">
        <f ca="1">IFERROR(__xludf.DUMMYFUNCTION("GOOGLETRANSLATE(B1438,""en"",""zh"")"),"嘴")</f>
        <v>嘴</v>
      </c>
      <c r="I1438" s="2" t="str">
        <f ca="1">IFERROR(__xludf.DUMMYFUNCTION("GOOGLETRANSLATE(B1438,""en"",""gd"")"),"beul")</f>
        <v>beul</v>
      </c>
    </row>
    <row r="1439" spans="1:9" ht="14.25" customHeight="1" x14ac:dyDescent="0.3">
      <c r="A1439" s="2">
        <v>1438</v>
      </c>
      <c r="B1439" s="3" t="s">
        <v>1446</v>
      </c>
      <c r="C1439" s="2" t="str">
        <f ca="1">IFERROR(__xludf.DUMMYFUNCTION("GOOGLETRANSLATE(B1439, ""en"",""es"")"),"ruido")</f>
        <v>ruido</v>
      </c>
      <c r="D1439" s="2" t="str">
        <f ca="1">IFERROR(__xludf.DUMMYFUNCTION("GOOGLETRANSLATE(B1439,""en"",""ig"")"),"mkpotu")</f>
        <v>mkpotu</v>
      </c>
      <c r="E1439" s="2" t="str">
        <f ca="1">IFERROR(__xludf.DUMMYFUNCTION("GOOGLETRANSLATE(B1439,""en"",""fr"")"),"bruit")</f>
        <v>bruit</v>
      </c>
      <c r="F1439" s="2" t="str">
        <f ca="1">IFERROR(__xludf.DUMMYFUNCTION("GOOGLETRANSLATE(B1439,""en"",""it"")"),"rumore")</f>
        <v>rumore</v>
      </c>
      <c r="G1439" s="2" t="str">
        <f ca="1">IFERROR(__xludf.DUMMYFUNCTION("GOOGLETRANSLATE(B1439,""en"",""de"")"),"Lärm")</f>
        <v>Lärm</v>
      </c>
      <c r="H1439" s="2" t="str">
        <f ca="1">IFERROR(__xludf.DUMMYFUNCTION("GOOGLETRANSLATE(B1439,""en"",""zh"")"),"噪音")</f>
        <v>噪音</v>
      </c>
      <c r="I1439" s="2" t="str">
        <f ca="1">IFERROR(__xludf.DUMMYFUNCTION("GOOGLETRANSLATE(B1439,""en"",""gd"")"),"fuaim")</f>
        <v>fuaim</v>
      </c>
    </row>
    <row r="1440" spans="1:9" ht="14.25" customHeight="1" x14ac:dyDescent="0.3">
      <c r="A1440" s="2">
        <v>1439</v>
      </c>
      <c r="B1440" s="3" t="s">
        <v>1447</v>
      </c>
      <c r="C1440" s="2" t="str">
        <f ca="1">IFERROR(__xludf.DUMMYFUNCTION("GOOGLETRANSLATE(B1440, ""en"",""es"")"),"manera")</f>
        <v>manera</v>
      </c>
      <c r="D1440" s="2" t="str">
        <f ca="1">IFERROR(__xludf.DUMMYFUNCTION("GOOGLETRANSLATE(B1440,""en"",""ig"")"),"uzo omume")</f>
        <v>uzo omume</v>
      </c>
      <c r="E1440" s="2" t="str">
        <f ca="1">IFERROR(__xludf.DUMMYFUNCTION("GOOGLETRANSLATE(B1440,""en"",""fr"")"),"manière")</f>
        <v>manière</v>
      </c>
      <c r="F1440" s="2" t="str">
        <f ca="1">IFERROR(__xludf.DUMMYFUNCTION("GOOGLETRANSLATE(B1440,""en"",""it"")"),"maniera")</f>
        <v>maniera</v>
      </c>
      <c r="G1440" s="2" t="str">
        <f ca="1">IFERROR(__xludf.DUMMYFUNCTION("GOOGLETRANSLATE(B1440,""en"",""de"")"),"Benehmen")</f>
        <v>Benehmen</v>
      </c>
      <c r="H1440" s="2" t="str">
        <f ca="1">IFERROR(__xludf.DUMMYFUNCTION("GOOGLETRANSLATE(B1440,""en"",""zh"")"),"方式")</f>
        <v>方式</v>
      </c>
      <c r="I1440" s="2" t="str">
        <f ca="1">IFERROR(__xludf.DUMMYFUNCTION("GOOGLETRANSLATE(B1440,""en"",""gd"")"),"dòigh")</f>
        <v>dòigh</v>
      </c>
    </row>
    <row r="1441" spans="1:9" ht="14.25" customHeight="1" x14ac:dyDescent="0.3">
      <c r="A1441" s="2">
        <v>1440</v>
      </c>
      <c r="B1441" s="3" t="s">
        <v>1448</v>
      </c>
      <c r="C1441" s="2" t="str">
        <f ca="1">IFERROR(__xludf.DUMMYFUNCTION("GOOGLETRANSLATE(B1441, ""en"",""es"")"),"pistola")</f>
        <v>pistola</v>
      </c>
      <c r="D1441" s="2" t="str">
        <f ca="1">IFERROR(__xludf.DUMMYFUNCTION("GOOGLETRANSLATE(B1441,""en"",""ig"")"),"egbe")</f>
        <v>egbe</v>
      </c>
      <c r="E1441" s="2" t="str">
        <f ca="1">IFERROR(__xludf.DUMMYFUNCTION("GOOGLETRANSLATE(B1441,""en"",""fr"")"),"pistolet")</f>
        <v>pistolet</v>
      </c>
      <c r="F1441" s="2" t="str">
        <f ca="1">IFERROR(__xludf.DUMMYFUNCTION("GOOGLETRANSLATE(B1441,""en"",""it"")"),"pistola")</f>
        <v>pistola</v>
      </c>
      <c r="G1441" s="2" t="str">
        <f ca="1">IFERROR(__xludf.DUMMYFUNCTION("GOOGLETRANSLATE(B1441,""en"",""de"")"),"Pistole")</f>
        <v>Pistole</v>
      </c>
      <c r="H1441" s="2" t="str">
        <f ca="1">IFERROR(__xludf.DUMMYFUNCTION("GOOGLETRANSLATE(B1441,""en"",""zh"")"),"枪")</f>
        <v>枪</v>
      </c>
      <c r="I1441" s="2" t="str">
        <f ca="1">IFERROR(__xludf.DUMMYFUNCTION("GOOGLETRANSLATE(B1441,""en"",""gd"")"),"gunna")</f>
        <v>gunna</v>
      </c>
    </row>
    <row r="1442" spans="1:9" ht="14.25" customHeight="1" x14ac:dyDescent="0.3">
      <c r="A1442" s="2">
        <v>1441</v>
      </c>
      <c r="B1442" s="3" t="s">
        <v>1449</v>
      </c>
      <c r="C1442" s="2" t="str">
        <f ca="1">IFERROR(__xludf.DUMMYFUNCTION("GOOGLETRANSLATE(B1442, ""en"",""es"")"),"cuadrado")</f>
        <v>cuadrado</v>
      </c>
      <c r="D1442" s="2" t="str">
        <f ca="1">IFERROR(__xludf.DUMMYFUNCTION("GOOGLETRANSLATE(B1442,""en"",""ig"")"),"skware")</f>
        <v>skware</v>
      </c>
      <c r="E1442" s="2" t="str">
        <f ca="1">IFERROR(__xludf.DUMMYFUNCTION("GOOGLETRANSLATE(B1442,""en"",""fr"")"),"carré")</f>
        <v>carré</v>
      </c>
      <c r="F1442" s="2" t="str">
        <f ca="1">IFERROR(__xludf.DUMMYFUNCTION("GOOGLETRANSLATE(B1442,""en"",""it"")"),"piazza")</f>
        <v>piazza</v>
      </c>
      <c r="G1442" s="2" t="str">
        <f ca="1">IFERROR(__xludf.DUMMYFUNCTION("GOOGLETRANSLATE(B1442,""en"",""de"")"),"Quadrat")</f>
        <v>Quadrat</v>
      </c>
      <c r="H1442" s="2" t="str">
        <f ca="1">IFERROR(__xludf.DUMMYFUNCTION("GOOGLETRANSLATE(B1442,""en"",""zh"")"),"正方形")</f>
        <v>正方形</v>
      </c>
      <c r="I1442" s="2" t="str">
        <f ca="1">IFERROR(__xludf.DUMMYFUNCTION("GOOGLETRANSLATE(B1442,""en"",""gd"")"),"ceàrnag")</f>
        <v>ceàrnag</v>
      </c>
    </row>
    <row r="1443" spans="1:9" ht="14.25" customHeight="1" x14ac:dyDescent="0.3">
      <c r="A1443" s="2">
        <v>1442</v>
      </c>
      <c r="B1443" s="3" t="s">
        <v>1450</v>
      </c>
      <c r="C1443" s="2" t="str">
        <f ca="1">IFERROR(__xludf.DUMMYFUNCTION("GOOGLETRANSLATE(B1443, ""en"",""es"")"),"ocasión")</f>
        <v>ocasión</v>
      </c>
      <c r="D1443" s="2" t="str">
        <f ca="1">IFERROR(__xludf.DUMMYFUNCTION("GOOGLETRANSLATE(B1443,""en"",""ig"")"),"mgbendaba")</f>
        <v>mgbendaba</v>
      </c>
      <c r="E1443" s="2" t="str">
        <f ca="1">IFERROR(__xludf.DUMMYFUNCTION("GOOGLETRANSLATE(B1443,""en"",""fr"")"),"occasion")</f>
        <v>occasion</v>
      </c>
      <c r="F1443" s="2" t="str">
        <f ca="1">IFERROR(__xludf.DUMMYFUNCTION("GOOGLETRANSLATE(B1443,""en"",""it"")"),"occasione")</f>
        <v>occasione</v>
      </c>
      <c r="G1443" s="2" t="str">
        <f ca="1">IFERROR(__xludf.DUMMYFUNCTION("GOOGLETRANSLATE(B1443,""en"",""de"")"),"Gelegenheit")</f>
        <v>Gelegenheit</v>
      </c>
      <c r="H1443" s="2" t="str">
        <f ca="1">IFERROR(__xludf.DUMMYFUNCTION("GOOGLETRANSLATE(B1443,""en"",""zh"")"),"场合")</f>
        <v>场合</v>
      </c>
      <c r="I1443" s="2" t="str">
        <f ca="1">IFERROR(__xludf.DUMMYFUNCTION("GOOGLETRANSLATE(B1443,""en"",""gd"")"),"Tachartas")</f>
        <v>Tachartas</v>
      </c>
    </row>
    <row r="1444" spans="1:9" ht="14.25" customHeight="1" x14ac:dyDescent="0.3">
      <c r="A1444" s="2">
        <v>1443</v>
      </c>
      <c r="B1444" s="3" t="s">
        <v>1451</v>
      </c>
      <c r="C1444" s="2" t="str">
        <f ca="1">IFERROR(__xludf.DUMMYFUNCTION("GOOGLETRANSLATE(B1444, ""en"",""es"")"),"familiar")</f>
        <v>familiar</v>
      </c>
      <c r="D1444" s="2" t="str">
        <f ca="1">IFERROR(__xludf.DUMMYFUNCTION("GOOGLETRANSLATE(B1444,""en"",""ig"")"),"mmatazu")</f>
        <v>mmatazu</v>
      </c>
      <c r="E1444" s="2" t="str">
        <f ca="1">IFERROR(__xludf.DUMMYFUNCTION("GOOGLETRANSLATE(B1444,""en"",""fr"")"),"familier")</f>
        <v>familier</v>
      </c>
      <c r="F1444" s="2" t="str">
        <f ca="1">IFERROR(__xludf.DUMMYFUNCTION("GOOGLETRANSLATE(B1444,""en"",""it"")"),"familiare")</f>
        <v>familiare</v>
      </c>
      <c r="G1444" s="2" t="str">
        <f ca="1">IFERROR(__xludf.DUMMYFUNCTION("GOOGLETRANSLATE(B1444,""en"",""de"")"),"vertraut")</f>
        <v>vertraut</v>
      </c>
      <c r="H1444" s="2" t="str">
        <f ca="1">IFERROR(__xludf.DUMMYFUNCTION("GOOGLETRANSLATE(B1444,""en"",""zh"")"),"熟悉的")</f>
        <v>熟悉的</v>
      </c>
      <c r="I1444" s="2" t="str">
        <f ca="1">IFERROR(__xludf.DUMMYFUNCTION("GOOGLETRANSLATE(B1444,""en"",""gd"")"),"eòlach")</f>
        <v>eòlach</v>
      </c>
    </row>
    <row r="1445" spans="1:9" ht="14.25" customHeight="1" x14ac:dyDescent="0.3">
      <c r="A1445" s="2">
        <v>1444</v>
      </c>
      <c r="B1445" s="3" t="s">
        <v>1452</v>
      </c>
      <c r="C1445" s="2" t="str">
        <f ca="1">IFERROR(__xludf.DUMMYFUNCTION("GOOGLETRANSLATE(B1445, ""en"",""es"")"),"ignorar")</f>
        <v>ignorar</v>
      </c>
      <c r="D1445" s="2" t="str">
        <f ca="1">IFERROR(__xludf.DUMMYFUNCTION("GOOGLETRANSLATE(B1445,""en"",""ig"")"),"ileghara anya")</f>
        <v>ileghara anya</v>
      </c>
      <c r="E1445" s="2" t="str">
        <f ca="1">IFERROR(__xludf.DUMMYFUNCTION("GOOGLETRANSLATE(B1445,""en"",""fr"")"),"ignorer")</f>
        <v>ignorer</v>
      </c>
      <c r="F1445" s="2" t="str">
        <f ca="1">IFERROR(__xludf.DUMMYFUNCTION("GOOGLETRANSLATE(B1445,""en"",""it"")"),"ignorare")</f>
        <v>ignorare</v>
      </c>
      <c r="G1445" s="2" t="str">
        <f ca="1">IFERROR(__xludf.DUMMYFUNCTION("GOOGLETRANSLATE(B1445,""en"",""de"")"),"ignorieren")</f>
        <v>ignorieren</v>
      </c>
      <c r="H1445" s="2" t="str">
        <f ca="1">IFERROR(__xludf.DUMMYFUNCTION("GOOGLETRANSLATE(B1445,""en"",""zh"")"),"忽略")</f>
        <v>忽略</v>
      </c>
      <c r="I1445" s="2" t="str">
        <f ca="1">IFERROR(__xludf.DUMMYFUNCTION("GOOGLETRANSLATE(B1445,""en"",""gd"")"),"a 'seachnadh")</f>
        <v>a 'seachnadh</v>
      </c>
    </row>
    <row r="1446" spans="1:9" ht="14.25" customHeight="1" x14ac:dyDescent="0.3">
      <c r="A1446" s="2">
        <v>1445</v>
      </c>
      <c r="B1446" s="3" t="s">
        <v>1453</v>
      </c>
      <c r="C1446" s="2" t="str">
        <f ca="1">IFERROR(__xludf.DUMMYFUNCTION("GOOGLETRANSLATE(B1446, ""en"",""es"")"),"destruir")</f>
        <v>destruir</v>
      </c>
      <c r="D1446" s="2" t="str">
        <f ca="1">IFERROR(__xludf.DUMMYFUNCTION("GOOGLETRANSLATE(B1446,""en"",""ig"")"),"ime")</f>
        <v>ime</v>
      </c>
      <c r="E1446" s="2" t="str">
        <f ca="1">IFERROR(__xludf.DUMMYFUNCTION("GOOGLETRANSLATE(B1446,""en"",""fr"")"),"détruire")</f>
        <v>détruire</v>
      </c>
      <c r="F1446" s="2" t="str">
        <f ca="1">IFERROR(__xludf.DUMMYFUNCTION("GOOGLETRANSLATE(B1446,""en"",""it"")"),"distruggere")</f>
        <v>distruggere</v>
      </c>
      <c r="G1446" s="2" t="str">
        <f ca="1">IFERROR(__xludf.DUMMYFUNCTION("GOOGLETRANSLATE(B1446,""en"",""de"")"),"zerstören")</f>
        <v>zerstören</v>
      </c>
      <c r="H1446" s="2" t="str">
        <f ca="1">IFERROR(__xludf.DUMMYFUNCTION("GOOGLETRANSLATE(B1446,""en"",""zh"")"),"破坏")</f>
        <v>破坏</v>
      </c>
      <c r="I1446" s="2" t="str">
        <f ca="1">IFERROR(__xludf.DUMMYFUNCTION("GOOGLETRANSLATE(B1446,""en"",""gd"")"),"Dèan sgrios")</f>
        <v>Dèan sgrios</v>
      </c>
    </row>
    <row r="1447" spans="1:9" ht="14.25" customHeight="1" x14ac:dyDescent="0.3">
      <c r="A1447" s="2">
        <v>1446</v>
      </c>
      <c r="B1447" s="3" t="s">
        <v>1454</v>
      </c>
      <c r="C1447" s="2" t="str">
        <f ca="1">IFERROR(__xludf.DUMMYFUNCTION("GOOGLETRANSLATE(B1447, ""en"",""es"")"),"amorío")</f>
        <v>amorío</v>
      </c>
      <c r="D1447" s="2" t="str">
        <f ca="1">IFERROR(__xludf.DUMMYFUNCTION("GOOGLETRANSLATE(B1447,""en"",""ig"")"),"ihe omume")</f>
        <v>ihe omume</v>
      </c>
      <c r="E1447" s="2" t="str">
        <f ca="1">IFERROR(__xludf.DUMMYFUNCTION("GOOGLETRANSLATE(B1447,""en"",""fr"")"),"affaire")</f>
        <v>affaire</v>
      </c>
      <c r="F1447" s="2" t="str">
        <f ca="1">IFERROR(__xludf.DUMMYFUNCTION("GOOGLETRANSLATE(B1447,""en"",""it"")"),"affare")</f>
        <v>affare</v>
      </c>
      <c r="G1447" s="2" t="str">
        <f ca="1">IFERROR(__xludf.DUMMYFUNCTION("GOOGLETRANSLATE(B1447,""en"",""de"")"),"Affäre")</f>
        <v>Affäre</v>
      </c>
      <c r="H1447" s="2" t="str">
        <f ca="1">IFERROR(__xludf.DUMMYFUNCTION("GOOGLETRANSLATE(B1447,""en"",""zh"")"),"事务")</f>
        <v>事务</v>
      </c>
      <c r="I1447" s="2" t="str">
        <f ca="1">IFERROR(__xludf.DUMMYFUNCTION("GOOGLETRANSLATE(B1447,""en"",""gd"")"),"affair")</f>
        <v>affair</v>
      </c>
    </row>
    <row r="1448" spans="1:9" ht="14.25" customHeight="1" x14ac:dyDescent="0.3">
      <c r="A1448" s="2">
        <v>1447</v>
      </c>
      <c r="B1448" s="3" t="s">
        <v>1455</v>
      </c>
      <c r="C1448" s="2" t="str">
        <f ca="1">IFERROR(__xludf.DUMMYFUNCTION("GOOGLETRANSLATE(B1448, ""en"",""es"")"),"civil")</f>
        <v>civil</v>
      </c>
      <c r="D1448" s="2" t="str">
        <f ca="1">IFERROR(__xludf.DUMMYFUNCTION("GOOGLETRANSLATE(B1448,""en"",""ig"")"),"uloetiti")</f>
        <v>uloetiti</v>
      </c>
      <c r="E1448" s="2" t="str">
        <f ca="1">IFERROR(__xludf.DUMMYFUNCTION("GOOGLETRANSLATE(B1448,""en"",""fr"")"),"civil")</f>
        <v>civil</v>
      </c>
      <c r="F1448" s="2" t="str">
        <f ca="1">IFERROR(__xludf.DUMMYFUNCTION("GOOGLETRANSLATE(B1448,""en"",""it"")"),"civile")</f>
        <v>civile</v>
      </c>
      <c r="G1448" s="2" t="str">
        <f ca="1">IFERROR(__xludf.DUMMYFUNCTION("GOOGLETRANSLATE(B1448,""en"",""de"")"),"bürgerlich")</f>
        <v>bürgerlich</v>
      </c>
      <c r="H1448" s="2" t="str">
        <f ca="1">IFERROR(__xludf.DUMMYFUNCTION("GOOGLETRANSLATE(B1448,""en"",""zh"")"),"民事")</f>
        <v>民事</v>
      </c>
      <c r="I1448" s="2" t="str">
        <f ca="1">IFERROR(__xludf.DUMMYFUNCTION("GOOGLETRANSLATE(B1448,""en"",""gd"")"),"Catharra")</f>
        <v>Catharra</v>
      </c>
    </row>
    <row r="1449" spans="1:9" ht="14.25" customHeight="1" x14ac:dyDescent="0.3">
      <c r="A1449" s="2">
        <v>1448</v>
      </c>
      <c r="B1449" s="3" t="s">
        <v>1456</v>
      </c>
      <c r="C1449" s="2" t="str">
        <f ca="1">IFERROR(__xludf.DUMMYFUNCTION("GOOGLETRANSLATE(B1449, ""en"",""es"")"),"localizar")</f>
        <v>localizar</v>
      </c>
      <c r="D1449" s="2" t="str">
        <f ca="1">IFERROR(__xludf.DUMMYFUNCTION("GOOGLETRANSLATE(B1449,""en"",""ig"")"),"ichoputa")</f>
        <v>ichoputa</v>
      </c>
      <c r="E1449" s="2" t="str">
        <f ca="1">IFERROR(__xludf.DUMMYFUNCTION("GOOGLETRANSLATE(B1449,""en"",""fr"")"),"Localiser")</f>
        <v>Localiser</v>
      </c>
      <c r="F1449" s="2" t="str">
        <f ca="1">IFERROR(__xludf.DUMMYFUNCTION("GOOGLETRANSLATE(B1449,""en"",""it"")"),"individuare")</f>
        <v>individuare</v>
      </c>
      <c r="G1449" s="2" t="str">
        <f ca="1">IFERROR(__xludf.DUMMYFUNCTION("GOOGLETRANSLATE(B1449,""en"",""de"")"),"Lokalisieren")</f>
        <v>Lokalisieren</v>
      </c>
      <c r="H1449" s="2" t="str">
        <f ca="1">IFERROR(__xludf.DUMMYFUNCTION("GOOGLETRANSLATE(B1449,""en"",""zh"")"),"定位")</f>
        <v>定位</v>
      </c>
      <c r="I1449" s="2" t="str">
        <f ca="1">IFERROR(__xludf.DUMMYFUNCTION("GOOGLETRANSLATE(B1449,""en"",""gd"")"),"lorg")</f>
        <v>lorg</v>
      </c>
    </row>
    <row r="1450" spans="1:9" ht="14.25" customHeight="1" x14ac:dyDescent="0.3">
      <c r="A1450" s="2">
        <v>1449</v>
      </c>
      <c r="B1450" s="3" t="s">
        <v>1457</v>
      </c>
      <c r="C1450" s="2" t="str">
        <f ca="1">IFERROR(__xludf.DUMMYFUNCTION("GOOGLETRANSLATE(B1450, ""en"",""es"")"),"ciudadano")</f>
        <v>ciudadano</v>
      </c>
      <c r="D1450" s="2" t="str">
        <f ca="1">IFERROR(__xludf.DUMMYFUNCTION("GOOGLETRANSLATE(B1450,""en"",""ig"")"),"onye obodo")</f>
        <v>onye obodo</v>
      </c>
      <c r="E1450" s="2" t="str">
        <f ca="1">IFERROR(__xludf.DUMMYFUNCTION("GOOGLETRANSLATE(B1450,""en"",""fr"")"),"citoyen")</f>
        <v>citoyen</v>
      </c>
      <c r="F1450" s="2" t="str">
        <f ca="1">IFERROR(__xludf.DUMMYFUNCTION("GOOGLETRANSLATE(B1450,""en"",""it"")"),"cittadino")</f>
        <v>cittadino</v>
      </c>
      <c r="G1450" s="2" t="str">
        <f ca="1">IFERROR(__xludf.DUMMYFUNCTION("GOOGLETRANSLATE(B1450,""en"",""de"")"),"Bürger")</f>
        <v>Bürger</v>
      </c>
      <c r="H1450" s="2" t="str">
        <f ca="1">IFERROR(__xludf.DUMMYFUNCTION("GOOGLETRANSLATE(B1450,""en"",""zh"")"),"公民")</f>
        <v>公民</v>
      </c>
      <c r="I1450" s="2" t="str">
        <f ca="1">IFERROR(__xludf.DUMMYFUNCTION("GOOGLETRANSLATE(B1450,""en"",""gd"")"),"Saoranach")</f>
        <v>Saoranach</v>
      </c>
    </row>
    <row r="1451" spans="1:9" ht="14.25" customHeight="1" x14ac:dyDescent="0.3">
      <c r="A1451" s="2">
        <v>1450</v>
      </c>
      <c r="B1451" s="3" t="s">
        <v>1458</v>
      </c>
      <c r="C1451" s="2" t="str">
        <f ca="1">IFERROR(__xludf.DUMMYFUNCTION("GOOGLETRANSLATE(B1451, ""en"",""es"")"),"temperatura")</f>
        <v>temperatura</v>
      </c>
      <c r="D1451" s="2" t="str">
        <f ca="1">IFERROR(__xludf.DUMMYFUNCTION("GOOGLETRANSLATE(B1451,""en"",""ig"")"),"temperacho")</f>
        <v>temperacho</v>
      </c>
      <c r="E1451" s="2" t="str">
        <f ca="1">IFERROR(__xludf.DUMMYFUNCTION("GOOGLETRANSLATE(B1451,""en"",""fr"")"),"température")</f>
        <v>température</v>
      </c>
      <c r="F1451" s="2" t="str">
        <f ca="1">IFERROR(__xludf.DUMMYFUNCTION("GOOGLETRANSLATE(B1451,""en"",""it"")"),"temperatura")</f>
        <v>temperatura</v>
      </c>
      <c r="G1451" s="2" t="str">
        <f ca="1">IFERROR(__xludf.DUMMYFUNCTION("GOOGLETRANSLATE(B1451,""en"",""de"")"),"Temperatur")</f>
        <v>Temperatur</v>
      </c>
      <c r="H1451" s="2" t="str">
        <f ca="1">IFERROR(__xludf.DUMMYFUNCTION("GOOGLETRANSLATE(B1451,""en"",""zh"")"),"温度")</f>
        <v>温度</v>
      </c>
      <c r="I1451" s="2" t="str">
        <f ca="1">IFERROR(__xludf.DUMMYFUNCTION("GOOGLETRANSLATE(B1451,""en"",""gd"")"),"teòthachd")</f>
        <v>teòthachd</v>
      </c>
    </row>
    <row r="1452" spans="1:9" ht="14.25" customHeight="1" x14ac:dyDescent="0.3">
      <c r="A1452" s="2">
        <v>1451</v>
      </c>
      <c r="B1452" s="3" t="s">
        <v>1459</v>
      </c>
      <c r="C1452" s="2" t="str">
        <f ca="1">IFERROR(__xludf.DUMMYFUNCTION("GOOGLETRANSLATE(B1452, ""en"",""es"")"),"oro")</f>
        <v>oro</v>
      </c>
      <c r="D1452" s="2" t="str">
        <f ca="1">IFERROR(__xludf.DUMMYFUNCTION("GOOGLETRANSLATE(B1452,""en"",""ig"")"),"gooldu")</f>
        <v>gooldu</v>
      </c>
      <c r="E1452" s="2" t="str">
        <f ca="1">IFERROR(__xludf.DUMMYFUNCTION("GOOGLETRANSLATE(B1452,""en"",""fr"")"),"or")</f>
        <v>or</v>
      </c>
      <c r="F1452" s="2" t="str">
        <f ca="1">IFERROR(__xludf.DUMMYFUNCTION("GOOGLETRANSLATE(B1452,""en"",""it"")"),"oro")</f>
        <v>oro</v>
      </c>
      <c r="G1452" s="2" t="str">
        <f ca="1">IFERROR(__xludf.DUMMYFUNCTION("GOOGLETRANSLATE(B1452,""en"",""de"")"),"Gold")</f>
        <v>Gold</v>
      </c>
      <c r="H1452" s="2" t="str">
        <f ca="1">IFERROR(__xludf.DUMMYFUNCTION("GOOGLETRANSLATE(B1452,""en"",""zh"")"),"金子")</f>
        <v>金子</v>
      </c>
      <c r="I1452" s="2" t="str">
        <f ca="1">IFERROR(__xludf.DUMMYFUNCTION("GOOGLETRANSLATE(B1452,""en"",""gd"")"),"òr")</f>
        <v>òr</v>
      </c>
    </row>
    <row r="1453" spans="1:9" ht="14.25" customHeight="1" x14ac:dyDescent="0.3">
      <c r="A1453" s="2">
        <v>1452</v>
      </c>
      <c r="B1453" s="3" t="s">
        <v>1460</v>
      </c>
      <c r="C1453" s="2" t="str">
        <f ca="1">IFERROR(__xludf.DUMMYFUNCTION("GOOGLETRANSLATE(B1453, ""en"",""es"")"),"doméstico")</f>
        <v>doméstico</v>
      </c>
      <c r="D1453" s="2" t="str">
        <f ca="1">IFERROR(__xludf.DUMMYFUNCTION("GOOGLETRANSLATE(B1453,""en"",""ig"")"),"keulo")</f>
        <v>keulo</v>
      </c>
      <c r="E1453" s="2" t="str">
        <f ca="1">IFERROR(__xludf.DUMMYFUNCTION("GOOGLETRANSLATE(B1453,""en"",""fr"")"),"domestique")</f>
        <v>domestique</v>
      </c>
      <c r="F1453" s="2" t="str">
        <f ca="1">IFERROR(__xludf.DUMMYFUNCTION("GOOGLETRANSLATE(B1453,""en"",""it"")"),"domestico")</f>
        <v>domestico</v>
      </c>
      <c r="G1453" s="2" t="str">
        <f ca="1">IFERROR(__xludf.DUMMYFUNCTION("GOOGLETRANSLATE(B1453,""en"",""de"")"),"inländisch")</f>
        <v>inländisch</v>
      </c>
      <c r="H1453" s="2" t="str">
        <f ca="1">IFERROR(__xludf.DUMMYFUNCTION("GOOGLETRANSLATE(B1453,""en"",""zh"")"),"国内的")</f>
        <v>国内的</v>
      </c>
      <c r="I1453" s="2" t="str">
        <f ca="1">IFERROR(__xludf.DUMMYFUNCTION("GOOGLETRANSLATE(B1453,""en"",""gd"")"),"dachaigheil")</f>
        <v>dachaigheil</v>
      </c>
    </row>
    <row r="1454" spans="1:9" ht="14.25" customHeight="1" x14ac:dyDescent="0.3">
      <c r="A1454" s="2">
        <v>1453</v>
      </c>
      <c r="B1454" s="3" t="s">
        <v>1461</v>
      </c>
      <c r="C1454" s="2" t="str">
        <f ca="1">IFERROR(__xludf.DUMMYFUNCTION("GOOGLETRANSLATE(B1454, ""en"",""es"")"),"carga")</f>
        <v>carga</v>
      </c>
      <c r="D1454" s="2" t="str">
        <f ca="1">IFERROR(__xludf.DUMMYFUNCTION("GOOGLETRANSLATE(B1454,""en"",""ig"")"),"ibu")</f>
        <v>ibu</v>
      </c>
      <c r="E1454" s="2" t="str">
        <f ca="1">IFERROR(__xludf.DUMMYFUNCTION("GOOGLETRANSLATE(B1454,""en"",""fr"")"),"charger")</f>
        <v>charger</v>
      </c>
      <c r="F1454" s="2" t="str">
        <f ca="1">IFERROR(__xludf.DUMMYFUNCTION("GOOGLETRANSLATE(B1454,""en"",""it"")"),"carico")</f>
        <v>carico</v>
      </c>
      <c r="G1454" s="2" t="str">
        <f ca="1">IFERROR(__xludf.DUMMYFUNCTION("GOOGLETRANSLATE(B1454,""en"",""de"")"),"Belastung")</f>
        <v>Belastung</v>
      </c>
      <c r="H1454" s="2" t="str">
        <f ca="1">IFERROR(__xludf.DUMMYFUNCTION("GOOGLETRANSLATE(B1454,""en"",""zh"")"),"加载")</f>
        <v>加载</v>
      </c>
      <c r="I1454" s="2" t="str">
        <f ca="1">IFERROR(__xludf.DUMMYFUNCTION("GOOGLETRANSLATE(B1454,""en"",""gd"")"),"Luchdaich")</f>
        <v>Luchdaich</v>
      </c>
    </row>
    <row r="1455" spans="1:9" ht="14.25" customHeight="1" x14ac:dyDescent="0.3">
      <c r="A1455" s="2">
        <v>1454</v>
      </c>
      <c r="B1455" s="3" t="s">
        <v>1462</v>
      </c>
      <c r="C1455" s="2" t="str">
        <f ca="1">IFERROR(__xludf.DUMMYFUNCTION("GOOGLETRANSLATE(B1455, ""en"",""es"")"),"creencia")</f>
        <v>creencia</v>
      </c>
      <c r="D1455" s="2" t="str">
        <f ca="1">IFERROR(__xludf.DUMMYFUNCTION("GOOGLETRANSLATE(B1455,""en"",""ig"")"),"okwukwe")</f>
        <v>okwukwe</v>
      </c>
      <c r="E1455" s="2" t="str">
        <f ca="1">IFERROR(__xludf.DUMMYFUNCTION("GOOGLETRANSLATE(B1455,""en"",""fr"")"),"croyance")</f>
        <v>croyance</v>
      </c>
      <c r="F1455" s="2" t="str">
        <f ca="1">IFERROR(__xludf.DUMMYFUNCTION("GOOGLETRANSLATE(B1455,""en"",""it"")"),"credenza")</f>
        <v>credenza</v>
      </c>
      <c r="G1455" s="2" t="str">
        <f ca="1">IFERROR(__xludf.DUMMYFUNCTION("GOOGLETRANSLATE(B1455,""en"",""de"")"),"Glauben")</f>
        <v>Glauben</v>
      </c>
      <c r="H1455" s="2" t="str">
        <f ca="1">IFERROR(__xludf.DUMMYFUNCTION("GOOGLETRANSLATE(B1455,""en"",""zh"")"),"信仰")</f>
        <v>信仰</v>
      </c>
      <c r="I1455" s="2" t="str">
        <f ca="1">IFERROR(__xludf.DUMMYFUNCTION("GOOGLETRANSLATE(B1455,""en"",""gd"")"),"Creideas")</f>
        <v>Creideas</v>
      </c>
    </row>
    <row r="1456" spans="1:9" ht="14.25" customHeight="1" x14ac:dyDescent="0.3">
      <c r="A1456" s="2">
        <v>1455</v>
      </c>
      <c r="B1456" s="3" t="s">
        <v>1463</v>
      </c>
      <c r="C1456" s="2" t="str">
        <f ca="1">IFERROR(__xludf.DUMMYFUNCTION("GOOGLETRANSLATE(B1456, ""en"",""es"")"),"tropa")</f>
        <v>tropa</v>
      </c>
      <c r="D1456" s="2" t="str">
        <f ca="1">IFERROR(__xludf.DUMMYFUNCTION("GOOGLETRANSLATE(B1456,""en"",""ig"")"),"ndi")</f>
        <v>ndi</v>
      </c>
      <c r="E1456" s="2" t="str">
        <f ca="1">IFERROR(__xludf.DUMMYFUNCTION("GOOGLETRANSLATE(B1456,""en"",""fr"")"),"troupe")</f>
        <v>troupe</v>
      </c>
      <c r="F1456" s="2" t="str">
        <f ca="1">IFERROR(__xludf.DUMMYFUNCTION("GOOGLETRANSLATE(B1456,""en"",""it"")"),"truppe")</f>
        <v>truppe</v>
      </c>
      <c r="G1456" s="2" t="str">
        <f ca="1">IFERROR(__xludf.DUMMYFUNCTION("GOOGLETRANSLATE(B1456,""en"",""de"")"),"Trupp")</f>
        <v>Trupp</v>
      </c>
      <c r="H1456" s="2" t="str">
        <f ca="1">IFERROR(__xludf.DUMMYFUNCTION("GOOGLETRANSLATE(B1456,""en"",""zh"")"),"部队")</f>
        <v>部队</v>
      </c>
      <c r="I1456" s="2" t="str">
        <f ca="1">IFERROR(__xludf.DUMMYFUNCTION("GOOGLETRANSLATE(B1456,""en"",""gd"")"),"tisop")</f>
        <v>tisop</v>
      </c>
    </row>
    <row r="1457" spans="1:9" ht="14.25" customHeight="1" x14ac:dyDescent="0.3">
      <c r="A1457" s="2">
        <v>1456</v>
      </c>
      <c r="B1457" s="3" t="s">
        <v>1464</v>
      </c>
      <c r="C1457" s="2" t="str">
        <f ca="1">IFERROR(__xludf.DUMMYFUNCTION("GOOGLETRANSLATE(B1457, ""en"",""es"")"),"técnico")</f>
        <v>técnico</v>
      </c>
      <c r="D1457" s="2" t="str">
        <f ca="1">IFERROR(__xludf.DUMMYFUNCTION("GOOGLETRANSLATE(B1457,""en"",""ig"")"),"teknikal")</f>
        <v>teknikal</v>
      </c>
      <c r="E1457" s="2" t="str">
        <f ca="1">IFERROR(__xludf.DUMMYFUNCTION("GOOGLETRANSLATE(B1457,""en"",""fr"")"),"technique")</f>
        <v>technique</v>
      </c>
      <c r="F1457" s="2" t="str">
        <f ca="1">IFERROR(__xludf.DUMMYFUNCTION("GOOGLETRANSLATE(B1457,""en"",""it"")"),"tecnico")</f>
        <v>tecnico</v>
      </c>
      <c r="G1457" s="2" t="str">
        <f ca="1">IFERROR(__xludf.DUMMYFUNCTION("GOOGLETRANSLATE(B1457,""en"",""de"")"),"technisch")</f>
        <v>technisch</v>
      </c>
      <c r="H1457" s="2" t="str">
        <f ca="1">IFERROR(__xludf.DUMMYFUNCTION("GOOGLETRANSLATE(B1457,""en"",""zh"")"),"技术的")</f>
        <v>技术的</v>
      </c>
      <c r="I1457" s="2" t="str">
        <f ca="1">IFERROR(__xludf.DUMMYFUNCTION("GOOGLETRANSLATE(B1457,""en"",""gd"")"),"teignigeach")</f>
        <v>teignigeach</v>
      </c>
    </row>
    <row r="1458" spans="1:9" ht="14.25" customHeight="1" x14ac:dyDescent="0.3">
      <c r="A1458" s="2">
        <v>1457</v>
      </c>
      <c r="B1458" s="3" t="s">
        <v>1465</v>
      </c>
      <c r="C1458" s="2" t="str">
        <f ca="1">IFERROR(__xludf.DUMMYFUNCTION("GOOGLETRANSLATE(B1458, ""en"",""es"")"),"recordar")</f>
        <v>recordar</v>
      </c>
      <c r="D1458" s="2" t="str">
        <f ca="1">IFERROR(__xludf.DUMMYFUNCTION("GOOGLETRANSLATE(B1458,""en"",""ig"")"),"ichetara")</f>
        <v>ichetara</v>
      </c>
      <c r="E1458" s="2" t="str">
        <f ca="1">IFERROR(__xludf.DUMMYFUNCTION("GOOGLETRANSLATE(B1458,""en"",""fr"")"),"rappeler")</f>
        <v>rappeler</v>
      </c>
      <c r="F1458" s="2" t="str">
        <f ca="1">IFERROR(__xludf.DUMMYFUNCTION("GOOGLETRANSLATE(B1458,""en"",""it"")"),"ricordare")</f>
        <v>ricordare</v>
      </c>
      <c r="G1458" s="2" t="str">
        <f ca="1">IFERROR(__xludf.DUMMYFUNCTION("GOOGLETRANSLATE(B1458,""en"",""de"")"),"erinnern")</f>
        <v>erinnern</v>
      </c>
      <c r="H1458" s="2" t="str">
        <f ca="1">IFERROR(__xludf.DUMMYFUNCTION("GOOGLETRANSLATE(B1458,""en"",""zh"")"),"提醒")</f>
        <v>提醒</v>
      </c>
      <c r="I1458" s="2" t="str">
        <f ca="1">IFERROR(__xludf.DUMMYFUNCTION("GOOGLETRANSLATE(B1458,""en"",""gd"")"),"Cuir an cuimhne")</f>
        <v>Cuir an cuimhne</v>
      </c>
    </row>
    <row r="1459" spans="1:9" ht="14.25" customHeight="1" x14ac:dyDescent="0.3">
      <c r="A1459" s="2">
        <v>1458</v>
      </c>
      <c r="B1459" s="3" t="s">
        <v>1466</v>
      </c>
      <c r="C1459" s="2" t="str">
        <f ca="1">IFERROR(__xludf.DUMMYFUNCTION("GOOGLETRANSLATE(B1459, ""en"",""es"")"),"acuerdo")</f>
        <v>acuerdo</v>
      </c>
      <c r="D1459" s="2" t="str">
        <f ca="1">IFERROR(__xludf.DUMMYFUNCTION("GOOGLETRANSLATE(B1459,""en"",""ig"")"),"mkwado")</f>
        <v>mkwado</v>
      </c>
      <c r="E1459" s="2" t="str">
        <f ca="1">IFERROR(__xludf.DUMMYFUNCTION("GOOGLETRANSLATE(B1459,""en"",""fr"")"),"arrangement")</f>
        <v>arrangement</v>
      </c>
      <c r="F1459" s="2" t="str">
        <f ca="1">IFERROR(__xludf.DUMMYFUNCTION("GOOGLETRANSLATE(B1459,""en"",""it"")"),"disposizione")</f>
        <v>disposizione</v>
      </c>
      <c r="G1459" s="2" t="str">
        <f ca="1">IFERROR(__xludf.DUMMYFUNCTION("GOOGLETRANSLATE(B1459,""en"",""de"")"),"Anordnung")</f>
        <v>Anordnung</v>
      </c>
      <c r="H1459" s="2" t="str">
        <f ca="1">IFERROR(__xludf.DUMMYFUNCTION("GOOGLETRANSLATE(B1459,""en"",""zh"")"),"安排")</f>
        <v>安排</v>
      </c>
      <c r="I1459" s="2" t="str">
        <f ca="1">IFERROR(__xludf.DUMMYFUNCTION("GOOGLETRANSLATE(B1459,""en"",""gd"")"),"rèiteachadh")</f>
        <v>rèiteachadh</v>
      </c>
    </row>
    <row r="1460" spans="1:9" ht="14.25" customHeight="1" x14ac:dyDescent="0.3">
      <c r="A1460" s="2">
        <v>1459</v>
      </c>
      <c r="B1460" s="3" t="s">
        <v>1467</v>
      </c>
      <c r="C1460" s="2" t="str">
        <f ca="1">IFERROR(__xludf.DUMMYFUNCTION("GOOGLETRANSLATE(B1460, ""en"",""es"")"),"piel")</f>
        <v>piel</v>
      </c>
      <c r="D1460" s="2" t="str">
        <f ca="1">IFERROR(__xludf.DUMMYFUNCTION("GOOGLETRANSLATE(B1460,""en"",""ig"")"),"anuahu")</f>
        <v>anuahu</v>
      </c>
      <c r="E1460" s="2" t="str">
        <f ca="1">IFERROR(__xludf.DUMMYFUNCTION("GOOGLETRANSLATE(B1460,""en"",""fr"")"),"peau")</f>
        <v>peau</v>
      </c>
      <c r="F1460" s="2" t="str">
        <f ca="1">IFERROR(__xludf.DUMMYFUNCTION("GOOGLETRANSLATE(B1460,""en"",""it"")"),"pelle")</f>
        <v>pelle</v>
      </c>
      <c r="G1460" s="2" t="str">
        <f ca="1">IFERROR(__xludf.DUMMYFUNCTION("GOOGLETRANSLATE(B1460,""en"",""de"")"),"Haut")</f>
        <v>Haut</v>
      </c>
      <c r="H1460" s="2" t="str">
        <f ca="1">IFERROR(__xludf.DUMMYFUNCTION("GOOGLETRANSLATE(B1460,""en"",""zh"")"),"皮肤")</f>
        <v>皮肤</v>
      </c>
      <c r="I1460" s="2" t="str">
        <f ca="1">IFERROR(__xludf.DUMMYFUNCTION("GOOGLETRANSLATE(B1460,""en"",""gd"")"),"craiceann")</f>
        <v>craiceann</v>
      </c>
    </row>
    <row r="1461" spans="1:9" ht="14.25" customHeight="1" x14ac:dyDescent="0.3">
      <c r="A1461" s="2">
        <v>1460</v>
      </c>
      <c r="B1461" s="3" t="s">
        <v>1468</v>
      </c>
      <c r="C1461" s="2" t="str">
        <f ca="1">IFERROR(__xludf.DUMMYFUNCTION("GOOGLETRANSLATE(B1461, ""en"",""es"")"),"prisión")</f>
        <v>prisión</v>
      </c>
      <c r="D1461" s="2" t="str">
        <f ca="1">IFERROR(__xludf.DUMMYFUNCTION("GOOGLETRANSLATE(B1461,""en"",""ig"")"),"ulo nkporo")</f>
        <v>ulo nkporo</v>
      </c>
      <c r="E1461" s="2" t="str">
        <f ca="1">IFERROR(__xludf.DUMMYFUNCTION("GOOGLETRANSLATE(B1461,""en"",""fr"")"),"prison")</f>
        <v>prison</v>
      </c>
      <c r="F1461" s="2" t="str">
        <f ca="1">IFERROR(__xludf.DUMMYFUNCTION("GOOGLETRANSLATE(B1461,""en"",""it"")"),"prigione")</f>
        <v>prigione</v>
      </c>
      <c r="G1461" s="2" t="str">
        <f ca="1">IFERROR(__xludf.DUMMYFUNCTION("GOOGLETRANSLATE(B1461,""en"",""de"")"),"Gefängnis")</f>
        <v>Gefängnis</v>
      </c>
      <c r="H1461" s="2" t="str">
        <f ca="1">IFERROR(__xludf.DUMMYFUNCTION("GOOGLETRANSLATE(B1461,""en"",""zh"")"),"监狱")</f>
        <v>监狱</v>
      </c>
      <c r="I1461" s="2" t="str">
        <f ca="1">IFERROR(__xludf.DUMMYFUNCTION("GOOGLETRANSLATE(B1461,""en"",""gd"")"),"prìosan")</f>
        <v>prìosan</v>
      </c>
    </row>
    <row r="1462" spans="1:9" ht="14.25" customHeight="1" x14ac:dyDescent="0.3">
      <c r="A1462" s="2">
        <v>1461</v>
      </c>
      <c r="B1462" s="3" t="s">
        <v>1469</v>
      </c>
      <c r="C1462" s="2" t="str">
        <f ca="1">IFERROR(__xludf.DUMMYFUNCTION("GOOGLETRANSLATE(B1462, ""en"",""es"")"),"cambiar")</f>
        <v>cambiar</v>
      </c>
      <c r="D1462" s="2" t="str">
        <f ca="1">IFERROR(__xludf.DUMMYFUNCTION("GOOGLETRANSLATE(B1462,""en"",""ig"")"),"siwiich")</f>
        <v>siwiich</v>
      </c>
      <c r="E1462" s="2" t="str">
        <f ca="1">IFERROR(__xludf.DUMMYFUNCTION("GOOGLETRANSLATE(B1462,""en"",""fr"")"),"changer")</f>
        <v>changer</v>
      </c>
      <c r="F1462" s="2" t="str">
        <f ca="1">IFERROR(__xludf.DUMMYFUNCTION("GOOGLETRANSLATE(B1462,""en"",""it"")"),"interruttore")</f>
        <v>interruttore</v>
      </c>
      <c r="G1462" s="2" t="str">
        <f ca="1">IFERROR(__xludf.DUMMYFUNCTION("GOOGLETRANSLATE(B1462,""en"",""de"")"),"schalten")</f>
        <v>schalten</v>
      </c>
      <c r="H1462" s="2" t="str">
        <f ca="1">IFERROR(__xludf.DUMMYFUNCTION("GOOGLETRANSLATE(B1462,""en"",""zh"")"),"转变")</f>
        <v>转变</v>
      </c>
      <c r="I1462" s="2" t="str">
        <f ca="1">IFERROR(__xludf.DUMMYFUNCTION("GOOGLETRANSLATE(B1462,""en"",""gd"")"),"tionndadh")</f>
        <v>tionndadh</v>
      </c>
    </row>
    <row r="1463" spans="1:9" ht="14.25" customHeight="1" x14ac:dyDescent="0.3">
      <c r="A1463" s="2">
        <v>1462</v>
      </c>
      <c r="B1463" s="3" t="s">
        <v>1470</v>
      </c>
      <c r="C1463" s="2" t="str">
        <f ca="1">IFERROR(__xludf.DUMMYFUNCTION("GOOGLETRANSLATE(B1463, ""en"",""es"")"),"adquirir")</f>
        <v>adquirir</v>
      </c>
      <c r="D1463" s="2" t="str">
        <f ca="1">IFERROR(__xludf.DUMMYFUNCTION("GOOGLETRANSLATE(B1463,""en"",""ig"")"),"inwete")</f>
        <v>inwete</v>
      </c>
      <c r="E1463" s="2" t="str">
        <f ca="1">IFERROR(__xludf.DUMMYFUNCTION("GOOGLETRANSLATE(B1463,""en"",""fr"")"),"acquérir")</f>
        <v>acquérir</v>
      </c>
      <c r="F1463" s="2" t="str">
        <f ca="1">IFERROR(__xludf.DUMMYFUNCTION("GOOGLETRANSLATE(B1463,""en"",""it"")"),"acquisire")</f>
        <v>acquisire</v>
      </c>
      <c r="G1463" s="2" t="str">
        <f ca="1">IFERROR(__xludf.DUMMYFUNCTION("GOOGLETRANSLATE(B1463,""en"",""de"")"),"erwerben")</f>
        <v>erwerben</v>
      </c>
      <c r="H1463" s="2" t="str">
        <f ca="1">IFERROR(__xludf.DUMMYFUNCTION("GOOGLETRANSLATE(B1463,""en"",""zh"")"),"获得")</f>
        <v>获得</v>
      </c>
      <c r="I1463" s="2" t="str">
        <f ca="1">IFERROR(__xludf.DUMMYFUNCTION("GOOGLETRANSLATE(B1463,""en"",""gd"")"),"faigh")</f>
        <v>faigh</v>
      </c>
    </row>
    <row r="1464" spans="1:9" ht="14.25" customHeight="1" x14ac:dyDescent="0.3">
      <c r="A1464" s="2">
        <v>1463</v>
      </c>
      <c r="B1464" s="3" t="s">
        <v>1471</v>
      </c>
      <c r="C1464" s="2" t="str">
        <f ca="1">IFERROR(__xludf.DUMMYFUNCTION("GOOGLETRANSLATE(B1464, ""en"",""es"")"),"corporativo")</f>
        <v>corporativo</v>
      </c>
      <c r="D1464" s="2" t="str">
        <f ca="1">IFERROR(__xludf.DUMMYFUNCTION("GOOGLETRANSLATE(B1464,""en"",""ig"")"),"ulo oru")</f>
        <v>ulo oru</v>
      </c>
      <c r="E1464" s="2" t="str">
        <f ca="1">IFERROR(__xludf.DUMMYFUNCTION("GOOGLETRANSLATE(B1464,""en"",""fr"")"),"corporatif")</f>
        <v>corporatif</v>
      </c>
      <c r="F1464" s="2" t="str">
        <f ca="1">IFERROR(__xludf.DUMMYFUNCTION("GOOGLETRANSLATE(B1464,""en"",""it"")"),"aziendale")</f>
        <v>aziendale</v>
      </c>
      <c r="G1464" s="2" t="str">
        <f ca="1">IFERROR(__xludf.DUMMYFUNCTION("GOOGLETRANSLATE(B1464,""en"",""de"")"),"Unternehmen")</f>
        <v>Unternehmen</v>
      </c>
      <c r="H1464" s="2" t="str">
        <f ca="1">IFERROR(__xludf.DUMMYFUNCTION("GOOGLETRANSLATE(B1464,""en"",""zh"")"),"公司的")</f>
        <v>公司的</v>
      </c>
      <c r="I1464" s="2" t="str">
        <f ca="1">IFERROR(__xludf.DUMMYFUNCTION("GOOGLETRANSLATE(B1464,""en"",""gd"")"),"Corporra")</f>
        <v>Corporra</v>
      </c>
    </row>
    <row r="1465" spans="1:9" ht="14.25" customHeight="1" x14ac:dyDescent="0.3">
      <c r="A1465" s="2">
        <v>1464</v>
      </c>
      <c r="B1465" s="3" t="s">
        <v>1472</v>
      </c>
      <c r="C1465" s="2" t="str">
        <f ca="1">IFERROR(__xludf.DUMMYFUNCTION("GOOGLETRANSLATE(B1465, ""en"",""es"")"),"equitativamente")</f>
        <v>equitativamente</v>
      </c>
      <c r="D1465" s="2" t="str">
        <f ca="1">IFERROR(__xludf.DUMMYFUNCTION("GOOGLETRANSLATE(B1465,""en"",""ig"")"),"dika ezi")</f>
        <v>dika ezi</v>
      </c>
      <c r="E1465" s="2" t="str">
        <f ca="1">IFERROR(__xludf.DUMMYFUNCTION("GOOGLETRANSLATE(B1465,""en"",""fr"")"),"assez")</f>
        <v>assez</v>
      </c>
      <c r="F1465" s="2" t="str">
        <f ca="1">IFERROR(__xludf.DUMMYFUNCTION("GOOGLETRANSLATE(B1465,""en"",""it"")"),"abbastanza")</f>
        <v>abbastanza</v>
      </c>
      <c r="G1465" s="2" t="str">
        <f ca="1">IFERROR(__xludf.DUMMYFUNCTION("GOOGLETRANSLATE(B1465,""en"",""de"")"),"ziemlich")</f>
        <v>ziemlich</v>
      </c>
      <c r="H1465" s="2" t="str">
        <f ca="1">IFERROR(__xludf.DUMMYFUNCTION("GOOGLETRANSLATE(B1465,""en"",""zh"")"),"相当")</f>
        <v>相当</v>
      </c>
      <c r="I1465" s="2" t="str">
        <f ca="1">IFERROR(__xludf.DUMMYFUNCTION("GOOGLETRANSLATE(B1465,""en"",""gd"")"),"gu cothromach")</f>
        <v>gu cothromach</v>
      </c>
    </row>
    <row r="1466" spans="1:9" ht="14.25" customHeight="1" x14ac:dyDescent="0.3">
      <c r="A1466" s="2">
        <v>1465</v>
      </c>
      <c r="B1466" s="3" t="s">
        <v>1473</v>
      </c>
      <c r="C1466" s="2" t="str">
        <f ca="1">IFERROR(__xludf.DUMMYFUNCTION("GOOGLETRANSLATE(B1466, ""en"",""es"")"),"madera")</f>
        <v>madera</v>
      </c>
      <c r="D1466" s="2" t="str">
        <f ca="1">IFERROR(__xludf.DUMMYFUNCTION("GOOGLETRANSLATE(B1466,""en"",""ig"")"),"osisi")</f>
        <v>osisi</v>
      </c>
      <c r="E1466" s="2" t="str">
        <f ca="1">IFERROR(__xludf.DUMMYFUNCTION("GOOGLETRANSLATE(B1466,""en"",""fr"")"),"bois")</f>
        <v>bois</v>
      </c>
      <c r="F1466" s="2" t="str">
        <f ca="1">IFERROR(__xludf.DUMMYFUNCTION("GOOGLETRANSLATE(B1466,""en"",""it"")"),"legna")</f>
        <v>legna</v>
      </c>
      <c r="G1466" s="2" t="str">
        <f ca="1">IFERROR(__xludf.DUMMYFUNCTION("GOOGLETRANSLATE(B1466,""en"",""de"")"),"Holz")</f>
        <v>Holz</v>
      </c>
      <c r="H1466" s="2" t="str">
        <f ca="1">IFERROR(__xludf.DUMMYFUNCTION("GOOGLETRANSLATE(B1466,""en"",""zh"")"),"木头")</f>
        <v>木头</v>
      </c>
      <c r="I1466" s="2" t="str">
        <f ca="1">IFERROR(__xludf.DUMMYFUNCTION("GOOGLETRANSLATE(B1466,""en"",""gd"")"),"fiodh")</f>
        <v>fiodh</v>
      </c>
    </row>
    <row r="1467" spans="1:9" ht="14.25" customHeight="1" x14ac:dyDescent="0.3">
      <c r="A1467" s="2">
        <v>1466</v>
      </c>
      <c r="B1467" s="3" t="s">
        <v>1474</v>
      </c>
      <c r="C1467" s="2" t="str">
        <f ca="1">IFERROR(__xludf.DUMMYFUNCTION("GOOGLETRANSLATE(B1467, ""en"",""es"")"),"participar")</f>
        <v>participar</v>
      </c>
      <c r="D1467" s="2" t="str">
        <f ca="1">IFERROR(__xludf.DUMMYFUNCTION("GOOGLETRANSLATE(B1467,""en"",""ig"")"),"soroibe")</f>
        <v>soroibe</v>
      </c>
      <c r="E1467" s="2" t="str">
        <f ca="1">IFERROR(__xludf.DUMMYFUNCTION("GOOGLETRANSLATE(B1467,""en"",""fr"")"),"participer")</f>
        <v>participer</v>
      </c>
      <c r="F1467" s="2" t="str">
        <f ca="1">IFERROR(__xludf.DUMMYFUNCTION("GOOGLETRANSLATE(B1467,""en"",""it"")"),"partecipare")</f>
        <v>partecipare</v>
      </c>
      <c r="G1467" s="2" t="str">
        <f ca="1">IFERROR(__xludf.DUMMYFUNCTION("GOOGLETRANSLATE(B1467,""en"",""de"")"),"teilnehmen")</f>
        <v>teilnehmen</v>
      </c>
      <c r="H1467" s="2" t="str">
        <f ca="1">IFERROR(__xludf.DUMMYFUNCTION("GOOGLETRANSLATE(B1467,""en"",""zh"")"),"参加")</f>
        <v>参加</v>
      </c>
      <c r="I1467" s="2" t="str">
        <f ca="1">IFERROR(__xludf.DUMMYFUNCTION("GOOGLETRANSLATE(B1467,""en"",""gd"")"),"Gabh pàirt")</f>
        <v>Gabh pàirt</v>
      </c>
    </row>
    <row r="1468" spans="1:9" ht="14.25" customHeight="1" x14ac:dyDescent="0.3">
      <c r="A1468" s="2">
        <v>1467</v>
      </c>
      <c r="B1468" s="3" t="s">
        <v>1475</v>
      </c>
      <c r="C1468" s="2" t="str">
        <f ca="1">IFERROR(__xludf.DUMMYFUNCTION("GOOGLETRANSLATE(B1468, ""en"",""es"")"),"difícil")</f>
        <v>difícil</v>
      </c>
      <c r="D1468" s="2" t="str">
        <f ca="1">IFERROR(__xludf.DUMMYFUNCTION("GOOGLETRANSLATE(B1468,""en"",""ig"")"),"ikike")</f>
        <v>ikike</v>
      </c>
      <c r="E1468" s="2" t="str">
        <f ca="1">IFERROR(__xludf.DUMMYFUNCTION("GOOGLETRANSLATE(B1468,""en"",""fr"")"),"difficile")</f>
        <v>difficile</v>
      </c>
      <c r="F1468" s="2" t="str">
        <f ca="1">IFERROR(__xludf.DUMMYFUNCTION("GOOGLETRANSLATE(B1468,""en"",""it"")"),"difficile")</f>
        <v>difficile</v>
      </c>
      <c r="G1468" s="2" t="str">
        <f ca="1">IFERROR(__xludf.DUMMYFUNCTION("GOOGLETRANSLATE(B1468,""en"",""de"")"),"hart")</f>
        <v>hart</v>
      </c>
      <c r="H1468" s="2" t="str">
        <f ca="1">IFERROR(__xludf.DUMMYFUNCTION("GOOGLETRANSLATE(B1468,""en"",""zh"")"),"艰难的")</f>
        <v>艰难的</v>
      </c>
      <c r="I1468" s="2" t="str">
        <f ca="1">IFERROR(__xludf.DUMMYFUNCTION("GOOGLETRANSLATE(B1468,""en"",""gd"")"),"duilich")</f>
        <v>duilich</v>
      </c>
    </row>
    <row r="1469" spans="1:9" ht="14.25" customHeight="1" x14ac:dyDescent="0.3">
      <c r="A1469" s="2">
        <v>1468</v>
      </c>
      <c r="B1469" s="3" t="s">
        <v>1476</v>
      </c>
      <c r="C1469" s="2" t="str">
        <f ca="1">IFERROR(__xludf.DUMMYFUNCTION("GOOGLETRANSLATE(B1469, ""en"",""es"")"),"lágrima")</f>
        <v>lágrima</v>
      </c>
      <c r="D1469" s="2" t="str">
        <f ca="1">IFERROR(__xludf.DUMMYFUNCTION("GOOGLETRANSLATE(B1469,""en"",""ig"")"),"ikwa")</f>
        <v>ikwa</v>
      </c>
      <c r="E1469" s="2" t="str">
        <f ca="1">IFERROR(__xludf.DUMMYFUNCTION("GOOGLETRANSLATE(B1469,""en"",""fr"")"),"larme")</f>
        <v>larme</v>
      </c>
      <c r="F1469" s="2" t="str">
        <f ca="1">IFERROR(__xludf.DUMMYFUNCTION("GOOGLETRANSLATE(B1469,""en"",""it"")"),"lacrima")</f>
        <v>lacrima</v>
      </c>
      <c r="G1469" s="2" t="str">
        <f ca="1">IFERROR(__xludf.DUMMYFUNCTION("GOOGLETRANSLATE(B1469,""en"",""de"")"),"Träne")</f>
        <v>Träne</v>
      </c>
      <c r="H1469" s="2" t="str">
        <f ca="1">IFERROR(__xludf.DUMMYFUNCTION("GOOGLETRANSLATE(B1469,""en"",""zh"")"),"眼泪")</f>
        <v>眼泪</v>
      </c>
      <c r="I1469" s="2" t="str">
        <f ca="1">IFERROR(__xludf.DUMMYFUNCTION("GOOGLETRANSLATE(B1469,""en"",""gd"")"),"deòir")</f>
        <v>deòir</v>
      </c>
    </row>
    <row r="1470" spans="1:9" ht="14.25" customHeight="1" x14ac:dyDescent="0.3">
      <c r="A1470" s="2">
        <v>1469</v>
      </c>
      <c r="B1470" s="3" t="s">
        <v>1477</v>
      </c>
      <c r="C1470" s="2" t="str">
        <f ca="1">IFERROR(__xludf.DUMMYFUNCTION("GOOGLETRANSLATE(B1470, ""en"",""es"")"),"representante")</f>
        <v>representante</v>
      </c>
      <c r="D1470" s="2" t="str">
        <f ca="1">IFERROR(__xludf.DUMMYFUNCTION("GOOGLETRANSLATE(B1470,""en"",""ig"")"),"onye nnochi nwaanyi")</f>
        <v>onye nnochi nwaanyi</v>
      </c>
      <c r="E1470" s="2" t="str">
        <f ca="1">IFERROR(__xludf.DUMMYFUNCTION("GOOGLETRANSLATE(B1470,""en"",""fr"")"),"représentant")</f>
        <v>représentant</v>
      </c>
      <c r="F1470" s="2" t="str">
        <f ca="1">IFERROR(__xludf.DUMMYFUNCTION("GOOGLETRANSLATE(B1470,""en"",""it"")"),"rappresentante")</f>
        <v>rappresentante</v>
      </c>
      <c r="G1470" s="2" t="str">
        <f ca="1">IFERROR(__xludf.DUMMYFUNCTION("GOOGLETRANSLATE(B1470,""en"",""de"")"),"Vertreter")</f>
        <v>Vertreter</v>
      </c>
      <c r="H1470" s="2" t="str">
        <f ca="1">IFERROR(__xludf.DUMMYFUNCTION("GOOGLETRANSLATE(B1470,""en"",""zh"")"),"代表")</f>
        <v>代表</v>
      </c>
      <c r="I1470" s="2" t="str">
        <f ca="1">IFERROR(__xludf.DUMMYFUNCTION("GOOGLETRANSLATE(B1470,""en"",""gd"")"),"Riochdaire")</f>
        <v>Riochdaire</v>
      </c>
    </row>
    <row r="1471" spans="1:9" ht="14.25" customHeight="1" x14ac:dyDescent="0.3">
      <c r="A1471" s="2">
        <v>1470</v>
      </c>
      <c r="B1471" s="3" t="s">
        <v>1478</v>
      </c>
      <c r="C1471" s="2" t="str">
        <f ca="1">IFERROR(__xludf.DUMMYFUNCTION("GOOGLETRANSLATE(B1471, ""en"",""es"")"),"capacidad")</f>
        <v>capacidad</v>
      </c>
      <c r="D1471" s="2" t="str">
        <f ca="1">IFERROR(__xludf.DUMMYFUNCTION("GOOGLETRANSLATE(B1471,""en"",""ig"")"),"ike")</f>
        <v>ike</v>
      </c>
      <c r="E1471" s="2" t="str">
        <f ca="1">IFERROR(__xludf.DUMMYFUNCTION("GOOGLETRANSLATE(B1471,""en"",""fr"")"),"capacité")</f>
        <v>capacité</v>
      </c>
      <c r="F1471" s="2" t="str">
        <f ca="1">IFERROR(__xludf.DUMMYFUNCTION("GOOGLETRANSLATE(B1471,""en"",""it"")"),"capacità")</f>
        <v>capacità</v>
      </c>
      <c r="G1471" s="2" t="str">
        <f ca="1">IFERROR(__xludf.DUMMYFUNCTION("GOOGLETRANSLATE(B1471,""en"",""de"")"),"Kapazität")</f>
        <v>Kapazität</v>
      </c>
      <c r="H1471" s="2" t="str">
        <f ca="1">IFERROR(__xludf.DUMMYFUNCTION("GOOGLETRANSLATE(B1471,""en"",""zh"")"),"容量")</f>
        <v>容量</v>
      </c>
      <c r="I1471" s="2" t="str">
        <f ca="1">IFERROR(__xludf.DUMMYFUNCTION("GOOGLETRANSLATE(B1471,""en"",""gd"")"),"comas")</f>
        <v>comas</v>
      </c>
    </row>
    <row r="1472" spans="1:9" ht="14.25" customHeight="1" x14ac:dyDescent="0.3">
      <c r="A1472" s="2">
        <v>1471</v>
      </c>
      <c r="B1472" s="3" t="s">
        <v>1479</v>
      </c>
      <c r="C1472" s="2" t="str">
        <f ca="1">IFERROR(__xludf.DUMMYFUNCTION("GOOGLETRANSLATE(B1472, ""en"",""es"")"),"borde")</f>
        <v>borde</v>
      </c>
      <c r="D1472" s="2" t="str">
        <f ca="1">IFERROR(__xludf.DUMMYFUNCTION("GOOGLETRANSLATE(B1472,""en"",""ig"")"),"oke")</f>
        <v>oke</v>
      </c>
      <c r="E1472" s="2" t="str">
        <f ca="1">IFERROR(__xludf.DUMMYFUNCTION("GOOGLETRANSLATE(B1472,""en"",""fr"")"),"frontière")</f>
        <v>frontière</v>
      </c>
      <c r="F1472" s="2" t="str">
        <f ca="1">IFERROR(__xludf.DUMMYFUNCTION("GOOGLETRANSLATE(B1472,""en"",""it"")"),"confine")</f>
        <v>confine</v>
      </c>
      <c r="G1472" s="2" t="str">
        <f ca="1">IFERROR(__xludf.DUMMYFUNCTION("GOOGLETRANSLATE(B1472,""en"",""de"")"),"Grenze")</f>
        <v>Grenze</v>
      </c>
      <c r="H1472" s="2" t="str">
        <f ca="1">IFERROR(__xludf.DUMMYFUNCTION("GOOGLETRANSLATE(B1472,""en"",""zh"")"),"边界")</f>
        <v>边界</v>
      </c>
      <c r="I1472" s="2" t="str">
        <f ca="1">IFERROR(__xludf.DUMMYFUNCTION("GOOGLETRANSLATE(B1472,""en"",""gd"")"),"crìoch")</f>
        <v>crìoch</v>
      </c>
    </row>
    <row r="1473" spans="1:9" ht="14.25" customHeight="1" x14ac:dyDescent="0.3">
      <c r="A1473" s="2">
        <v>1472</v>
      </c>
      <c r="B1473" s="3" t="s">
        <v>1480</v>
      </c>
      <c r="C1473" s="2" t="str">
        <f ca="1">IFERROR(__xludf.DUMMYFUNCTION("GOOGLETRANSLATE(B1473, ""en"",""es"")"),"agitar")</f>
        <v>agitar</v>
      </c>
      <c r="D1473" s="2" t="str">
        <f ca="1">IFERROR(__xludf.DUMMYFUNCTION("GOOGLETRANSLATE(B1473,""en"",""ig"")"),"ikwanye")</f>
        <v>ikwanye</v>
      </c>
      <c r="E1473" s="2" t="str">
        <f ca="1">IFERROR(__xludf.DUMMYFUNCTION("GOOGLETRANSLATE(B1473,""en"",""fr"")"),"secouer")</f>
        <v>secouer</v>
      </c>
      <c r="F1473" s="2" t="str">
        <f ca="1">IFERROR(__xludf.DUMMYFUNCTION("GOOGLETRANSLATE(B1473,""en"",""it"")"),"scuotere")</f>
        <v>scuotere</v>
      </c>
      <c r="G1473" s="2" t="str">
        <f ca="1">IFERROR(__xludf.DUMMYFUNCTION("GOOGLETRANSLATE(B1473,""en"",""de"")"),"Shake")</f>
        <v>Shake</v>
      </c>
      <c r="H1473" s="2" t="str">
        <f ca="1">IFERROR(__xludf.DUMMYFUNCTION("GOOGLETRANSLATE(B1473,""en"",""zh"")"),"摇")</f>
        <v>摇</v>
      </c>
      <c r="I1473" s="2" t="str">
        <f ca="1">IFERROR(__xludf.DUMMYFUNCTION("GOOGLETRANSLATE(B1473,""en"",""gd"")"),"crathadh")</f>
        <v>crathadh</v>
      </c>
    </row>
    <row r="1474" spans="1:9" ht="14.25" customHeight="1" x14ac:dyDescent="0.3">
      <c r="A1474" s="2">
        <v>1473</v>
      </c>
      <c r="B1474" s="3" t="s">
        <v>1481</v>
      </c>
      <c r="C1474" s="2" t="str">
        <f ca="1">IFERROR(__xludf.DUMMYFUNCTION("GOOGLETRANSLATE(B1474, ""en"",""es"")"),"evaluación")</f>
        <v>evaluación</v>
      </c>
      <c r="D1474" s="2" t="str">
        <f ca="1">IFERROR(__xludf.DUMMYFUNCTION("GOOGLETRANSLATE(B1474,""en"",""ig"")"),"ntule")</f>
        <v>ntule</v>
      </c>
      <c r="E1474" s="2" t="str">
        <f ca="1">IFERROR(__xludf.DUMMYFUNCTION("GOOGLETRANSLATE(B1474,""en"",""fr"")"),"évaluation")</f>
        <v>évaluation</v>
      </c>
      <c r="F1474" s="2" t="str">
        <f ca="1">IFERROR(__xludf.DUMMYFUNCTION("GOOGLETRANSLATE(B1474,""en"",""it"")"),"valutazione")</f>
        <v>valutazione</v>
      </c>
      <c r="G1474" s="2" t="str">
        <f ca="1">IFERROR(__xludf.DUMMYFUNCTION("GOOGLETRANSLATE(B1474,""en"",""de"")"),"Bewertung")</f>
        <v>Bewertung</v>
      </c>
      <c r="H1474" s="2" t="str">
        <f ca="1">IFERROR(__xludf.DUMMYFUNCTION("GOOGLETRANSLATE(B1474,""en"",""zh"")"),"评估")</f>
        <v>评估</v>
      </c>
      <c r="I1474" s="2" t="str">
        <f ca="1">IFERROR(__xludf.DUMMYFUNCTION("GOOGLETRANSLATE(B1474,""en"",""gd"")"),"Measadh")</f>
        <v>Measadh</v>
      </c>
    </row>
    <row r="1475" spans="1:9" ht="14.25" customHeight="1" x14ac:dyDescent="0.3">
      <c r="A1475" s="2">
        <v>1474</v>
      </c>
      <c r="B1475" s="3" t="s">
        <v>1482</v>
      </c>
      <c r="C1475" s="2" t="str">
        <f ca="1">IFERROR(__xludf.DUMMYFUNCTION("GOOGLETRANSLATE(B1475, ""en"",""es"")"),"zapato")</f>
        <v>zapato</v>
      </c>
      <c r="D1475" s="2" t="str">
        <f ca="1">IFERROR(__xludf.DUMMYFUNCTION("GOOGLETRANSLATE(B1475,""en"",""ig"")"),"akpukpoukwu")</f>
        <v>akpukpoukwu</v>
      </c>
      <c r="E1475" s="2" t="str">
        <f ca="1">IFERROR(__xludf.DUMMYFUNCTION("GOOGLETRANSLATE(B1475,""en"",""fr"")"),"chaussure")</f>
        <v>chaussure</v>
      </c>
      <c r="F1475" s="2" t="str">
        <f ca="1">IFERROR(__xludf.DUMMYFUNCTION("GOOGLETRANSLATE(B1475,""en"",""it"")"),"scarpa")</f>
        <v>scarpa</v>
      </c>
      <c r="G1475" s="2" t="str">
        <f ca="1">IFERROR(__xludf.DUMMYFUNCTION("GOOGLETRANSLATE(B1475,""en"",""de"")"),"Schuh")</f>
        <v>Schuh</v>
      </c>
      <c r="H1475" s="2" t="str">
        <f ca="1">IFERROR(__xludf.DUMMYFUNCTION("GOOGLETRANSLATE(B1475,""en"",""zh"")"),"鞋")</f>
        <v>鞋</v>
      </c>
      <c r="I1475" s="2" t="str">
        <f ca="1">IFERROR(__xludf.DUMMYFUNCTION("GOOGLETRANSLATE(B1475,""en"",""gd"")"),"Bròg")</f>
        <v>Bròg</v>
      </c>
    </row>
    <row r="1476" spans="1:9" ht="14.25" customHeight="1" x14ac:dyDescent="0.3">
      <c r="A1476" s="2">
        <v>1475</v>
      </c>
      <c r="B1476" s="3" t="s">
        <v>1483</v>
      </c>
      <c r="C1476" s="2" t="str">
        <f ca="1">IFERROR(__xludf.DUMMYFUNCTION("GOOGLETRANSLATE(B1476, ""en"",""es"")"),"debería")</f>
        <v>debería</v>
      </c>
      <c r="D1476" s="2" t="str">
        <f ca="1">IFERROR(__xludf.DUMMYFUNCTION("GOOGLETRANSLATE(B1476,""en"",""ig"")"),"tota")</f>
        <v>tota</v>
      </c>
      <c r="E1476" s="2" t="str">
        <f ca="1">IFERROR(__xludf.DUMMYFUNCTION("GOOGLETRANSLATE(B1476,""en"",""fr"")"),"devrait")</f>
        <v>devrait</v>
      </c>
      <c r="F1476" s="2" t="str">
        <f ca="1">IFERROR(__xludf.DUMMYFUNCTION("GOOGLETRANSLATE(B1476,""en"",""it"")"),"dovrebbe")</f>
        <v>dovrebbe</v>
      </c>
      <c r="G1476" s="2" t="str">
        <f ca="1">IFERROR(__xludf.DUMMYFUNCTION("GOOGLETRANSLATE(B1476,""en"",""de"")"),"sollte")</f>
        <v>sollte</v>
      </c>
      <c r="H1476" s="2" t="str">
        <f ca="1">IFERROR(__xludf.DUMMYFUNCTION("GOOGLETRANSLATE(B1476,""en"",""zh"")"),"应该")</f>
        <v>应该</v>
      </c>
      <c r="I1476" s="2" t="str">
        <f ca="1">IFERROR(__xludf.DUMMYFUNCTION("GOOGLETRANSLATE(B1476,""en"",""gd"")"),"bu chòir")</f>
        <v>bu chòir</v>
      </c>
    </row>
    <row r="1477" spans="1:9" ht="14.25" customHeight="1" x14ac:dyDescent="0.3">
      <c r="A1477" s="2">
        <v>1476</v>
      </c>
      <c r="B1477" s="3" t="s">
        <v>1484</v>
      </c>
      <c r="C1477" s="2" t="str">
        <f ca="1">IFERROR(__xludf.DUMMYFUNCTION("GOOGLETRANSLATE(B1477, ""en"",""es"")"),"anuncio")</f>
        <v>anuncio</v>
      </c>
      <c r="D1477" s="2" t="str">
        <f ca="1">IFERROR(__xludf.DUMMYFUNCTION("GOOGLETRANSLATE(B1477,""en"",""ig"")"),"edo")</f>
        <v>edo</v>
      </c>
      <c r="E1477" s="2" t="str">
        <f ca="1">IFERROR(__xludf.DUMMYFUNCTION("GOOGLETRANSLATE(B1477,""en"",""fr"")"),"annonce")</f>
        <v>annonce</v>
      </c>
      <c r="F1477" s="2" t="str">
        <f ca="1">IFERROR(__xludf.DUMMYFUNCTION("GOOGLETRANSLATE(B1477,""en"",""it"")"),"anno Domini")</f>
        <v>anno Domini</v>
      </c>
      <c r="G1477" s="2" t="str">
        <f ca="1">IFERROR(__xludf.DUMMYFUNCTION("GOOGLETRANSLATE(B1477,""en"",""de"")"),"Anzeige")</f>
        <v>Anzeige</v>
      </c>
      <c r="H1477" s="2" t="str">
        <f ca="1">IFERROR(__xludf.DUMMYFUNCTION("GOOGLETRANSLATE(B1477,""en"",""zh"")"),"广告")</f>
        <v>广告</v>
      </c>
      <c r="I1477" s="2" t="str">
        <f ca="1">IFERROR(__xludf.DUMMYFUNCTION("GOOGLETRANSLATE(B1477,""en"",""gd"")"),"Ad")</f>
        <v>Ad</v>
      </c>
    </row>
    <row r="1478" spans="1:9" ht="14.25" customHeight="1" x14ac:dyDescent="0.3">
      <c r="A1478" s="2">
        <v>1477</v>
      </c>
      <c r="B1478" s="3" t="s">
        <v>1485</v>
      </c>
      <c r="C1478" s="2" t="str">
        <f ca="1">IFERROR(__xludf.DUMMYFUNCTION("GOOGLETRANSLATE(B1478, ""en"",""es"")"),"tarifa")</f>
        <v>tarifa</v>
      </c>
      <c r="D1478" s="2" t="str">
        <f ca="1">IFERROR(__xludf.DUMMYFUNCTION("GOOGLETRANSLATE(B1478,""en"",""ig"")"),"ugwo okwukwu")</f>
        <v>ugwo okwukwu</v>
      </c>
      <c r="E1478" s="2" t="str">
        <f ca="1">IFERROR(__xludf.DUMMYFUNCTION("GOOGLETRANSLATE(B1478,""en"",""fr"")"),"frais")</f>
        <v>frais</v>
      </c>
      <c r="F1478" s="2" t="str">
        <f ca="1">IFERROR(__xludf.DUMMYFUNCTION("GOOGLETRANSLATE(B1478,""en"",""it"")"),"tassa")</f>
        <v>tassa</v>
      </c>
      <c r="G1478" s="2" t="str">
        <f ca="1">IFERROR(__xludf.DUMMYFUNCTION("GOOGLETRANSLATE(B1478,""en"",""de"")"),"Gebühr")</f>
        <v>Gebühr</v>
      </c>
      <c r="H1478" s="2" t="str">
        <f ca="1">IFERROR(__xludf.DUMMYFUNCTION("GOOGLETRANSLATE(B1478,""en"",""zh"")"),"费用")</f>
        <v>费用</v>
      </c>
      <c r="I1478" s="2" t="str">
        <f ca="1">IFERROR(__xludf.DUMMYFUNCTION("GOOGLETRANSLATE(B1478,""en"",""gd"")"),"Cìs")</f>
        <v>Cìs</v>
      </c>
    </row>
    <row r="1479" spans="1:9" ht="14.25" customHeight="1" x14ac:dyDescent="0.3">
      <c r="A1479" s="2">
        <v>1478</v>
      </c>
      <c r="B1479" s="3" t="s">
        <v>1486</v>
      </c>
      <c r="C1479" s="2" t="str">
        <f ca="1">IFERROR(__xludf.DUMMYFUNCTION("GOOGLETRANSLATE(B1479, ""en"",""es"")"),"sala")</f>
        <v>sala</v>
      </c>
      <c r="D1479" s="2" t="str">
        <f ca="1">IFERROR(__xludf.DUMMYFUNCTION("GOOGLETRANSLATE(B1479,""en"",""ig"")"),"ulo")</f>
        <v>ulo</v>
      </c>
      <c r="E1479" s="2" t="str">
        <f ca="1">IFERROR(__xludf.DUMMYFUNCTION("GOOGLETRANSLATE(B1479,""en"",""fr"")"),"salle")</f>
        <v>salle</v>
      </c>
      <c r="F1479" s="2" t="str">
        <f ca="1">IFERROR(__xludf.DUMMYFUNCTION("GOOGLETRANSLATE(B1479,""en"",""it"")"),"sala")</f>
        <v>sala</v>
      </c>
      <c r="G1479" s="2" t="str">
        <f ca="1">IFERROR(__xludf.DUMMYFUNCTION("GOOGLETRANSLATE(B1479,""en"",""de"")"),"Saal")</f>
        <v>Saal</v>
      </c>
      <c r="H1479" s="2" t="str">
        <f ca="1">IFERROR(__xludf.DUMMYFUNCTION("GOOGLETRANSLATE(B1479,""en"",""zh"")"),"大厅")</f>
        <v>大厅</v>
      </c>
      <c r="I1479" s="2" t="str">
        <f ca="1">IFERROR(__xludf.DUMMYFUNCTION("GOOGLETRANSLATE(B1479,""en"",""gd"")"),"talla")</f>
        <v>talla</v>
      </c>
    </row>
    <row r="1480" spans="1:9" ht="14.25" customHeight="1" x14ac:dyDescent="0.3">
      <c r="A1480" s="2">
        <v>1479</v>
      </c>
      <c r="B1480" s="3" t="s">
        <v>1487</v>
      </c>
      <c r="C1480" s="2" t="str">
        <f ca="1">IFERROR(__xludf.DUMMYFUNCTION("GOOGLETRANSLATE(B1480, ""en"",""es"")"),"regulación")</f>
        <v>regulación</v>
      </c>
      <c r="D1480" s="2" t="str">
        <f ca="1">IFERROR(__xludf.DUMMYFUNCTION("GOOGLETRANSLATE(B1480,""en"",""ig"")"),"iwu")</f>
        <v>iwu</v>
      </c>
      <c r="E1480" s="2" t="str">
        <f ca="1">IFERROR(__xludf.DUMMYFUNCTION("GOOGLETRANSLATE(B1480,""en"",""fr"")"),"régulation")</f>
        <v>régulation</v>
      </c>
      <c r="F1480" s="2" t="str">
        <f ca="1">IFERROR(__xludf.DUMMYFUNCTION("GOOGLETRANSLATE(B1480,""en"",""it"")"),"regolamento")</f>
        <v>regolamento</v>
      </c>
      <c r="G1480" s="2" t="str">
        <f ca="1">IFERROR(__xludf.DUMMYFUNCTION("GOOGLETRANSLATE(B1480,""en"",""de"")"),"Verordnung")</f>
        <v>Verordnung</v>
      </c>
      <c r="H1480" s="2" t="str">
        <f ca="1">IFERROR(__xludf.DUMMYFUNCTION("GOOGLETRANSLATE(B1480,""en"",""zh"")"),"规定")</f>
        <v>规定</v>
      </c>
      <c r="I1480" s="2" t="str">
        <f ca="1">IFERROR(__xludf.DUMMYFUNCTION("GOOGLETRANSLATE(B1480,""en"",""gd"")"),"riaghladh")</f>
        <v>riaghladh</v>
      </c>
    </row>
    <row r="1481" spans="1:9" ht="14.25" customHeight="1" x14ac:dyDescent="0.3">
      <c r="A1481" s="2">
        <v>1480</v>
      </c>
      <c r="B1481" s="3" t="s">
        <v>1488</v>
      </c>
      <c r="C1481" s="2" t="str">
        <f ca="1">IFERROR(__xludf.DUMMYFUNCTION("GOOGLETRANSLATE(B1481, ""en"",""es"")"),"escapar")</f>
        <v>escapar</v>
      </c>
      <c r="D1481" s="2" t="str">
        <f ca="1">IFERROR(__xludf.DUMMYFUNCTION("GOOGLETRANSLATE(B1481,""en"",""ig"")"),"igbapu")</f>
        <v>igbapu</v>
      </c>
      <c r="E1481" s="2" t="str">
        <f ca="1">IFERROR(__xludf.DUMMYFUNCTION("GOOGLETRANSLATE(B1481,""en"",""fr"")"),"s'échapper")</f>
        <v>s'échapper</v>
      </c>
      <c r="F1481" s="2" t="str">
        <f ca="1">IFERROR(__xludf.DUMMYFUNCTION("GOOGLETRANSLATE(B1481,""en"",""it"")"),"fuga")</f>
        <v>fuga</v>
      </c>
      <c r="G1481" s="2" t="str">
        <f ca="1">IFERROR(__xludf.DUMMYFUNCTION("GOOGLETRANSLATE(B1481,""en"",""de"")"),"Flucht")</f>
        <v>Flucht</v>
      </c>
      <c r="H1481" s="2" t="str">
        <f ca="1">IFERROR(__xludf.DUMMYFUNCTION("GOOGLETRANSLATE(B1481,""en"",""zh"")"),"逃脱")</f>
        <v>逃脱</v>
      </c>
      <c r="I1481" s="2" t="str">
        <f ca="1">IFERROR(__xludf.DUMMYFUNCTION("GOOGLETRANSLATE(B1481,""en"",""gd"")"),"teicheadh")</f>
        <v>teicheadh</v>
      </c>
    </row>
    <row r="1482" spans="1:9" ht="14.25" customHeight="1" x14ac:dyDescent="0.3">
      <c r="A1482" s="2">
        <v>1481</v>
      </c>
      <c r="B1482" s="3" t="s">
        <v>1489</v>
      </c>
      <c r="C1482" s="2" t="str">
        <f ca="1">IFERROR(__xludf.DUMMYFUNCTION("GOOGLETRANSLATE(B1482, ""en"",""es"")"),"estudio")</f>
        <v>estudio</v>
      </c>
      <c r="D1482" s="2" t="str">
        <f ca="1">IFERROR(__xludf.DUMMYFUNCTION("GOOGLETRANSLATE(B1482,""en"",""ig"")"),"gara aga")</f>
        <v>gara aga</v>
      </c>
      <c r="E1482" s="2" t="str">
        <f ca="1">IFERROR(__xludf.DUMMYFUNCTION("GOOGLETRANSLATE(B1482,""en"",""fr"")"),"studio")</f>
        <v>studio</v>
      </c>
      <c r="F1482" s="2" t="str">
        <f ca="1">IFERROR(__xludf.DUMMYFUNCTION("GOOGLETRANSLATE(B1482,""en"",""it"")"),"studio")</f>
        <v>studio</v>
      </c>
      <c r="G1482" s="2" t="str">
        <f ca="1">IFERROR(__xludf.DUMMYFUNCTION("GOOGLETRANSLATE(B1482,""en"",""de"")"),"Studio")</f>
        <v>Studio</v>
      </c>
      <c r="H1482" s="2" t="str">
        <f ca="1">IFERROR(__xludf.DUMMYFUNCTION("GOOGLETRANSLATE(B1482,""en"",""zh"")"),"工作室")</f>
        <v>工作室</v>
      </c>
      <c r="I1482" s="2" t="str">
        <f ca="1">IFERROR(__xludf.DUMMYFUNCTION("GOOGLETRANSLATE(B1482,""en"",""gd"")"),"stiùidio")</f>
        <v>stiùidio</v>
      </c>
    </row>
    <row r="1483" spans="1:9" ht="14.25" customHeight="1" x14ac:dyDescent="0.3">
      <c r="A1483" s="2">
        <v>1482</v>
      </c>
      <c r="B1483" s="3" t="s">
        <v>1490</v>
      </c>
      <c r="C1483" s="2" t="str">
        <f ca="1">IFERROR(__xludf.DUMMYFUNCTION("GOOGLETRANSLATE(B1483, ""en"",""es"")"),"adecuado")</f>
        <v>adecuado</v>
      </c>
      <c r="D1483" s="2" t="str">
        <f ca="1">IFERROR(__xludf.DUMMYFUNCTION("GOOGLETRANSLATE(B1483,""en"",""ig"")"),"kwesiri ekwesi")</f>
        <v>kwesiri ekwesi</v>
      </c>
      <c r="E1483" s="2" t="str">
        <f ca="1">IFERROR(__xludf.DUMMYFUNCTION("GOOGLETRANSLATE(B1483,""en"",""fr"")"),"approprié")</f>
        <v>approprié</v>
      </c>
      <c r="F1483" s="2" t="str">
        <f ca="1">IFERROR(__xludf.DUMMYFUNCTION("GOOGLETRANSLATE(B1483,""en"",""it"")"),"corretto")</f>
        <v>corretto</v>
      </c>
      <c r="G1483" s="2" t="str">
        <f ca="1">IFERROR(__xludf.DUMMYFUNCTION("GOOGLETRANSLATE(B1483,""en"",""de"")"),"richtig")</f>
        <v>richtig</v>
      </c>
      <c r="H1483" s="2" t="str">
        <f ca="1">IFERROR(__xludf.DUMMYFUNCTION("GOOGLETRANSLATE(B1483,""en"",""zh"")"),"恰当的")</f>
        <v>恰当的</v>
      </c>
      <c r="I1483" s="2" t="str">
        <f ca="1">IFERROR(__xludf.DUMMYFUNCTION("GOOGLETRANSLATE(B1483,""en"",""gd"")"),"ceart")</f>
        <v>ceart</v>
      </c>
    </row>
    <row r="1484" spans="1:9" ht="14.25" customHeight="1" x14ac:dyDescent="0.3">
      <c r="A1484" s="2">
        <v>1483</v>
      </c>
      <c r="B1484" s="3" t="s">
        <v>1491</v>
      </c>
      <c r="C1484" s="2" t="str">
        <f ca="1">IFERROR(__xludf.DUMMYFUNCTION("GOOGLETRANSLATE(B1484, ""en"",""es"")"),"relajarse")</f>
        <v>relajarse</v>
      </c>
      <c r="D1484" s="2" t="str">
        <f ca="1">IFERROR(__xludf.DUMMYFUNCTION("GOOGLETRANSLATE(B1484,""en"",""ig"")"),"Zuo ike")</f>
        <v>Zuo ike</v>
      </c>
      <c r="E1484" s="2" t="str">
        <f ca="1">IFERROR(__xludf.DUMMYFUNCTION("GOOGLETRANSLATE(B1484,""en"",""fr"")"),"se détendre")</f>
        <v>se détendre</v>
      </c>
      <c r="F1484" s="2" t="str">
        <f ca="1">IFERROR(__xludf.DUMMYFUNCTION("GOOGLETRANSLATE(B1484,""en"",""it"")"),"relax")</f>
        <v>relax</v>
      </c>
      <c r="G1484" s="2" t="str">
        <f ca="1">IFERROR(__xludf.DUMMYFUNCTION("GOOGLETRANSLATE(B1484,""en"",""de"")"),"entspannen")</f>
        <v>entspannen</v>
      </c>
      <c r="H1484" s="2" t="str">
        <f ca="1">IFERROR(__xludf.DUMMYFUNCTION("GOOGLETRANSLATE(B1484,""en"",""zh"")"),"放松")</f>
        <v>放松</v>
      </c>
      <c r="I1484" s="2" t="str">
        <f ca="1">IFERROR(__xludf.DUMMYFUNCTION("GOOGLETRANSLATE(B1484,""en"",""gd"")"),"gabh fois")</f>
        <v>gabh fois</v>
      </c>
    </row>
    <row r="1485" spans="1:9" ht="14.25" customHeight="1" x14ac:dyDescent="0.3">
      <c r="A1485" s="2">
        <v>1484</v>
      </c>
      <c r="B1485" s="3" t="s">
        <v>1492</v>
      </c>
      <c r="C1485" s="2" t="str">
        <f ca="1">IFERROR(__xludf.DUMMYFUNCTION("GOOGLETRANSLATE(B1485, ""en"",""es"")"),"turista")</f>
        <v>turista</v>
      </c>
      <c r="D1485" s="2" t="str">
        <f ca="1">IFERROR(__xludf.DUMMYFUNCTION("GOOGLETRANSLATE(B1485,""en"",""ig"")"),"oje njem nwoke")</f>
        <v>oje njem nwoke</v>
      </c>
      <c r="E1485" s="2" t="str">
        <f ca="1">IFERROR(__xludf.DUMMYFUNCTION("GOOGLETRANSLATE(B1485,""en"",""fr"")"),"touristique")</f>
        <v>touristique</v>
      </c>
      <c r="F1485" s="2" t="str">
        <f ca="1">IFERROR(__xludf.DUMMYFUNCTION("GOOGLETRANSLATE(B1485,""en"",""it"")"),"turista")</f>
        <v>turista</v>
      </c>
      <c r="G1485" s="2" t="str">
        <f ca="1">IFERROR(__xludf.DUMMYFUNCTION("GOOGLETRANSLATE(B1485,""en"",""de"")"),"Tourist")</f>
        <v>Tourist</v>
      </c>
      <c r="H1485" s="2" t="str">
        <f ca="1">IFERROR(__xludf.DUMMYFUNCTION("GOOGLETRANSLATE(B1485,""en"",""zh"")"),"游客")</f>
        <v>游客</v>
      </c>
      <c r="I1485" s="2" t="str">
        <f ca="1">IFERROR(__xludf.DUMMYFUNCTION("GOOGLETRANSLATE(B1485,""en"",""gd"")"),"neach-turais")</f>
        <v>neach-turais</v>
      </c>
    </row>
    <row r="1486" spans="1:9" ht="14.25" customHeight="1" x14ac:dyDescent="0.3">
      <c r="A1486" s="2">
        <v>1485</v>
      </c>
      <c r="B1486" s="3" t="s">
        <v>1493</v>
      </c>
      <c r="C1486" s="2" t="str">
        <f ca="1">IFERROR(__xludf.DUMMYFUNCTION("GOOGLETRANSLATE(B1486, ""en"",""es"")"),"componente")</f>
        <v>componente</v>
      </c>
      <c r="D1486" s="2" t="str">
        <f ca="1">IFERROR(__xludf.DUMMYFUNCTION("GOOGLETRANSLATE(B1486,""en"",""ig"")"),"anuahu")</f>
        <v>anuahu</v>
      </c>
      <c r="E1486" s="2" t="str">
        <f ca="1">IFERROR(__xludf.DUMMYFUNCTION("GOOGLETRANSLATE(B1486,""en"",""fr"")"),"composant")</f>
        <v>composant</v>
      </c>
      <c r="F1486" s="2" t="str">
        <f ca="1">IFERROR(__xludf.DUMMYFUNCTION("GOOGLETRANSLATE(B1486,""en"",""it"")"),"componente")</f>
        <v>componente</v>
      </c>
      <c r="G1486" s="2" t="str">
        <f ca="1">IFERROR(__xludf.DUMMYFUNCTION("GOOGLETRANSLATE(B1486,""en"",""de"")"),"Komponente")</f>
        <v>Komponente</v>
      </c>
      <c r="H1486" s="2" t="str">
        <f ca="1">IFERROR(__xludf.DUMMYFUNCTION("GOOGLETRANSLATE(B1486,""en"",""zh"")"),"成分")</f>
        <v>成分</v>
      </c>
      <c r="I1486" s="2" t="str">
        <f ca="1">IFERROR(__xludf.DUMMYFUNCTION("GOOGLETRANSLATE(B1486,""en"",""gd"")"),"co-phàirteach")</f>
        <v>co-phàirteach</v>
      </c>
    </row>
    <row r="1487" spans="1:9" ht="14.25" customHeight="1" x14ac:dyDescent="0.3">
      <c r="A1487" s="2">
        <v>1486</v>
      </c>
      <c r="B1487" s="3" t="s">
        <v>1494</v>
      </c>
      <c r="C1487" s="2" t="str">
        <f ca="1">IFERROR(__xludf.DUMMYFUNCTION("GOOGLETRANSLATE(B1487, ""en"",""es"")"),"poder pagar")</f>
        <v>poder pagar</v>
      </c>
      <c r="D1487" s="2" t="str">
        <f ca="1">IFERROR(__xludf.DUMMYFUNCTION("GOOGLETRANSLATE(B1487,""en"",""ig"")"),"imeli")</f>
        <v>imeli</v>
      </c>
      <c r="E1487" s="2" t="str">
        <f ca="1">IFERROR(__xludf.DUMMYFUNCTION("GOOGLETRANSLATE(B1487,""en"",""fr"")"),"permettre")</f>
        <v>permettre</v>
      </c>
      <c r="F1487" s="2" t="str">
        <f ca="1">IFERROR(__xludf.DUMMYFUNCTION("GOOGLETRANSLATE(B1487,""en"",""it"")"),"permettersi")</f>
        <v>permettersi</v>
      </c>
      <c r="G1487" s="2" t="str">
        <f ca="1">IFERROR(__xludf.DUMMYFUNCTION("GOOGLETRANSLATE(B1487,""en"",""de"")"),"leisten")</f>
        <v>leisten</v>
      </c>
      <c r="H1487" s="2" t="str">
        <f ca="1">IFERROR(__xludf.DUMMYFUNCTION("GOOGLETRANSLATE(B1487,""en"",""zh"")"),"买得起")</f>
        <v>买得起</v>
      </c>
      <c r="I1487" s="2" t="str">
        <f ca="1">IFERROR(__xludf.DUMMYFUNCTION("GOOGLETRANSLATE(B1487,""en"",""gd"")"),"cothrom")</f>
        <v>cothrom</v>
      </c>
    </row>
    <row r="1488" spans="1:9" ht="14.25" customHeight="1" x14ac:dyDescent="0.3">
      <c r="A1488" s="2">
        <v>1487</v>
      </c>
      <c r="B1488" s="3" t="s">
        <v>1495</v>
      </c>
      <c r="C1488" s="2" t="str">
        <f ca="1">IFERROR(__xludf.DUMMYFUNCTION("GOOGLETRANSLATE(B1488, ""en"",""es"")"),"abogado")</f>
        <v>abogado</v>
      </c>
      <c r="D1488" s="2" t="str">
        <f ca="1">IFERROR(__xludf.DUMMYFUNCTION("GOOGLETRANSLATE(B1488,""en"",""ig"")"),"okiikpe")</f>
        <v>okiikpe</v>
      </c>
      <c r="E1488" s="2" t="str">
        <f ca="1">IFERROR(__xludf.DUMMYFUNCTION("GOOGLETRANSLATE(B1488,""en"",""fr"")"),"avocat")</f>
        <v>avocat</v>
      </c>
      <c r="F1488" s="2" t="str">
        <f ca="1">IFERROR(__xludf.DUMMYFUNCTION("GOOGLETRANSLATE(B1488,""en"",""it"")"),"avvocato")</f>
        <v>avvocato</v>
      </c>
      <c r="G1488" s="2" t="str">
        <f ca="1">IFERROR(__xludf.DUMMYFUNCTION("GOOGLETRANSLATE(B1488,""en"",""de"")"),"Rechtsanwalt")</f>
        <v>Rechtsanwalt</v>
      </c>
      <c r="H1488" s="2" t="str">
        <f ca="1">IFERROR(__xludf.DUMMYFUNCTION("GOOGLETRANSLATE(B1488,""en"",""zh"")"),"律师")</f>
        <v>律师</v>
      </c>
      <c r="I1488" s="2" t="str">
        <f ca="1">IFERROR(__xludf.DUMMYFUNCTION("GOOGLETRANSLATE(B1488,""en"",""gd"")"),"neach-lagh")</f>
        <v>neach-lagh</v>
      </c>
    </row>
    <row r="1489" spans="1:9" ht="14.25" customHeight="1" x14ac:dyDescent="0.3">
      <c r="A1489" s="2">
        <v>1488</v>
      </c>
      <c r="B1489" s="3" t="s">
        <v>1496</v>
      </c>
      <c r="C1489" s="2" t="str">
        <f ca="1">IFERROR(__xludf.DUMMYFUNCTION("GOOGLETRANSLATE(B1489, ""en"",""es"")"),"sospechar")</f>
        <v>sospechar</v>
      </c>
      <c r="D1489" s="2" t="str">
        <f ca="1">IFERROR(__xludf.DUMMYFUNCTION("GOOGLETRANSLATE(B1489,""en"",""ig"")"),"nwanyi onyearuturuaka")</f>
        <v>nwanyi onyearuturuaka</v>
      </c>
      <c r="E1489" s="2" t="str">
        <f ca="1">IFERROR(__xludf.DUMMYFUNCTION("GOOGLETRANSLATE(B1489,""en"",""fr"")"),"suspect")</f>
        <v>suspect</v>
      </c>
      <c r="F1489" s="2" t="str">
        <f ca="1">IFERROR(__xludf.DUMMYFUNCTION("GOOGLETRANSLATE(B1489,""en"",""it"")"),"sospettare")</f>
        <v>sospettare</v>
      </c>
      <c r="G1489" s="2" t="str">
        <f ca="1">IFERROR(__xludf.DUMMYFUNCTION("GOOGLETRANSLATE(B1489,""en"",""de"")"),"verdächtig")</f>
        <v>verdächtig</v>
      </c>
      <c r="H1489" s="2" t="str">
        <f ca="1">IFERROR(__xludf.DUMMYFUNCTION("GOOGLETRANSLATE(B1489,""en"",""zh"")"),"怀疑")</f>
        <v>怀疑</v>
      </c>
      <c r="I1489" s="2" t="str">
        <f ca="1">IFERROR(__xludf.DUMMYFUNCTION("GOOGLETRANSLATE(B1489,""en"",""gd"")"),"fo amharas")</f>
        <v>fo amharas</v>
      </c>
    </row>
    <row r="1490" spans="1:9" ht="14.25" customHeight="1" x14ac:dyDescent="0.3">
      <c r="A1490" s="2">
        <v>1489</v>
      </c>
      <c r="B1490" s="3" t="s">
        <v>1497</v>
      </c>
      <c r="C1490" s="2" t="str">
        <f ca="1">IFERROR(__xludf.DUMMYFUNCTION("GOOGLETRANSLATE(B1490, ""en"",""es"")"),"taza")</f>
        <v>taza</v>
      </c>
      <c r="D1490" s="2" t="str">
        <f ca="1">IFERROR(__xludf.DUMMYFUNCTION("GOOGLETRANSLATE(B1490,""en"",""ig"")"),"iko")</f>
        <v>iko</v>
      </c>
      <c r="E1490" s="2" t="str">
        <f ca="1">IFERROR(__xludf.DUMMYFUNCTION("GOOGLETRANSLATE(B1490,""en"",""fr"")"),"tasse")</f>
        <v>tasse</v>
      </c>
      <c r="F1490" s="2" t="str">
        <f ca="1">IFERROR(__xludf.DUMMYFUNCTION("GOOGLETRANSLATE(B1490,""en"",""it"")"),"tazza")</f>
        <v>tazza</v>
      </c>
      <c r="G1490" s="2" t="str">
        <f ca="1">IFERROR(__xludf.DUMMYFUNCTION("GOOGLETRANSLATE(B1490,""en"",""de"")"),"Tasse")</f>
        <v>Tasse</v>
      </c>
      <c r="H1490" s="2" t="str">
        <f ca="1">IFERROR(__xludf.DUMMYFUNCTION("GOOGLETRANSLATE(B1490,""en"",""zh"")"),"杯子")</f>
        <v>杯子</v>
      </c>
      <c r="I1490" s="2" t="str">
        <f ca="1">IFERROR(__xludf.DUMMYFUNCTION("GOOGLETRANSLATE(B1490,""en"",""gd"")"),"Cupa")</f>
        <v>Cupa</v>
      </c>
    </row>
    <row r="1491" spans="1:9" ht="14.25" customHeight="1" x14ac:dyDescent="0.3">
      <c r="A1491" s="2">
        <v>1490</v>
      </c>
      <c r="B1491" s="3" t="s">
        <v>1498</v>
      </c>
      <c r="C1491" s="2" t="str">
        <f ca="1">IFERROR(__xludf.DUMMYFUNCTION("GOOGLETRANSLATE(B1491, ""en"",""es"")"),"descripción")</f>
        <v>descripción</v>
      </c>
      <c r="D1491" s="2" t="str">
        <f ca="1">IFERROR(__xludf.DUMMYFUNCTION("GOOGLETRANSLATE(B1491,""en"",""ig"")"),"nkowa")</f>
        <v>nkowa</v>
      </c>
      <c r="E1491" s="2" t="str">
        <f ca="1">IFERROR(__xludf.DUMMYFUNCTION("GOOGLETRANSLATE(B1491,""en"",""fr"")"),"description")</f>
        <v>description</v>
      </c>
      <c r="F1491" s="2" t="str">
        <f ca="1">IFERROR(__xludf.DUMMYFUNCTION("GOOGLETRANSLATE(B1491,""en"",""it"")"),"descrizione")</f>
        <v>descrizione</v>
      </c>
      <c r="G1491" s="2" t="str">
        <f ca="1">IFERROR(__xludf.DUMMYFUNCTION("GOOGLETRANSLATE(B1491,""en"",""de"")"),"Beschreibung")</f>
        <v>Beschreibung</v>
      </c>
      <c r="H1491" s="2" t="str">
        <f ca="1">IFERROR(__xludf.DUMMYFUNCTION("GOOGLETRANSLATE(B1491,""en"",""zh"")"),"描述")</f>
        <v>描述</v>
      </c>
      <c r="I1491" s="2" t="str">
        <f ca="1">IFERROR(__xludf.DUMMYFUNCTION("GOOGLETRANSLATE(B1491,""en"",""gd"")"),"Tuairisgeul")</f>
        <v>Tuairisgeul</v>
      </c>
    </row>
    <row r="1492" spans="1:9" ht="14.25" customHeight="1" x14ac:dyDescent="0.3">
      <c r="A1492" s="2">
        <v>1491</v>
      </c>
      <c r="B1492" s="3" t="s">
        <v>1499</v>
      </c>
      <c r="C1492" s="2" t="str">
        <f ca="1">IFERROR(__xludf.DUMMYFUNCTION("GOOGLETRANSLATE(B1492, ""en"",""es"")"),"confianza")</f>
        <v>confianza</v>
      </c>
      <c r="D1492" s="2" t="str">
        <f ca="1">IFERROR(__xludf.DUMMYFUNCTION("GOOGLETRANSLATE(B1492,""en"",""ig"")"),"okwukwe")</f>
        <v>okwukwe</v>
      </c>
      <c r="E1492" s="2" t="str">
        <f ca="1">IFERROR(__xludf.DUMMYFUNCTION("GOOGLETRANSLATE(B1492,""en"",""fr"")"),"confiance")</f>
        <v>confiance</v>
      </c>
      <c r="F1492" s="2" t="str">
        <f ca="1">IFERROR(__xludf.DUMMYFUNCTION("GOOGLETRANSLATE(B1492,""en"",""it"")"),"fiducia")</f>
        <v>fiducia</v>
      </c>
      <c r="G1492" s="2" t="str">
        <f ca="1">IFERROR(__xludf.DUMMYFUNCTION("GOOGLETRANSLATE(B1492,""en"",""de"")"),"Vertrauen")</f>
        <v>Vertrauen</v>
      </c>
      <c r="H1492" s="2" t="str">
        <f ca="1">IFERROR(__xludf.DUMMYFUNCTION("GOOGLETRANSLATE(B1492,""en"",""zh"")"),"信心")</f>
        <v>信心</v>
      </c>
      <c r="I1492" s="2" t="str">
        <f ca="1">IFERROR(__xludf.DUMMYFUNCTION("GOOGLETRANSLATE(B1492,""en"",""gd"")"),"misneachd")</f>
        <v>misneachd</v>
      </c>
    </row>
    <row r="1493" spans="1:9" ht="14.25" customHeight="1" x14ac:dyDescent="0.3">
      <c r="A1493" s="2">
        <v>1492</v>
      </c>
      <c r="B1493" s="3" t="s">
        <v>1500</v>
      </c>
      <c r="C1493" s="2" t="str">
        <f ca="1">IFERROR(__xludf.DUMMYFUNCTION("GOOGLETRANSLATE(B1493, ""en"",""es"")"),"industrial")</f>
        <v>industrial</v>
      </c>
      <c r="D1493" s="2" t="str">
        <f ca="1">IFERROR(__xludf.DUMMYFUNCTION("GOOGLETRANSLATE(B1493,""en"",""ig"")"),"keindostri")</f>
        <v>keindostri</v>
      </c>
      <c r="E1493" s="2" t="str">
        <f ca="1">IFERROR(__xludf.DUMMYFUNCTION("GOOGLETRANSLATE(B1493,""en"",""fr"")"),"industriel")</f>
        <v>industriel</v>
      </c>
      <c r="F1493" s="2" t="str">
        <f ca="1">IFERROR(__xludf.DUMMYFUNCTION("GOOGLETRANSLATE(B1493,""en"",""it"")"),"industriale")</f>
        <v>industriale</v>
      </c>
      <c r="G1493" s="2" t="str">
        <f ca="1">IFERROR(__xludf.DUMMYFUNCTION("GOOGLETRANSLATE(B1493,""en"",""de"")"),"industriell")</f>
        <v>industriell</v>
      </c>
      <c r="H1493" s="2" t="str">
        <f ca="1">IFERROR(__xludf.DUMMYFUNCTION("GOOGLETRANSLATE(B1493,""en"",""zh"")"),"工业的")</f>
        <v>工业的</v>
      </c>
      <c r="I1493" s="2" t="str">
        <f ca="1">IFERROR(__xludf.DUMMYFUNCTION("GOOGLETRANSLATE(B1493,""en"",""gd"")"),"Gnìomhachas")</f>
        <v>Gnìomhachas</v>
      </c>
    </row>
    <row r="1494" spans="1:9" ht="14.25" customHeight="1" x14ac:dyDescent="0.3">
      <c r="A1494" s="2">
        <v>1493</v>
      </c>
      <c r="B1494" s="3" t="s">
        <v>1501</v>
      </c>
      <c r="C1494" s="2" t="str">
        <f ca="1">IFERROR(__xludf.DUMMYFUNCTION("GOOGLETRANSLATE(B1494, ""en"",""es"")"),"quejarse")</f>
        <v>quejarse</v>
      </c>
      <c r="D1494" s="2" t="str">
        <f ca="1">IFERROR(__xludf.DUMMYFUNCTION("GOOGLETRANSLATE(B1494,""en"",""ig"")"),"ikpesa")</f>
        <v>ikpesa</v>
      </c>
      <c r="E1494" s="2" t="str">
        <f ca="1">IFERROR(__xludf.DUMMYFUNCTION("GOOGLETRANSLATE(B1494,""en"",""fr"")"),"se plaindre")</f>
        <v>se plaindre</v>
      </c>
      <c r="F1494" s="2" t="str">
        <f ca="1">IFERROR(__xludf.DUMMYFUNCTION("GOOGLETRANSLATE(B1494,""en"",""it"")"),"reclamo")</f>
        <v>reclamo</v>
      </c>
      <c r="G1494" s="2" t="str">
        <f ca="1">IFERROR(__xludf.DUMMYFUNCTION("GOOGLETRANSLATE(B1494,""en"",""de"")"),"beschweren")</f>
        <v>beschweren</v>
      </c>
      <c r="H1494" s="2" t="str">
        <f ca="1">IFERROR(__xludf.DUMMYFUNCTION("GOOGLETRANSLATE(B1494,""en"",""zh"")"),"抱怨")</f>
        <v>抱怨</v>
      </c>
      <c r="I1494" s="2" t="str">
        <f ca="1">IFERROR(__xludf.DUMMYFUNCTION("GOOGLETRANSLATE(B1494,""en"",""gd"")"),"gearan")</f>
        <v>gearan</v>
      </c>
    </row>
    <row r="1495" spans="1:9" ht="14.25" customHeight="1" x14ac:dyDescent="0.3">
      <c r="A1495" s="2">
        <v>1494</v>
      </c>
      <c r="B1495" s="3" t="s">
        <v>1502</v>
      </c>
      <c r="C1495" s="2" t="str">
        <f ca="1">IFERROR(__xludf.DUMMYFUNCTION("GOOGLETRANSLATE(B1495, ""en"",""es"")"),"perspectiva")</f>
        <v>perspectiva</v>
      </c>
      <c r="D1495" s="2" t="str">
        <f ca="1">IFERROR(__xludf.DUMMYFUNCTION("GOOGLETRANSLATE(B1495,""en"",""ig"")"),"pespektivu")</f>
        <v>pespektivu</v>
      </c>
      <c r="E1495" s="2" t="str">
        <f ca="1">IFERROR(__xludf.DUMMYFUNCTION("GOOGLETRANSLATE(B1495,""en"",""fr"")"),"perspective")</f>
        <v>perspective</v>
      </c>
      <c r="F1495" s="2" t="str">
        <f ca="1">IFERROR(__xludf.DUMMYFUNCTION("GOOGLETRANSLATE(B1495,""en"",""it"")"),"prospettiva")</f>
        <v>prospettiva</v>
      </c>
      <c r="G1495" s="2" t="str">
        <f ca="1">IFERROR(__xludf.DUMMYFUNCTION("GOOGLETRANSLATE(B1495,""en"",""de"")"),"Perspektive")</f>
        <v>Perspektive</v>
      </c>
      <c r="H1495" s="2" t="str">
        <f ca="1">IFERROR(__xludf.DUMMYFUNCTION("GOOGLETRANSLATE(B1495,""en"",""zh"")"),"看法")</f>
        <v>看法</v>
      </c>
      <c r="I1495" s="2" t="str">
        <f ca="1">IFERROR(__xludf.DUMMYFUNCTION("GOOGLETRANSLATE(B1495,""en"",""gd"")"),"sealladh")</f>
        <v>sealladh</v>
      </c>
    </row>
    <row r="1496" spans="1:9" ht="14.25" customHeight="1" x14ac:dyDescent="0.3">
      <c r="A1496" s="2">
        <v>1495</v>
      </c>
      <c r="B1496" s="3" t="s">
        <v>1503</v>
      </c>
      <c r="C1496" s="2" t="str">
        <f ca="1">IFERROR(__xludf.DUMMYFUNCTION("GOOGLETRANSLATE(B1496, ""en"",""es"")"),"error")</f>
        <v>error</v>
      </c>
      <c r="D1496" s="2" t="str">
        <f ca="1">IFERROR(__xludf.DUMMYFUNCTION("GOOGLETRANSLATE(B1496,""en"",""ig"")"),"mmejo")</f>
        <v>mmejo</v>
      </c>
      <c r="E1496" s="2" t="str">
        <f ca="1">IFERROR(__xludf.DUMMYFUNCTION("GOOGLETRANSLATE(B1496,""en"",""fr"")"),"erreur")</f>
        <v>erreur</v>
      </c>
      <c r="F1496" s="2" t="str">
        <f ca="1">IFERROR(__xludf.DUMMYFUNCTION("GOOGLETRANSLATE(B1496,""en"",""it"")"),"errore")</f>
        <v>errore</v>
      </c>
      <c r="G1496" s="2" t="str">
        <f ca="1">IFERROR(__xludf.DUMMYFUNCTION("GOOGLETRANSLATE(B1496,""en"",""de"")"),"Fehler")</f>
        <v>Fehler</v>
      </c>
      <c r="H1496" s="2" t="str">
        <f ca="1">IFERROR(__xludf.DUMMYFUNCTION("GOOGLETRANSLATE(B1496,""en"",""zh"")"),"错误")</f>
        <v>错误</v>
      </c>
      <c r="I1496" s="2" t="str">
        <f ca="1">IFERROR(__xludf.DUMMYFUNCTION("GOOGLETRANSLATE(B1496,""en"",""gd"")"),"Mearachd")</f>
        <v>Mearachd</v>
      </c>
    </row>
    <row r="1497" spans="1:9" ht="14.25" customHeight="1" x14ac:dyDescent="0.3">
      <c r="A1497" s="2">
        <v>1496</v>
      </c>
      <c r="B1497" s="3" t="s">
        <v>1504</v>
      </c>
      <c r="C1497" s="2" t="str">
        <f ca="1">IFERROR(__xludf.DUMMYFUNCTION("GOOGLETRANSLATE(B1497, ""en"",""es"")"),"arrestar")</f>
        <v>arrestar</v>
      </c>
      <c r="D1497" s="2" t="str">
        <f ca="1">IFERROR(__xludf.DUMMYFUNCTION("GOOGLETRANSLATE(B1497,""en"",""ig"")"),"njido")</f>
        <v>njido</v>
      </c>
      <c r="E1497" s="2" t="str">
        <f ca="1">IFERROR(__xludf.DUMMYFUNCTION("GOOGLETRANSLATE(B1497,""en"",""fr"")"),"arrêter")</f>
        <v>arrêter</v>
      </c>
      <c r="F1497" s="2" t="str">
        <f ca="1">IFERROR(__xludf.DUMMYFUNCTION("GOOGLETRANSLATE(B1497,""en"",""it"")"),"arresto")</f>
        <v>arresto</v>
      </c>
      <c r="G1497" s="2" t="str">
        <f ca="1">IFERROR(__xludf.DUMMYFUNCTION("GOOGLETRANSLATE(B1497,""en"",""de"")"),"Festnahme")</f>
        <v>Festnahme</v>
      </c>
      <c r="H1497" s="2" t="str">
        <f ca="1">IFERROR(__xludf.DUMMYFUNCTION("GOOGLETRANSLATE(B1497,""en"",""zh"")"),"逮捕")</f>
        <v>逮捕</v>
      </c>
      <c r="I1497" s="2" t="str">
        <f ca="1">IFERROR(__xludf.DUMMYFUNCTION("GOOGLETRANSLATE(B1497,""en"",""gd"")"),"a chur an grèim")</f>
        <v>a chur an grèim</v>
      </c>
    </row>
    <row r="1498" spans="1:9" ht="14.25" customHeight="1" x14ac:dyDescent="0.3">
      <c r="A1498" s="2">
        <v>1497</v>
      </c>
      <c r="B1498" s="3" t="s">
        <v>1505</v>
      </c>
      <c r="C1498" s="2" t="str">
        <f ca="1">IFERROR(__xludf.DUMMYFUNCTION("GOOGLETRANSLATE(B1498, ""en"",""es"")"),"evaluar")</f>
        <v>evaluar</v>
      </c>
      <c r="D1498" s="2" t="str">
        <f ca="1">IFERROR(__xludf.DUMMYFUNCTION("GOOGLETRANSLATE(B1498,""en"",""ig"")"),"itule")</f>
        <v>itule</v>
      </c>
      <c r="E1498" s="2" t="str">
        <f ca="1">IFERROR(__xludf.DUMMYFUNCTION("GOOGLETRANSLATE(B1498,""en"",""fr"")"),"évaluer")</f>
        <v>évaluer</v>
      </c>
      <c r="F1498" s="2" t="str">
        <f ca="1">IFERROR(__xludf.DUMMYFUNCTION("GOOGLETRANSLATE(B1498,""en"",""it"")"),"valutare")</f>
        <v>valutare</v>
      </c>
      <c r="G1498" s="2" t="str">
        <f ca="1">IFERROR(__xludf.DUMMYFUNCTION("GOOGLETRANSLATE(B1498,""en"",""de"")"),"bewerten")</f>
        <v>bewerten</v>
      </c>
      <c r="H1498" s="2" t="str">
        <f ca="1">IFERROR(__xludf.DUMMYFUNCTION("GOOGLETRANSLATE(B1498,""en"",""zh"")"),"评估")</f>
        <v>评估</v>
      </c>
      <c r="I1498" s="2" t="str">
        <f ca="1">IFERROR(__xludf.DUMMYFUNCTION("GOOGLETRANSLATE(B1498,""en"",""gd"")"),"Measadh")</f>
        <v>Measadh</v>
      </c>
    </row>
    <row r="1499" spans="1:9" ht="14.25" customHeight="1" x14ac:dyDescent="0.3">
      <c r="A1499" s="2">
        <v>1498</v>
      </c>
      <c r="B1499" s="3" t="s">
        <v>1506</v>
      </c>
      <c r="C1499" s="2" t="str">
        <f ca="1">IFERROR(__xludf.DUMMYFUNCTION("GOOGLETRANSLATE(B1499, ""en"",""es"")"),"registro")</f>
        <v>registro</v>
      </c>
      <c r="D1499" s="2" t="str">
        <f ca="1">IFERROR(__xludf.DUMMYFUNCTION("GOOGLETRANSLATE(B1499,""en"",""ig"")"),"ndeko aha")</f>
        <v>ndeko aha</v>
      </c>
      <c r="E1499" s="2" t="str">
        <f ca="1">IFERROR(__xludf.DUMMYFUNCTION("GOOGLETRANSLATE(B1499,""en"",""fr"")"),"registre")</f>
        <v>registre</v>
      </c>
      <c r="F1499" s="2" t="str">
        <f ca="1">IFERROR(__xludf.DUMMYFUNCTION("GOOGLETRANSLATE(B1499,""en"",""it"")"),"Registrati")</f>
        <v>Registrati</v>
      </c>
      <c r="G1499" s="2" t="str">
        <f ca="1">IFERROR(__xludf.DUMMYFUNCTION("GOOGLETRANSLATE(B1499,""en"",""de"")"),"registrieren")</f>
        <v>registrieren</v>
      </c>
      <c r="H1499" s="2" t="str">
        <f ca="1">IFERROR(__xludf.DUMMYFUNCTION("GOOGLETRANSLATE(B1499,""en"",""zh"")"),"登记")</f>
        <v>登记</v>
      </c>
      <c r="I1499" s="2" t="str">
        <f ca="1">IFERROR(__xludf.DUMMYFUNCTION("GOOGLETRANSLATE(B1499,""en"",""gd"")"),"Clàraich")</f>
        <v>Clàraich</v>
      </c>
    </row>
    <row r="1500" spans="1:9" ht="14.25" customHeight="1" x14ac:dyDescent="0.3">
      <c r="A1500" s="2">
        <v>1499</v>
      </c>
      <c r="B1500" s="3" t="s">
        <v>1507</v>
      </c>
      <c r="C1500" s="2" t="str">
        <f ca="1">IFERROR(__xludf.DUMMYFUNCTION("GOOGLETRANSLATE(B1500, ""en"",""es"")"),"activo")</f>
        <v>activo</v>
      </c>
      <c r="D1500" s="2" t="str">
        <f ca="1">IFERROR(__xludf.DUMMYFUNCTION("GOOGLETRANSLATE(B1500,""en"",""ig"")"),"ihe achoro")</f>
        <v>ihe achoro</v>
      </c>
      <c r="E1500" s="2" t="str">
        <f ca="1">IFERROR(__xludf.DUMMYFUNCTION("GOOGLETRANSLATE(B1500,""en"",""fr"")"),"actif")</f>
        <v>actif</v>
      </c>
      <c r="F1500" s="2" t="str">
        <f ca="1">IFERROR(__xludf.DUMMYFUNCTION("GOOGLETRANSLATE(B1500,""en"",""it"")"),"risorsa")</f>
        <v>risorsa</v>
      </c>
      <c r="G1500" s="2" t="str">
        <f ca="1">IFERROR(__xludf.DUMMYFUNCTION("GOOGLETRANSLATE(B1500,""en"",""de"")"),"Vermögenswert")</f>
        <v>Vermögenswert</v>
      </c>
      <c r="H1500" s="2" t="str">
        <f ca="1">IFERROR(__xludf.DUMMYFUNCTION("GOOGLETRANSLATE(B1500,""en"",""zh"")"),"资产")</f>
        <v>资产</v>
      </c>
      <c r="I1500" s="2" t="str">
        <f ca="1">IFERROR(__xludf.DUMMYFUNCTION("GOOGLETRANSLATE(B1500,""en"",""gd"")"),"Maoin")</f>
        <v>Maoin</v>
      </c>
    </row>
    <row r="1501" spans="1:9" ht="14.25" customHeight="1" x14ac:dyDescent="0.3">
      <c r="A1501" s="2">
        <v>1500</v>
      </c>
      <c r="B1501" s="3" t="s">
        <v>1508</v>
      </c>
      <c r="C1501" s="2" t="str">
        <f ca="1">IFERROR(__xludf.DUMMYFUNCTION("GOOGLETRANSLATE(B1501, ""en"",""es"")"),"señal")</f>
        <v>señal</v>
      </c>
      <c r="D1501" s="2" t="str">
        <f ca="1">IFERROR(__xludf.DUMMYFUNCTION("GOOGLETRANSLATE(B1501,""en"",""ig"")"),"signal")</f>
        <v>signal</v>
      </c>
      <c r="E1501" s="2" t="str">
        <f ca="1">IFERROR(__xludf.DUMMYFUNCTION("GOOGLETRANSLATE(B1501,""en"",""fr"")"),"signal")</f>
        <v>signal</v>
      </c>
      <c r="F1501" s="2" t="str">
        <f ca="1">IFERROR(__xludf.DUMMYFUNCTION("GOOGLETRANSLATE(B1501,""en"",""it"")"),"segnale")</f>
        <v>segnale</v>
      </c>
      <c r="G1501" s="2" t="str">
        <f ca="1">IFERROR(__xludf.DUMMYFUNCTION("GOOGLETRANSLATE(B1501,""en"",""de"")"),"Signal")</f>
        <v>Signal</v>
      </c>
      <c r="H1501" s="2" t="str">
        <f ca="1">IFERROR(__xludf.DUMMYFUNCTION("GOOGLETRANSLATE(B1501,""en"",""zh"")"),"信号")</f>
        <v>信号</v>
      </c>
      <c r="I1501" s="2" t="str">
        <f ca="1">IFERROR(__xludf.DUMMYFUNCTION("GOOGLETRANSLATE(B1501,""en"",""gd"")"),"Comharra")</f>
        <v>Comharra</v>
      </c>
    </row>
    <row r="1502" spans="1:9" ht="14.25" customHeight="1" x14ac:dyDescent="0.3">
      <c r="A1502" s="2">
        <v>1501</v>
      </c>
      <c r="B1502" s="3" t="s">
        <v>1509</v>
      </c>
      <c r="C1502" s="2" t="str">
        <f ca="1">IFERROR(__xludf.DUMMYFUNCTION("GOOGLETRANSLATE(B1502, ""en"",""es"")"),"dedo")</f>
        <v>dedo</v>
      </c>
      <c r="D1502" s="2" t="str">
        <f ca="1">IFERROR(__xludf.DUMMYFUNCTION("GOOGLETRANSLATE(B1502,""en"",""ig"")"),"mkpisi aka")</f>
        <v>mkpisi aka</v>
      </c>
      <c r="E1502" s="2" t="str">
        <f ca="1">IFERROR(__xludf.DUMMYFUNCTION("GOOGLETRANSLATE(B1502,""en"",""fr"")"),"doigt")</f>
        <v>doigt</v>
      </c>
      <c r="F1502" s="2" t="str">
        <f ca="1">IFERROR(__xludf.DUMMYFUNCTION("GOOGLETRANSLATE(B1502,""en"",""it"")"),"dito")</f>
        <v>dito</v>
      </c>
      <c r="G1502" s="2" t="str">
        <f ca="1">IFERROR(__xludf.DUMMYFUNCTION("GOOGLETRANSLATE(B1502,""en"",""de"")"),"Finger")</f>
        <v>Finger</v>
      </c>
      <c r="H1502" s="2" t="str">
        <f ca="1">IFERROR(__xludf.DUMMYFUNCTION("GOOGLETRANSLATE(B1502,""en"",""zh"")"),"手指")</f>
        <v>手指</v>
      </c>
      <c r="I1502" s="2" t="str">
        <f ca="1">IFERROR(__xludf.DUMMYFUNCTION("GOOGLETRANSLATE(B1502,""en"",""gd"")"),"meur")</f>
        <v>meur</v>
      </c>
    </row>
    <row r="1503" spans="1:9" ht="14.25" customHeight="1" x14ac:dyDescent="0.3">
      <c r="A1503" s="2">
        <v>1502</v>
      </c>
      <c r="B1503" s="3" t="s">
        <v>1510</v>
      </c>
      <c r="C1503" s="2" t="str">
        <f ca="1">IFERROR(__xludf.DUMMYFUNCTION("GOOGLETRANSLATE(B1503, ""en"",""es"")"),"importante")</f>
        <v>importante</v>
      </c>
      <c r="D1503" s="2" t="str">
        <f ca="1">IFERROR(__xludf.DUMMYFUNCTION("GOOGLETRANSLATE(B1503,""en"",""ig"")"),"nke dabara")</f>
        <v>nke dabara</v>
      </c>
      <c r="E1503" s="2" t="str">
        <f ca="1">IFERROR(__xludf.DUMMYFUNCTION("GOOGLETRANSLATE(B1503,""en"",""fr"")"),"pertinent")</f>
        <v>pertinent</v>
      </c>
      <c r="F1503" s="2" t="str">
        <f ca="1">IFERROR(__xludf.DUMMYFUNCTION("GOOGLETRANSLATE(B1503,""en"",""it"")"),"pertinente")</f>
        <v>pertinente</v>
      </c>
      <c r="G1503" s="2" t="str">
        <f ca="1">IFERROR(__xludf.DUMMYFUNCTION("GOOGLETRANSLATE(B1503,""en"",""de"")"),"relevant")</f>
        <v>relevant</v>
      </c>
      <c r="H1503" s="2" t="str">
        <f ca="1">IFERROR(__xludf.DUMMYFUNCTION("GOOGLETRANSLATE(B1503,""en"",""zh"")"),"相关的")</f>
        <v>相关的</v>
      </c>
      <c r="I1503" s="2" t="str">
        <f ca="1">IFERROR(__xludf.DUMMYFUNCTION("GOOGLETRANSLATE(B1503,""en"",""gd"")"),"buntainneach")</f>
        <v>buntainneach</v>
      </c>
    </row>
    <row r="1504" spans="1:9" ht="14.25" customHeight="1" x14ac:dyDescent="0.3">
      <c r="A1504" s="2">
        <v>1503</v>
      </c>
      <c r="B1504" s="3" t="s">
        <v>1511</v>
      </c>
      <c r="C1504" s="2" t="str">
        <f ca="1">IFERROR(__xludf.DUMMYFUNCTION("GOOGLETRANSLATE(B1504, ""en"",""es"")"),"explorar")</f>
        <v>explorar</v>
      </c>
      <c r="D1504" s="2" t="str">
        <f ca="1">IFERROR(__xludf.DUMMYFUNCTION("GOOGLETRANSLATE(B1504,""en"",""ig"")"),"njem ichoputa")</f>
        <v>njem ichoputa</v>
      </c>
      <c r="E1504" s="2" t="str">
        <f ca="1">IFERROR(__xludf.DUMMYFUNCTION("GOOGLETRANSLATE(B1504,""en"",""fr"")"),"explorer")</f>
        <v>explorer</v>
      </c>
      <c r="F1504" s="2" t="str">
        <f ca="1">IFERROR(__xludf.DUMMYFUNCTION("GOOGLETRANSLATE(B1504,""en"",""it"")"),"Esplorare")</f>
        <v>Esplorare</v>
      </c>
      <c r="G1504" s="2" t="str">
        <f ca="1">IFERROR(__xludf.DUMMYFUNCTION("GOOGLETRANSLATE(B1504,""en"",""de"")"),"erkunden")</f>
        <v>erkunden</v>
      </c>
      <c r="H1504" s="2" t="str">
        <f ca="1">IFERROR(__xludf.DUMMYFUNCTION("GOOGLETRANSLATE(B1504,""en"",""zh"")"),"探索")</f>
        <v>探索</v>
      </c>
      <c r="I1504" s="2" t="str">
        <f ca="1">IFERROR(__xludf.DUMMYFUNCTION("GOOGLETRANSLATE(B1504,""en"",""gd"")"),"Rannsaich")</f>
        <v>Rannsaich</v>
      </c>
    </row>
    <row r="1505" spans="1:9" ht="14.25" customHeight="1" x14ac:dyDescent="0.3">
      <c r="A1505" s="2">
        <v>1504</v>
      </c>
      <c r="B1505" s="3" t="s">
        <v>1512</v>
      </c>
      <c r="C1505" s="2" t="str">
        <f ca="1">IFERROR(__xludf.DUMMYFUNCTION("GOOGLETRANSLATE(B1505, ""en"",""es"")"),"liderazgo")</f>
        <v>liderazgo</v>
      </c>
      <c r="D1505" s="2" t="str">
        <f ca="1">IFERROR(__xludf.DUMMYFUNCTION("GOOGLETRANSLATE(B1505,""en"",""ig"")"),"ochichi")</f>
        <v>ochichi</v>
      </c>
      <c r="E1505" s="2" t="str">
        <f ca="1">IFERROR(__xludf.DUMMYFUNCTION("GOOGLETRANSLATE(B1505,""en"",""fr"")"),"direction")</f>
        <v>direction</v>
      </c>
      <c r="F1505" s="2" t="str">
        <f ca="1">IFERROR(__xludf.DUMMYFUNCTION("GOOGLETRANSLATE(B1505,""en"",""it"")"),"comando")</f>
        <v>comando</v>
      </c>
      <c r="G1505" s="2" t="str">
        <f ca="1">IFERROR(__xludf.DUMMYFUNCTION("GOOGLETRANSLATE(B1505,""en"",""de"")"),"Führung")</f>
        <v>Führung</v>
      </c>
      <c r="H1505" s="2" t="str">
        <f ca="1">IFERROR(__xludf.DUMMYFUNCTION("GOOGLETRANSLATE(B1505,""en"",""zh"")"),"领导")</f>
        <v>领导</v>
      </c>
      <c r="I1505" s="2" t="str">
        <f ca="1">IFERROR(__xludf.DUMMYFUNCTION("GOOGLETRANSLATE(B1505,""en"",""gd"")"),"Stiùireadh")</f>
        <v>Stiùireadh</v>
      </c>
    </row>
    <row r="1506" spans="1:9" ht="14.25" customHeight="1" x14ac:dyDescent="0.3">
      <c r="A1506" s="2">
        <v>1505</v>
      </c>
      <c r="B1506" s="3" t="s">
        <v>1513</v>
      </c>
      <c r="C1506" s="2" t="str">
        <f ca="1">IFERROR(__xludf.DUMMYFUNCTION("GOOGLETRANSLATE(B1506, ""en"",""es"")"),"compromiso")</f>
        <v>compromiso</v>
      </c>
      <c r="D1506" s="2" t="str">
        <f ca="1">IFERROR(__xludf.DUMMYFUNCTION("GOOGLETRANSLATE(B1506,""en"",""ig"")"),"nkwa")</f>
        <v>nkwa</v>
      </c>
      <c r="E1506" s="2" t="str">
        <f ca="1">IFERROR(__xludf.DUMMYFUNCTION("GOOGLETRANSLATE(B1506,""en"",""fr"")"),"engagement")</f>
        <v>engagement</v>
      </c>
      <c r="F1506" s="2" t="str">
        <f ca="1">IFERROR(__xludf.DUMMYFUNCTION("GOOGLETRANSLATE(B1506,""en"",""it"")"),"impegno")</f>
        <v>impegno</v>
      </c>
      <c r="G1506" s="2" t="str">
        <f ca="1">IFERROR(__xludf.DUMMYFUNCTION("GOOGLETRANSLATE(B1506,""en"",""de"")"),"Engagement")</f>
        <v>Engagement</v>
      </c>
      <c r="H1506" s="2" t="str">
        <f ca="1">IFERROR(__xludf.DUMMYFUNCTION("GOOGLETRANSLATE(B1506,""en"",""zh"")"),"承诺")</f>
        <v>承诺</v>
      </c>
      <c r="I1506" s="2" t="str">
        <f ca="1">IFERROR(__xludf.DUMMYFUNCTION("GOOGLETRANSLATE(B1506,""en"",""gd"")"),"Dealas")</f>
        <v>Dealas</v>
      </c>
    </row>
    <row r="1507" spans="1:9" ht="14.25" customHeight="1" x14ac:dyDescent="0.3">
      <c r="A1507" s="2">
        <v>1506</v>
      </c>
      <c r="B1507" s="3" t="s">
        <v>1514</v>
      </c>
      <c r="C1507" s="2" t="str">
        <f ca="1">IFERROR(__xludf.DUMMYFUNCTION("GOOGLETRANSLATE(B1507, ""en"",""es"")"),"despertar")</f>
        <v>despertar</v>
      </c>
      <c r="D1507" s="2" t="str">
        <f ca="1">IFERROR(__xludf.DUMMYFUNCTION("GOOGLETRANSLATE(B1507,""en"",""ig"")"),"teta")</f>
        <v>teta</v>
      </c>
      <c r="E1507" s="2" t="str">
        <f ca="1">IFERROR(__xludf.DUMMYFUNCTION("GOOGLETRANSLATE(B1507,""en"",""fr"")"),"se réveiller")</f>
        <v>se réveiller</v>
      </c>
      <c r="F1507" s="2" t="str">
        <f ca="1">IFERROR(__xludf.DUMMYFUNCTION("GOOGLETRANSLATE(B1507,""en"",""it"")"),"veglia")</f>
        <v>veglia</v>
      </c>
      <c r="G1507" s="2" t="str">
        <f ca="1">IFERROR(__xludf.DUMMYFUNCTION("GOOGLETRANSLATE(B1507,""en"",""de"")"),"aufwachen")</f>
        <v>aufwachen</v>
      </c>
      <c r="H1507" s="2" t="str">
        <f ca="1">IFERROR(__xludf.DUMMYFUNCTION("GOOGLETRANSLATE(B1507,""en"",""zh"")"),"唤醒")</f>
        <v>唤醒</v>
      </c>
      <c r="I1507" s="2" t="str">
        <f ca="1">IFERROR(__xludf.DUMMYFUNCTION("GOOGLETRANSLATE(B1507,""en"",""gd"")"),"dùisg")</f>
        <v>dùisg</v>
      </c>
    </row>
    <row r="1508" spans="1:9" ht="14.25" customHeight="1" x14ac:dyDescent="0.3">
      <c r="A1508" s="2">
        <v>1507</v>
      </c>
      <c r="B1508" s="3" t="s">
        <v>1515</v>
      </c>
      <c r="C1508" s="2" t="str">
        <f ca="1">IFERROR(__xludf.DUMMYFUNCTION("GOOGLETRANSLATE(B1508, ""en"",""es"")"),"necesariamente")</f>
        <v>necesariamente</v>
      </c>
      <c r="D1508" s="2" t="str">
        <f ca="1">IFERROR(__xludf.DUMMYFUNCTION("GOOGLETRANSLATE(B1508,""en"",""ig"")"),"ibudighi")</f>
        <v>ibudighi</v>
      </c>
      <c r="E1508" s="2" t="str">
        <f ca="1">IFERROR(__xludf.DUMMYFUNCTION("GOOGLETRANSLATE(B1508,""en"",""fr"")"),"nécessairement")</f>
        <v>nécessairement</v>
      </c>
      <c r="F1508" s="2" t="str">
        <f ca="1">IFERROR(__xludf.DUMMYFUNCTION("GOOGLETRANSLATE(B1508,""en"",""it"")"),"necessariamente")</f>
        <v>necessariamente</v>
      </c>
      <c r="G1508" s="2" t="str">
        <f ca="1">IFERROR(__xludf.DUMMYFUNCTION("GOOGLETRANSLATE(B1508,""en"",""de"")"),"Notwendig")</f>
        <v>Notwendig</v>
      </c>
      <c r="H1508" s="2" t="str">
        <f ca="1">IFERROR(__xludf.DUMMYFUNCTION("GOOGLETRANSLATE(B1508,""en"",""zh"")"),"一定")</f>
        <v>一定</v>
      </c>
      <c r="I1508" s="2" t="str">
        <f ca="1">IFERROR(__xludf.DUMMYFUNCTION("GOOGLETRANSLATE(B1508,""en"",""gd"")"),"riatanach")</f>
        <v>riatanach</v>
      </c>
    </row>
    <row r="1509" spans="1:9" ht="14.25" customHeight="1" x14ac:dyDescent="0.3">
      <c r="A1509" s="2">
        <v>1508</v>
      </c>
      <c r="B1509" s="3" t="s">
        <v>1516</v>
      </c>
      <c r="C1509" s="2" t="str">
        <f ca="1">IFERROR(__xludf.DUMMYFUNCTION("GOOGLETRANSLATE(B1509, ""en"",""es"")"),"brillante")</f>
        <v>brillante</v>
      </c>
      <c r="D1509" s="2" t="str">
        <f ca="1">IFERROR(__xludf.DUMMYFUNCTION("GOOGLETRANSLATE(B1509,""en"",""ig"")"),"nchapu")</f>
        <v>nchapu</v>
      </c>
      <c r="E1509" s="2" t="str">
        <f ca="1">IFERROR(__xludf.DUMMYFUNCTION("GOOGLETRANSLATE(B1509,""en"",""fr"")"),"brillant")</f>
        <v>brillant</v>
      </c>
      <c r="F1509" s="2" t="str">
        <f ca="1">IFERROR(__xludf.DUMMYFUNCTION("GOOGLETRANSLATE(B1509,""en"",""it"")"),"luminoso")</f>
        <v>luminoso</v>
      </c>
      <c r="G1509" s="2" t="str">
        <f ca="1">IFERROR(__xludf.DUMMYFUNCTION("GOOGLETRANSLATE(B1509,""en"",""de"")"),"hell")</f>
        <v>hell</v>
      </c>
      <c r="H1509" s="2" t="str">
        <f ca="1">IFERROR(__xludf.DUMMYFUNCTION("GOOGLETRANSLATE(B1509,""en"",""zh"")"),"明亮的")</f>
        <v>明亮的</v>
      </c>
      <c r="I1509" s="2" t="str">
        <f ca="1">IFERROR(__xludf.DUMMYFUNCTION("GOOGLETRANSLATE(B1509,""en"",""gd"")"),"soilleir")</f>
        <v>soilleir</v>
      </c>
    </row>
    <row r="1510" spans="1:9" ht="14.25" customHeight="1" x14ac:dyDescent="0.3">
      <c r="A1510" s="2">
        <v>1509</v>
      </c>
      <c r="B1510" s="3" t="s">
        <v>1517</v>
      </c>
      <c r="C1510" s="2" t="str">
        <f ca="1">IFERROR(__xludf.DUMMYFUNCTION("GOOGLETRANSLATE(B1510, ""en"",""es"")"),"marco")</f>
        <v>marco</v>
      </c>
      <c r="D1510" s="2" t="str">
        <f ca="1">IFERROR(__xludf.DUMMYFUNCTION("GOOGLETRANSLATE(B1510,""en"",""ig"")"),"odidi ahu")</f>
        <v>odidi ahu</v>
      </c>
      <c r="E1510" s="2" t="str">
        <f ca="1">IFERROR(__xludf.DUMMYFUNCTION("GOOGLETRANSLATE(B1510,""en"",""fr"")"),"cadre")</f>
        <v>cadre</v>
      </c>
      <c r="F1510" s="2" t="str">
        <f ca="1">IFERROR(__xludf.DUMMYFUNCTION("GOOGLETRANSLATE(B1510,""en"",""it"")"),"telaio")</f>
        <v>telaio</v>
      </c>
      <c r="G1510" s="2" t="str">
        <f ca="1">IFERROR(__xludf.DUMMYFUNCTION("GOOGLETRANSLATE(B1510,""en"",""de"")"),"rahmen")</f>
        <v>rahmen</v>
      </c>
      <c r="H1510" s="2" t="str">
        <f ca="1">IFERROR(__xludf.DUMMYFUNCTION("GOOGLETRANSLATE(B1510,""en"",""zh"")"),"框架")</f>
        <v>框架</v>
      </c>
      <c r="I1510" s="2" t="str">
        <f ca="1">IFERROR(__xludf.DUMMYFUNCTION("GOOGLETRANSLATE(B1510,""en"",""gd"")"),"frèam")</f>
        <v>frèam</v>
      </c>
    </row>
    <row r="1511" spans="1:9" ht="14.25" customHeight="1" x14ac:dyDescent="0.3">
      <c r="A1511" s="2">
        <v>1510</v>
      </c>
      <c r="B1511" s="3" t="s">
        <v>1518</v>
      </c>
      <c r="C1511" s="2" t="str">
        <f ca="1">IFERROR(__xludf.DUMMYFUNCTION("GOOGLETRANSLATE(B1511, ""en"",""es"")"),"despacio")</f>
        <v>despacio</v>
      </c>
      <c r="D1511" s="2" t="str">
        <f ca="1">IFERROR(__xludf.DUMMYFUNCTION("GOOGLETRANSLATE(B1511,""en"",""ig"")"),"nwayo nwayo")</f>
        <v>nwayo nwayo</v>
      </c>
      <c r="E1511" s="2" t="str">
        <f ca="1">IFERROR(__xludf.DUMMYFUNCTION("GOOGLETRANSLATE(B1511,""en"",""fr"")"),"lentement")</f>
        <v>lentement</v>
      </c>
      <c r="F1511" s="2" t="str">
        <f ca="1">IFERROR(__xludf.DUMMYFUNCTION("GOOGLETRANSLATE(B1511,""en"",""it"")"),"lentamente")</f>
        <v>lentamente</v>
      </c>
      <c r="G1511" s="2" t="str">
        <f ca="1">IFERROR(__xludf.DUMMYFUNCTION("GOOGLETRANSLATE(B1511,""en"",""de"")"),"langsam")</f>
        <v>langsam</v>
      </c>
      <c r="H1511" s="2" t="str">
        <f ca="1">IFERROR(__xludf.DUMMYFUNCTION("GOOGLETRANSLATE(B1511,""en"",""zh"")"),"慢慢地")</f>
        <v>慢慢地</v>
      </c>
      <c r="I1511" s="2" t="str">
        <f ca="1">IFERROR(__xludf.DUMMYFUNCTION("GOOGLETRANSLATE(B1511,""en"",""gd"")"),"gu slaodach")</f>
        <v>gu slaodach</v>
      </c>
    </row>
    <row r="1512" spans="1:9" ht="14.25" customHeight="1" x14ac:dyDescent="0.3">
      <c r="A1512" s="2">
        <v>1511</v>
      </c>
      <c r="B1512" s="3" t="s">
        <v>1519</v>
      </c>
      <c r="C1512" s="2" t="str">
        <f ca="1">IFERROR(__xludf.DUMMYFUNCTION("GOOGLETRANSLATE(B1512, ""en"",""es"")"),"vínculo")</f>
        <v>vínculo</v>
      </c>
      <c r="D1512" s="2" t="str">
        <f ca="1">IFERROR(__xludf.DUMMYFUNCTION("GOOGLETRANSLATE(B1512,""en"",""ig"")"),"njikota")</f>
        <v>njikota</v>
      </c>
      <c r="E1512" s="2" t="str">
        <f ca="1">IFERROR(__xludf.DUMMYFUNCTION("GOOGLETRANSLATE(B1512,""en"",""fr"")"),"lier")</f>
        <v>lier</v>
      </c>
      <c r="F1512" s="2" t="str">
        <f ca="1">IFERROR(__xludf.DUMMYFUNCTION("GOOGLETRANSLATE(B1512,""en"",""it"")"),"legame")</f>
        <v>legame</v>
      </c>
      <c r="G1512" s="2" t="str">
        <f ca="1">IFERROR(__xludf.DUMMYFUNCTION("GOOGLETRANSLATE(B1512,""en"",""de"")"),"Bindung")</f>
        <v>Bindung</v>
      </c>
      <c r="H1512" s="2" t="str">
        <f ca="1">IFERROR(__xludf.DUMMYFUNCTION("GOOGLETRANSLATE(B1512,""en"",""zh"")"),"纽带")</f>
        <v>纽带</v>
      </c>
      <c r="I1512" s="2" t="str">
        <f ca="1">IFERROR(__xludf.DUMMYFUNCTION("GOOGLETRANSLATE(B1512,""en"",""gd"")"),"Bond")</f>
        <v>Bond</v>
      </c>
    </row>
    <row r="1513" spans="1:9" ht="14.25" customHeight="1" x14ac:dyDescent="0.3">
      <c r="A1513" s="2">
        <v>1512</v>
      </c>
      <c r="B1513" s="3" t="s">
        <v>1520</v>
      </c>
      <c r="C1513" s="2" t="str">
        <f ca="1">IFERROR(__xludf.DUMMYFUNCTION("GOOGLETRANSLATE(B1513, ""en"",""es"")"),"contratar")</f>
        <v>contratar</v>
      </c>
      <c r="D1513" s="2" t="str">
        <f ca="1">IFERROR(__xludf.DUMMYFUNCTION("GOOGLETRANSLATE(B1513,""en"",""ig"")"),"ihaya")</f>
        <v>ihaya</v>
      </c>
      <c r="E1513" s="2" t="str">
        <f ca="1">IFERROR(__xludf.DUMMYFUNCTION("GOOGLETRANSLATE(B1513,""en"",""fr"")"),"embaucher")</f>
        <v>embaucher</v>
      </c>
      <c r="F1513" s="2" t="str">
        <f ca="1">IFERROR(__xludf.DUMMYFUNCTION("GOOGLETRANSLATE(B1513,""en"",""it"")"),"assumere")</f>
        <v>assumere</v>
      </c>
      <c r="G1513" s="2" t="str">
        <f ca="1">IFERROR(__xludf.DUMMYFUNCTION("GOOGLETRANSLATE(B1513,""en"",""de"")"),"mieten")</f>
        <v>mieten</v>
      </c>
      <c r="H1513" s="2" t="str">
        <f ca="1">IFERROR(__xludf.DUMMYFUNCTION("GOOGLETRANSLATE(B1513,""en"",""zh"")"),"聘请")</f>
        <v>聘请</v>
      </c>
      <c r="I1513" s="2" t="str">
        <f ca="1">IFERROR(__xludf.DUMMYFUNCTION("GOOGLETRANSLATE(B1513,""en"",""gd"")"),"fastadh")</f>
        <v>fastadh</v>
      </c>
    </row>
    <row r="1514" spans="1:9" ht="14.25" customHeight="1" x14ac:dyDescent="0.3">
      <c r="A1514" s="2">
        <v>1513</v>
      </c>
      <c r="B1514" s="3" t="s">
        <v>1521</v>
      </c>
      <c r="C1514" s="2" t="str">
        <f ca="1">IFERROR(__xludf.DUMMYFUNCTION("GOOGLETRANSLATE(B1514, ""en"",""es"")"),"agujero")</f>
        <v>agujero</v>
      </c>
      <c r="D1514" s="2" t="str">
        <f ca="1">IFERROR(__xludf.DUMMYFUNCTION("GOOGLETRANSLATE(B1514,""en"",""ig"")"),"onu")</f>
        <v>onu</v>
      </c>
      <c r="E1514" s="2" t="str">
        <f ca="1">IFERROR(__xludf.DUMMYFUNCTION("GOOGLETRANSLATE(B1514,""en"",""fr"")"),"trou")</f>
        <v>trou</v>
      </c>
      <c r="F1514" s="2" t="str">
        <f ca="1">IFERROR(__xludf.DUMMYFUNCTION("GOOGLETRANSLATE(B1514,""en"",""it"")"),"buco")</f>
        <v>buco</v>
      </c>
      <c r="G1514" s="2" t="str">
        <f ca="1">IFERROR(__xludf.DUMMYFUNCTION("GOOGLETRANSLATE(B1514,""en"",""de"")"),"Loch")</f>
        <v>Loch</v>
      </c>
      <c r="H1514" s="2" t="str">
        <f ca="1">IFERROR(__xludf.DUMMYFUNCTION("GOOGLETRANSLATE(B1514,""en"",""zh"")"),"洞")</f>
        <v>洞</v>
      </c>
      <c r="I1514" s="2" t="str">
        <f ca="1">IFERROR(__xludf.DUMMYFUNCTION("GOOGLETRANSLATE(B1514,""en"",""gd"")"),"toll")</f>
        <v>toll</v>
      </c>
    </row>
    <row r="1515" spans="1:9" ht="14.25" customHeight="1" x14ac:dyDescent="0.3">
      <c r="A1515" s="2">
        <v>1514</v>
      </c>
      <c r="B1515" s="3" t="s">
        <v>1522</v>
      </c>
      <c r="C1515" s="2" t="str">
        <f ca="1">IFERROR(__xludf.DUMMYFUNCTION("GOOGLETRANSLATE(B1515, ""en"",""es"")"),"atar")</f>
        <v>atar</v>
      </c>
      <c r="D1515" s="2" t="str">
        <f ca="1">IFERROR(__xludf.DUMMYFUNCTION("GOOGLETRANSLATE(B1515,""en"",""ig"")"),"tie")</f>
        <v>tie</v>
      </c>
      <c r="E1515" s="2" t="str">
        <f ca="1">IFERROR(__xludf.DUMMYFUNCTION("GOOGLETRANSLATE(B1515,""en"",""fr"")"),"cravate")</f>
        <v>cravate</v>
      </c>
      <c r="F1515" s="2" t="str">
        <f ca="1">IFERROR(__xludf.DUMMYFUNCTION("GOOGLETRANSLATE(B1515,""en"",""it"")"),"cravatta")</f>
        <v>cravatta</v>
      </c>
      <c r="G1515" s="2" t="str">
        <f ca="1">IFERROR(__xludf.DUMMYFUNCTION("GOOGLETRANSLATE(B1515,""en"",""de"")"),"binden")</f>
        <v>binden</v>
      </c>
      <c r="H1515" s="2" t="str">
        <f ca="1">IFERROR(__xludf.DUMMYFUNCTION("GOOGLETRANSLATE(B1515,""en"",""zh"")"),"领带")</f>
        <v>领带</v>
      </c>
      <c r="I1515" s="2" t="str">
        <f ca="1">IFERROR(__xludf.DUMMYFUNCTION("GOOGLETRANSLATE(B1515,""en"",""gd"")"),"ceangail")</f>
        <v>ceangail</v>
      </c>
    </row>
    <row r="1516" spans="1:9" ht="14.25" customHeight="1" x14ac:dyDescent="0.3">
      <c r="A1516" s="2">
        <v>1515</v>
      </c>
      <c r="B1516" s="3" t="s">
        <v>1523</v>
      </c>
      <c r="C1516" s="2" t="str">
        <f ca="1">IFERROR(__xludf.DUMMYFUNCTION("GOOGLETRANSLATE(B1516, ""en"",""es"")"),"interno")</f>
        <v>interno</v>
      </c>
      <c r="D1516" s="2" t="str">
        <f ca="1">IFERROR(__xludf.DUMMYFUNCTION("GOOGLETRANSLATE(B1516,""en"",""ig"")"),"odiniime")</f>
        <v>odiniime</v>
      </c>
      <c r="E1516" s="2" t="str">
        <f ca="1">IFERROR(__xludf.DUMMYFUNCTION("GOOGLETRANSLATE(B1516,""en"",""fr"")"),"interne")</f>
        <v>interne</v>
      </c>
      <c r="F1516" s="2" t="str">
        <f ca="1">IFERROR(__xludf.DUMMYFUNCTION("GOOGLETRANSLATE(B1516,""en"",""it"")"),"interno")</f>
        <v>interno</v>
      </c>
      <c r="G1516" s="2" t="str">
        <f ca="1">IFERROR(__xludf.DUMMYFUNCTION("GOOGLETRANSLATE(B1516,""en"",""de"")"),"intern")</f>
        <v>intern</v>
      </c>
      <c r="H1516" s="2" t="str">
        <f ca="1">IFERROR(__xludf.DUMMYFUNCTION("GOOGLETRANSLATE(B1516,""en"",""zh"")"),"内部的")</f>
        <v>内部的</v>
      </c>
      <c r="I1516" s="2" t="str">
        <f ca="1">IFERROR(__xludf.DUMMYFUNCTION("GOOGLETRANSLATE(B1516,""en"",""gd"")"),"Taobh a-staigh")</f>
        <v>Taobh a-staigh</v>
      </c>
    </row>
    <row r="1517" spans="1:9" ht="14.25" customHeight="1" x14ac:dyDescent="0.3">
      <c r="A1517" s="2">
        <v>1516</v>
      </c>
      <c r="B1517" s="3" t="s">
        <v>1524</v>
      </c>
      <c r="C1517" s="2" t="str">
        <f ca="1">IFERROR(__xludf.DUMMYFUNCTION("GOOGLETRANSLATE(B1517, ""en"",""es"")"),"cadena")</f>
        <v>cadena</v>
      </c>
      <c r="D1517" s="2" t="str">
        <f ca="1">IFERROR(__xludf.DUMMYFUNCTION("GOOGLETRANSLATE(B1517,""en"",""ig"")"),"heenu")</f>
        <v>heenu</v>
      </c>
      <c r="E1517" s="2" t="str">
        <f ca="1">IFERROR(__xludf.DUMMYFUNCTION("GOOGLETRANSLATE(B1517,""en"",""fr"")"),"chaîne")</f>
        <v>chaîne</v>
      </c>
      <c r="F1517" s="2" t="str">
        <f ca="1">IFERROR(__xludf.DUMMYFUNCTION("GOOGLETRANSLATE(B1517,""en"",""it"")"),"catena")</f>
        <v>catena</v>
      </c>
      <c r="G1517" s="2" t="str">
        <f ca="1">IFERROR(__xludf.DUMMYFUNCTION("GOOGLETRANSLATE(B1517,""en"",""de"")"),"Kette")</f>
        <v>Kette</v>
      </c>
      <c r="H1517" s="2" t="str">
        <f ca="1">IFERROR(__xludf.DUMMYFUNCTION("GOOGLETRANSLATE(B1517,""en"",""zh"")"),"链")</f>
        <v>链</v>
      </c>
      <c r="I1517" s="2" t="str">
        <f ca="1">IFERROR(__xludf.DUMMYFUNCTION("GOOGLETRANSLATE(B1517,""en"",""gd"")"),"slabhraidh")</f>
        <v>slabhraidh</v>
      </c>
    </row>
    <row r="1518" spans="1:9" ht="14.25" customHeight="1" x14ac:dyDescent="0.3">
      <c r="A1518" s="2">
        <v>1517</v>
      </c>
      <c r="B1518" s="3" t="s">
        <v>1525</v>
      </c>
      <c r="C1518" s="2" t="str">
        <f ca="1">IFERROR(__xludf.DUMMYFUNCTION("GOOGLETRANSLATE(B1518, ""en"",""es"")"),"literatura")</f>
        <v>literatura</v>
      </c>
      <c r="D1518" s="2" t="str">
        <f ca="1">IFERROR(__xludf.DUMMYFUNCTION("GOOGLETRANSLATE(B1518,""en"",""ig"")"),"agumagu")</f>
        <v>agumagu</v>
      </c>
      <c r="E1518" s="2" t="str">
        <f ca="1">IFERROR(__xludf.DUMMYFUNCTION("GOOGLETRANSLATE(B1518,""en"",""fr"")"),"littérature")</f>
        <v>littérature</v>
      </c>
      <c r="F1518" s="2" t="str">
        <f ca="1">IFERROR(__xludf.DUMMYFUNCTION("GOOGLETRANSLATE(B1518,""en"",""it"")"),"letteratura")</f>
        <v>letteratura</v>
      </c>
      <c r="G1518" s="2" t="str">
        <f ca="1">IFERROR(__xludf.DUMMYFUNCTION("GOOGLETRANSLATE(B1518,""en"",""de"")"),"Literatur")</f>
        <v>Literatur</v>
      </c>
      <c r="H1518" s="2" t="str">
        <f ca="1">IFERROR(__xludf.DUMMYFUNCTION("GOOGLETRANSLATE(B1518,""en"",""zh"")"),"文学")</f>
        <v>文学</v>
      </c>
      <c r="I1518" s="2" t="str">
        <f ca="1">IFERROR(__xludf.DUMMYFUNCTION("GOOGLETRANSLATE(B1518,""en"",""gd"")"),"Litreachas")</f>
        <v>Litreachas</v>
      </c>
    </row>
    <row r="1519" spans="1:9" ht="14.25" customHeight="1" x14ac:dyDescent="0.3">
      <c r="A1519" s="2">
        <v>1518</v>
      </c>
      <c r="B1519" s="3" t="s">
        <v>1526</v>
      </c>
      <c r="C1519" s="2" t="str">
        <f ca="1">IFERROR(__xludf.DUMMYFUNCTION("GOOGLETRANSLATE(B1519, ""en"",""es"")"),"víctima")</f>
        <v>víctima</v>
      </c>
      <c r="D1519" s="2" t="str">
        <f ca="1">IFERROR(__xludf.DUMMYFUNCTION("GOOGLETRANSLATE(B1519,""en"",""ig"")"),"nwaanyi ihe meturu")</f>
        <v>nwaanyi ihe meturu</v>
      </c>
      <c r="E1519" s="2" t="str">
        <f ca="1">IFERROR(__xludf.DUMMYFUNCTION("GOOGLETRANSLATE(B1519,""en"",""fr"")"),"victime")</f>
        <v>victime</v>
      </c>
      <c r="F1519" s="2" t="str">
        <f ca="1">IFERROR(__xludf.DUMMYFUNCTION("GOOGLETRANSLATE(B1519,""en"",""it"")"),"vittima")</f>
        <v>vittima</v>
      </c>
      <c r="G1519" s="2" t="str">
        <f ca="1">IFERROR(__xludf.DUMMYFUNCTION("GOOGLETRANSLATE(B1519,""en"",""de"")"),"Opfer")</f>
        <v>Opfer</v>
      </c>
      <c r="H1519" s="2" t="str">
        <f ca="1">IFERROR(__xludf.DUMMYFUNCTION("GOOGLETRANSLATE(B1519,""en"",""zh"")"),"受害者")</f>
        <v>受害者</v>
      </c>
      <c r="I1519" s="2" t="str">
        <f ca="1">IFERROR(__xludf.DUMMYFUNCTION("GOOGLETRANSLATE(B1519,""en"",""gd"")"),"neach-fulang")</f>
        <v>neach-fulang</v>
      </c>
    </row>
    <row r="1520" spans="1:9" ht="14.25" customHeight="1" x14ac:dyDescent="0.3">
      <c r="A1520" s="2">
        <v>1519</v>
      </c>
      <c r="B1520" s="3" t="s">
        <v>1527</v>
      </c>
      <c r="C1520" s="2" t="str">
        <f ca="1">IFERROR(__xludf.DUMMYFUNCTION("GOOGLETRANSLATE(B1520, ""en"",""es"")"),"amenazar")</f>
        <v>amenazar</v>
      </c>
      <c r="D1520" s="2" t="str">
        <f ca="1">IFERROR(__xludf.DUMMYFUNCTION("GOOGLETRANSLATE(B1520,""en"",""ig"")"),"imenyeujo")</f>
        <v>imenyeujo</v>
      </c>
      <c r="E1520" s="2" t="str">
        <f ca="1">IFERROR(__xludf.DUMMYFUNCTION("GOOGLETRANSLATE(B1520,""en"",""fr"")"),"menacer")</f>
        <v>menacer</v>
      </c>
      <c r="F1520" s="2" t="str">
        <f ca="1">IFERROR(__xludf.DUMMYFUNCTION("GOOGLETRANSLATE(B1520,""en"",""it"")"),"minacciare")</f>
        <v>minacciare</v>
      </c>
      <c r="G1520" s="2" t="str">
        <f ca="1">IFERROR(__xludf.DUMMYFUNCTION("GOOGLETRANSLATE(B1520,""en"",""de"")"),"drohen")</f>
        <v>drohen</v>
      </c>
      <c r="H1520" s="2" t="str">
        <f ca="1">IFERROR(__xludf.DUMMYFUNCTION("GOOGLETRANSLATE(B1520,""en"",""zh"")"),"威胁")</f>
        <v>威胁</v>
      </c>
      <c r="I1520" s="2" t="str">
        <f ca="1">IFERROR(__xludf.DUMMYFUNCTION("GOOGLETRANSLATE(B1520,""en"",""gd"")"),"bagairt")</f>
        <v>bagairt</v>
      </c>
    </row>
    <row r="1521" spans="1:9" ht="14.25" customHeight="1" x14ac:dyDescent="0.3">
      <c r="A1521" s="2">
        <v>1520</v>
      </c>
      <c r="B1521" s="3" t="s">
        <v>1528</v>
      </c>
      <c r="C1521" s="2" t="str">
        <f ca="1">IFERROR(__xludf.DUMMYFUNCTION("GOOGLETRANSLATE(B1521, ""en"",""es"")"),"división")</f>
        <v>división</v>
      </c>
      <c r="D1521" s="2" t="str">
        <f ca="1">IFERROR(__xludf.DUMMYFUNCTION("GOOGLETRANSLATE(B1521,""en"",""ig"")"),"nkewa")</f>
        <v>nkewa</v>
      </c>
      <c r="E1521" s="2" t="str">
        <f ca="1">IFERROR(__xludf.DUMMYFUNCTION("GOOGLETRANSLATE(B1521,""en"",""fr"")"),"division")</f>
        <v>division</v>
      </c>
      <c r="F1521" s="2" t="str">
        <f ca="1">IFERROR(__xludf.DUMMYFUNCTION("GOOGLETRANSLATE(B1521,""en"",""it"")"),"divisione")</f>
        <v>divisione</v>
      </c>
      <c r="G1521" s="2" t="str">
        <f ca="1">IFERROR(__xludf.DUMMYFUNCTION("GOOGLETRANSLATE(B1521,""en"",""de"")"),"Aufteilung")</f>
        <v>Aufteilung</v>
      </c>
      <c r="H1521" s="2" t="str">
        <f ca="1">IFERROR(__xludf.DUMMYFUNCTION("GOOGLETRANSLATE(B1521,""en"",""zh"")"),"分配")</f>
        <v>分配</v>
      </c>
      <c r="I1521" s="2" t="str">
        <f ca="1">IFERROR(__xludf.DUMMYFUNCTION("GOOGLETRANSLATE(B1521,""en"",""gd"")"),"Roinn")</f>
        <v>Roinn</v>
      </c>
    </row>
    <row r="1522" spans="1:9" ht="14.25" customHeight="1" x14ac:dyDescent="0.3">
      <c r="A1522" s="2">
        <v>1521</v>
      </c>
      <c r="B1522" s="3" t="s">
        <v>1529</v>
      </c>
      <c r="C1522" s="2" t="str">
        <f ca="1">IFERROR(__xludf.DUMMYFUNCTION("GOOGLETRANSLATE(B1522, ""en"",""es"")"),"seguro")</f>
        <v>seguro</v>
      </c>
      <c r="D1522" s="2" t="str">
        <f ca="1">IFERROR(__xludf.DUMMYFUNCTION("GOOGLETRANSLATE(B1522,""en"",""ig"")"),"nke ntukwasiobi")</f>
        <v>nke ntukwasiobi</v>
      </c>
      <c r="E1522" s="2" t="str">
        <f ca="1">IFERROR(__xludf.DUMMYFUNCTION("GOOGLETRANSLATE(B1522,""en"",""fr"")"),"sécurisé")</f>
        <v>sécurisé</v>
      </c>
      <c r="F1522" s="2" t="str">
        <f ca="1">IFERROR(__xludf.DUMMYFUNCTION("GOOGLETRANSLATE(B1522,""en"",""it"")"),"sicuro")</f>
        <v>sicuro</v>
      </c>
      <c r="G1522" s="2" t="str">
        <f ca="1">IFERROR(__xludf.DUMMYFUNCTION("GOOGLETRANSLATE(B1522,""en"",""de"")"),"sicher")</f>
        <v>sicher</v>
      </c>
      <c r="H1522" s="2" t="str">
        <f ca="1">IFERROR(__xludf.DUMMYFUNCTION("GOOGLETRANSLATE(B1522,""en"",""zh"")"),"安全的")</f>
        <v>安全的</v>
      </c>
      <c r="I1522" s="2" t="str">
        <f ca="1">IFERROR(__xludf.DUMMYFUNCTION("GOOGLETRANSLATE(B1522,""en"",""gd"")"),"tèarainte")</f>
        <v>tèarainte</v>
      </c>
    </row>
    <row r="1523" spans="1:9" ht="14.25" customHeight="1" x14ac:dyDescent="0.3">
      <c r="A1523" s="2">
        <v>1522</v>
      </c>
      <c r="B1523" s="3" t="s">
        <v>1530</v>
      </c>
      <c r="C1523" s="2" t="str">
        <f ca="1">IFERROR(__xludf.DUMMYFUNCTION("GOOGLETRANSLATE(B1523, ""en"",""es"")"),"asombro")</f>
        <v>asombro</v>
      </c>
      <c r="D1523" s="2" t="str">
        <f ca="1">IFERROR(__xludf.DUMMYFUNCTION("GOOGLETRANSLATE(B1523,""en"",""ig"")"),"itu n'anya")</f>
        <v>itu n'anya</v>
      </c>
      <c r="E1523" s="2" t="str">
        <f ca="1">IFERROR(__xludf.DUMMYFUNCTION("GOOGLETRANSLATE(B1523,""en"",""fr"")"),"étonner")</f>
        <v>étonner</v>
      </c>
      <c r="F1523" s="2" t="str">
        <f ca="1">IFERROR(__xludf.DUMMYFUNCTION("GOOGLETRANSLATE(B1523,""en"",""it"")"),"stupire")</f>
        <v>stupire</v>
      </c>
      <c r="G1523" s="2" t="str">
        <f ca="1">IFERROR(__xludf.DUMMYFUNCTION("GOOGLETRANSLATE(B1523,""en"",""de"")"),"überraschen")</f>
        <v>überraschen</v>
      </c>
      <c r="H1523" s="2" t="str">
        <f ca="1">IFERROR(__xludf.DUMMYFUNCTION("GOOGLETRANSLATE(B1523,""en"",""zh"")"),"惊奇")</f>
        <v>惊奇</v>
      </c>
      <c r="I1523" s="2" t="str">
        <f ca="1">IFERROR(__xludf.DUMMYFUNCTION("GOOGLETRANSLATE(B1523,""en"",""gd"")"),"Amaze")</f>
        <v>Amaze</v>
      </c>
    </row>
    <row r="1524" spans="1:9" ht="14.25" customHeight="1" x14ac:dyDescent="0.3">
      <c r="A1524" s="2">
        <v>1523</v>
      </c>
      <c r="B1524" s="3" t="s">
        <v>1531</v>
      </c>
      <c r="C1524" s="2" t="str">
        <f ca="1">IFERROR(__xludf.DUMMYFUNCTION("GOOGLETRANSLATE(B1524, ""en"",""es"")"),"dispositivo")</f>
        <v>dispositivo</v>
      </c>
      <c r="D1524" s="2" t="str">
        <f ca="1">IFERROR(__xludf.DUMMYFUNCTION("GOOGLETRANSLATE(B1524,""en"",""ig"")"),"ihe eji emeihe")</f>
        <v>ihe eji emeihe</v>
      </c>
      <c r="E1524" s="2" t="str">
        <f ca="1">IFERROR(__xludf.DUMMYFUNCTION("GOOGLETRANSLATE(B1524,""en"",""fr"")"),"appareil")</f>
        <v>appareil</v>
      </c>
      <c r="F1524" s="2" t="str">
        <f ca="1">IFERROR(__xludf.DUMMYFUNCTION("GOOGLETRANSLATE(B1524,""en"",""it"")"),"dispositivo")</f>
        <v>dispositivo</v>
      </c>
      <c r="G1524" s="2" t="str">
        <f ca="1">IFERROR(__xludf.DUMMYFUNCTION("GOOGLETRANSLATE(B1524,""en"",""de"")"),"Gerät")</f>
        <v>Gerät</v>
      </c>
      <c r="H1524" s="2" t="str">
        <f ca="1">IFERROR(__xludf.DUMMYFUNCTION("GOOGLETRANSLATE(B1524,""en"",""zh"")"),"设备")</f>
        <v>设备</v>
      </c>
      <c r="I1524" s="2" t="str">
        <f ca="1">IFERROR(__xludf.DUMMYFUNCTION("GOOGLETRANSLATE(B1524,""en"",""gd"")"),"Inneal")</f>
        <v>Inneal</v>
      </c>
    </row>
    <row r="1525" spans="1:9" ht="14.25" customHeight="1" x14ac:dyDescent="0.3">
      <c r="A1525" s="2">
        <v>1524</v>
      </c>
      <c r="B1525" s="3" t="s">
        <v>1532</v>
      </c>
      <c r="C1525" s="2" t="str">
        <f ca="1">IFERROR(__xludf.DUMMYFUNCTION("GOOGLETRANSLATE(B1525, ""en"",""es"")"),"nacimiento")</f>
        <v>nacimiento</v>
      </c>
      <c r="D1525" s="2" t="str">
        <f ca="1">IFERROR(__xludf.DUMMYFUNCTION("GOOGLETRANSLATE(B1525,""en"",""ig"")"),"omumu")</f>
        <v>omumu</v>
      </c>
      <c r="E1525" s="2" t="str">
        <f ca="1">IFERROR(__xludf.DUMMYFUNCTION("GOOGLETRANSLATE(B1525,""en"",""fr"")"),"naissance")</f>
        <v>naissance</v>
      </c>
      <c r="F1525" s="2" t="str">
        <f ca="1">IFERROR(__xludf.DUMMYFUNCTION("GOOGLETRANSLATE(B1525,""en"",""it"")"),"nascita")</f>
        <v>nascita</v>
      </c>
      <c r="G1525" s="2" t="str">
        <f ca="1">IFERROR(__xludf.DUMMYFUNCTION("GOOGLETRANSLATE(B1525,""en"",""de"")"),"Geburt")</f>
        <v>Geburt</v>
      </c>
      <c r="H1525" s="2" t="str">
        <f ca="1">IFERROR(__xludf.DUMMYFUNCTION("GOOGLETRANSLATE(B1525,""en"",""zh"")"),"出生")</f>
        <v>出生</v>
      </c>
      <c r="I1525" s="2" t="str">
        <f ca="1">IFERROR(__xludf.DUMMYFUNCTION("GOOGLETRANSLATE(B1525,""en"",""gd"")"),"Breith")</f>
        <v>Breith</v>
      </c>
    </row>
    <row r="1526" spans="1:9" ht="14.25" customHeight="1" x14ac:dyDescent="0.3">
      <c r="A1526" s="2">
        <v>1525</v>
      </c>
      <c r="B1526" s="3" t="s">
        <v>1533</v>
      </c>
      <c r="C1526" s="2" t="str">
        <f ca="1">IFERROR(__xludf.DUMMYFUNCTION("GOOGLETRANSLATE(B1526, ""en"",""es"")"),"bosque")</f>
        <v>bosque</v>
      </c>
      <c r="D1526" s="2" t="str">
        <f ca="1">IFERROR(__xludf.DUMMYFUNCTION("GOOGLETRANSLATE(B1526,""en"",""ig"")"),"ohia")</f>
        <v>ohia</v>
      </c>
      <c r="E1526" s="2" t="str">
        <f ca="1">IFERROR(__xludf.DUMMYFUNCTION("GOOGLETRANSLATE(B1526,""en"",""fr"")"),"forêt")</f>
        <v>forêt</v>
      </c>
      <c r="F1526" s="2" t="str">
        <f ca="1">IFERROR(__xludf.DUMMYFUNCTION("GOOGLETRANSLATE(B1526,""en"",""it"")"),"foresta")</f>
        <v>foresta</v>
      </c>
      <c r="G1526" s="2" t="str">
        <f ca="1">IFERROR(__xludf.DUMMYFUNCTION("GOOGLETRANSLATE(B1526,""en"",""de"")"),"Wald")</f>
        <v>Wald</v>
      </c>
      <c r="H1526" s="2" t="str">
        <f ca="1">IFERROR(__xludf.DUMMYFUNCTION("GOOGLETRANSLATE(B1526,""en"",""zh"")"),"森林")</f>
        <v>森林</v>
      </c>
      <c r="I1526" s="2" t="str">
        <f ca="1">IFERROR(__xludf.DUMMYFUNCTION("GOOGLETRANSLATE(B1526,""en"",""gd"")"),"Coille")</f>
        <v>Coille</v>
      </c>
    </row>
    <row r="1527" spans="1:9" ht="14.25" customHeight="1" x14ac:dyDescent="0.3">
      <c r="A1527" s="2">
        <v>1526</v>
      </c>
      <c r="B1527" s="3" t="s">
        <v>1534</v>
      </c>
      <c r="C1527" s="2" t="str">
        <f ca="1">IFERROR(__xludf.DUMMYFUNCTION("GOOGLETRANSLATE(B1527, ""en"",""es"")"),"etiqueta")</f>
        <v>etiqueta</v>
      </c>
      <c r="D1527" s="2" t="str">
        <f ca="1">IFERROR(__xludf.DUMMYFUNCTION("GOOGLETRANSLATE(B1527,""en"",""ig"")"),"labeelu")</f>
        <v>labeelu</v>
      </c>
      <c r="E1527" s="2" t="str">
        <f ca="1">IFERROR(__xludf.DUMMYFUNCTION("GOOGLETRANSLATE(B1527,""en"",""fr"")"),"étiquette")</f>
        <v>étiquette</v>
      </c>
      <c r="F1527" s="2" t="str">
        <f ca="1">IFERROR(__xludf.DUMMYFUNCTION("GOOGLETRANSLATE(B1527,""en"",""it"")"),"etichetta")</f>
        <v>etichetta</v>
      </c>
      <c r="G1527" s="2" t="str">
        <f ca="1">IFERROR(__xludf.DUMMYFUNCTION("GOOGLETRANSLATE(B1527,""en"",""de"")"),"Etikett")</f>
        <v>Etikett</v>
      </c>
      <c r="H1527" s="2" t="str">
        <f ca="1">IFERROR(__xludf.DUMMYFUNCTION("GOOGLETRANSLATE(B1527,""en"",""zh"")"),"标签")</f>
        <v>标签</v>
      </c>
      <c r="I1527" s="2" t="str">
        <f ca="1">IFERROR(__xludf.DUMMYFUNCTION("GOOGLETRANSLATE(B1527,""en"",""gd"")"),"leubail")</f>
        <v>leubail</v>
      </c>
    </row>
    <row r="1528" spans="1:9" ht="14.25" customHeight="1" x14ac:dyDescent="0.3">
      <c r="A1528" s="2">
        <v>1527</v>
      </c>
      <c r="B1528" s="3" t="s">
        <v>1535</v>
      </c>
      <c r="C1528" s="2" t="str">
        <f ca="1">IFERROR(__xludf.DUMMYFUNCTION("GOOGLETRANSLATE(B1528, ""en"",""es"")"),"raíz")</f>
        <v>raíz</v>
      </c>
      <c r="D1528" s="2" t="str">
        <f ca="1">IFERROR(__xludf.DUMMYFUNCTION("GOOGLETRANSLATE(B1528,""en"",""ig"")"),"mgborogwu")</f>
        <v>mgborogwu</v>
      </c>
      <c r="E1528" s="2" t="str">
        <f ca="1">IFERROR(__xludf.DUMMYFUNCTION("GOOGLETRANSLATE(B1528,""en"",""fr"")"),"racine")</f>
        <v>racine</v>
      </c>
      <c r="F1528" s="2" t="str">
        <f ca="1">IFERROR(__xludf.DUMMYFUNCTION("GOOGLETRANSLATE(B1528,""en"",""it"")"),"radice")</f>
        <v>radice</v>
      </c>
      <c r="G1528" s="2" t="str">
        <f ca="1">IFERROR(__xludf.DUMMYFUNCTION("GOOGLETRANSLATE(B1528,""en"",""de"")"),"Wurzel")</f>
        <v>Wurzel</v>
      </c>
      <c r="H1528" s="2" t="str">
        <f ca="1">IFERROR(__xludf.DUMMYFUNCTION("GOOGLETRANSLATE(B1528,""en"",""zh"")"),"根")</f>
        <v>根</v>
      </c>
      <c r="I1528" s="2" t="str">
        <f ca="1">IFERROR(__xludf.DUMMYFUNCTION("GOOGLETRANSLATE(B1528,""en"",""gd"")"),"freumh")</f>
        <v>freumh</v>
      </c>
    </row>
    <row r="1529" spans="1:9" ht="14.25" customHeight="1" x14ac:dyDescent="0.3">
      <c r="A1529" s="2">
        <v>1528</v>
      </c>
      <c r="B1529" s="3" t="s">
        <v>1536</v>
      </c>
      <c r="C1529" s="2" t="str">
        <f ca="1">IFERROR(__xludf.DUMMYFUNCTION("GOOGLETRANSLATE(B1529, ""en"",""es"")"),"fábrica")</f>
        <v>fábrica</v>
      </c>
      <c r="D1529" s="2" t="str">
        <f ca="1">IFERROR(__xludf.DUMMYFUNCTION("GOOGLETRANSLATE(B1529,""en"",""ig"")"),"fakitri")</f>
        <v>fakitri</v>
      </c>
      <c r="E1529" s="2" t="str">
        <f ca="1">IFERROR(__xludf.DUMMYFUNCTION("GOOGLETRANSLATE(B1529,""en"",""fr"")"),"usine")</f>
        <v>usine</v>
      </c>
      <c r="F1529" s="2" t="str">
        <f ca="1">IFERROR(__xludf.DUMMYFUNCTION("GOOGLETRANSLATE(B1529,""en"",""it"")"),"fabbrica")</f>
        <v>fabbrica</v>
      </c>
      <c r="G1529" s="2" t="str">
        <f ca="1">IFERROR(__xludf.DUMMYFUNCTION("GOOGLETRANSLATE(B1529,""en"",""de"")"),"Fabrik")</f>
        <v>Fabrik</v>
      </c>
      <c r="H1529" s="2" t="str">
        <f ca="1">IFERROR(__xludf.DUMMYFUNCTION("GOOGLETRANSLATE(B1529,""en"",""zh"")"),"工厂")</f>
        <v>工厂</v>
      </c>
      <c r="I1529" s="2" t="str">
        <f ca="1">IFERROR(__xludf.DUMMYFUNCTION("GOOGLETRANSLATE(B1529,""en"",""gd"")"),"Factaraidh")</f>
        <v>Factaraidh</v>
      </c>
    </row>
    <row r="1530" spans="1:9" ht="14.25" customHeight="1" x14ac:dyDescent="0.3">
      <c r="A1530" s="2">
        <v>1529</v>
      </c>
      <c r="B1530" s="3" t="s">
        <v>1537</v>
      </c>
      <c r="C1530" s="2" t="str">
        <f ca="1">IFERROR(__xludf.DUMMYFUNCTION("GOOGLETRANSLATE(B1530, ""en"",""es"")"),"gastos")</f>
        <v>gastos</v>
      </c>
      <c r="D1530" s="2" t="str">
        <f ca="1">IFERROR(__xludf.DUMMYFUNCTION("GOOGLETRANSLATE(B1530,""en"",""ig"")"),"idi onu")</f>
        <v>idi onu</v>
      </c>
      <c r="E1530" s="2" t="str">
        <f ca="1">IFERROR(__xludf.DUMMYFUNCTION("GOOGLETRANSLATE(B1530,""en"",""fr"")"),"frais")</f>
        <v>frais</v>
      </c>
      <c r="F1530" s="2" t="str">
        <f ca="1">IFERROR(__xludf.DUMMYFUNCTION("GOOGLETRANSLATE(B1530,""en"",""it"")"),"spese")</f>
        <v>spese</v>
      </c>
      <c r="G1530" s="2" t="str">
        <f ca="1">IFERROR(__xludf.DUMMYFUNCTION("GOOGLETRANSLATE(B1530,""en"",""de"")"),"Kosten")</f>
        <v>Kosten</v>
      </c>
      <c r="H1530" s="2" t="str">
        <f ca="1">IFERROR(__xludf.DUMMYFUNCTION("GOOGLETRANSLATE(B1530,""en"",""zh"")"),"费用")</f>
        <v>费用</v>
      </c>
      <c r="I1530" s="2" t="str">
        <f ca="1">IFERROR(__xludf.DUMMYFUNCTION("GOOGLETRANSLATE(B1530,""en"",""gd"")"),"Cosgais")</f>
        <v>Cosgais</v>
      </c>
    </row>
    <row r="1531" spans="1:9" ht="14.25" customHeight="1" x14ac:dyDescent="0.3">
      <c r="A1531" s="2">
        <v>1530</v>
      </c>
      <c r="B1531" s="3" t="s">
        <v>1538</v>
      </c>
      <c r="C1531" s="2" t="str">
        <f ca="1">IFERROR(__xludf.DUMMYFUNCTION("GOOGLETRANSLATE(B1531, ""en"",""es"")"),"canal")</f>
        <v>canal</v>
      </c>
      <c r="D1531" s="2" t="str">
        <f ca="1">IFERROR(__xludf.DUMMYFUNCTION("GOOGLETRANSLATE(B1531,""en"",""ig"")"),"chaneelu")</f>
        <v>chaneelu</v>
      </c>
      <c r="E1531" s="2" t="str">
        <f ca="1">IFERROR(__xludf.DUMMYFUNCTION("GOOGLETRANSLATE(B1531,""en"",""fr"")"),"canal")</f>
        <v>canal</v>
      </c>
      <c r="F1531" s="2" t="str">
        <f ca="1">IFERROR(__xludf.DUMMYFUNCTION("GOOGLETRANSLATE(B1531,""en"",""it"")"),"canale")</f>
        <v>canale</v>
      </c>
      <c r="G1531" s="2" t="str">
        <f ca="1">IFERROR(__xludf.DUMMYFUNCTION("GOOGLETRANSLATE(B1531,""en"",""de"")"),"Kanal")</f>
        <v>Kanal</v>
      </c>
      <c r="H1531" s="2" t="str">
        <f ca="1">IFERROR(__xludf.DUMMYFUNCTION("GOOGLETRANSLATE(B1531,""en"",""zh"")"),"渠道")</f>
        <v>渠道</v>
      </c>
      <c r="I1531" s="2" t="str">
        <f ca="1">IFERROR(__xludf.DUMMYFUNCTION("GOOGLETRANSLATE(B1531,""en"",""gd"")"),"sianal")</f>
        <v>sianal</v>
      </c>
    </row>
    <row r="1532" spans="1:9" ht="14.25" customHeight="1" x14ac:dyDescent="0.3">
      <c r="A1532" s="2">
        <v>1531</v>
      </c>
      <c r="B1532" s="3" t="s">
        <v>1539</v>
      </c>
      <c r="C1532" s="2" t="str">
        <f ca="1">IFERROR(__xludf.DUMMYFUNCTION("GOOGLETRANSLATE(B1532, ""en"",""es"")"),"investigar")</f>
        <v>investigar</v>
      </c>
      <c r="D1532" s="2" t="str">
        <f ca="1">IFERROR(__xludf.DUMMYFUNCTION("GOOGLETRANSLATE(B1532,""en"",""ig"")"),"ichoputa")</f>
        <v>ichoputa</v>
      </c>
      <c r="E1532" s="2" t="str">
        <f ca="1">IFERROR(__xludf.DUMMYFUNCTION("GOOGLETRANSLATE(B1532,""en"",""fr"")"),"enquêter")</f>
        <v>enquêter</v>
      </c>
      <c r="F1532" s="2" t="str">
        <f ca="1">IFERROR(__xludf.DUMMYFUNCTION("GOOGLETRANSLATE(B1532,""en"",""it"")"),"indagare")</f>
        <v>indagare</v>
      </c>
      <c r="G1532" s="2" t="str">
        <f ca="1">IFERROR(__xludf.DUMMYFUNCTION("GOOGLETRANSLATE(B1532,""en"",""de"")"),"untersuchen")</f>
        <v>untersuchen</v>
      </c>
      <c r="H1532" s="2" t="str">
        <f ca="1">IFERROR(__xludf.DUMMYFUNCTION("GOOGLETRANSLATE(B1532,""en"",""zh"")"),"调查")</f>
        <v>调查</v>
      </c>
      <c r="I1532" s="2" t="str">
        <f ca="1">IFERROR(__xludf.DUMMYFUNCTION("GOOGLETRANSLATE(B1532,""en"",""gd"")"),"sgrùdadh")</f>
        <v>sgrùdadh</v>
      </c>
    </row>
    <row r="1533" spans="1:9" ht="14.25" customHeight="1" x14ac:dyDescent="0.3">
      <c r="A1533" s="2">
        <v>1532</v>
      </c>
      <c r="B1533" s="3" t="s">
        <v>1540</v>
      </c>
      <c r="C1533" s="2" t="str">
        <f ca="1">IFERROR(__xludf.DUMMYFUNCTION("GOOGLETRANSLATE(B1533, ""en"",""es"")"),"recomendación")</f>
        <v>recomendación</v>
      </c>
      <c r="D1533" s="2" t="str">
        <f ca="1">IFERROR(__xludf.DUMMYFUNCTION("GOOGLETRANSLATE(B1533,""en"",""ig"")"),"nkwanye")</f>
        <v>nkwanye</v>
      </c>
      <c r="E1533" s="2" t="str">
        <f ca="1">IFERROR(__xludf.DUMMYFUNCTION("GOOGLETRANSLATE(B1533,""en"",""fr"")"),"recommandation")</f>
        <v>recommandation</v>
      </c>
      <c r="F1533" s="2" t="str">
        <f ca="1">IFERROR(__xludf.DUMMYFUNCTION("GOOGLETRANSLATE(B1533,""en"",""it"")"),"raccomandazione")</f>
        <v>raccomandazione</v>
      </c>
      <c r="G1533" s="2" t="str">
        <f ca="1">IFERROR(__xludf.DUMMYFUNCTION("GOOGLETRANSLATE(B1533,""en"",""de"")"),"Empfehlung")</f>
        <v>Empfehlung</v>
      </c>
      <c r="H1533" s="2" t="str">
        <f ca="1">IFERROR(__xludf.DUMMYFUNCTION("GOOGLETRANSLATE(B1533,""en"",""zh"")"),"推荐")</f>
        <v>推荐</v>
      </c>
      <c r="I1533" s="2" t="str">
        <f ca="1">IFERROR(__xludf.DUMMYFUNCTION("GOOGLETRANSLATE(B1533,""en"",""gd"")"),"Moladh")</f>
        <v>Moladh</v>
      </c>
    </row>
    <row r="1534" spans="1:9" ht="14.25" customHeight="1" x14ac:dyDescent="0.3">
      <c r="A1534" s="2">
        <v>1533</v>
      </c>
      <c r="B1534" s="3" t="s">
        <v>1541</v>
      </c>
      <c r="C1534" s="2" t="str">
        <f ca="1">IFERROR(__xludf.DUMMYFUNCTION("GOOGLETRANSLATE(B1534, ""en"",""es"")"),"rango")</f>
        <v>rango</v>
      </c>
      <c r="D1534" s="2" t="str">
        <f ca="1">IFERROR(__xludf.DUMMYFUNCTION("GOOGLETRANSLATE(B1534,""en"",""ig"")"),"msonokwa soja")</f>
        <v>msonokwa soja</v>
      </c>
      <c r="E1534" s="2" t="str">
        <f ca="1">IFERROR(__xludf.DUMMYFUNCTION("GOOGLETRANSLATE(B1534,""en"",""fr"")"),"rang")</f>
        <v>rang</v>
      </c>
      <c r="F1534" s="2" t="str">
        <f ca="1">IFERROR(__xludf.DUMMYFUNCTION("GOOGLETRANSLATE(B1534,""en"",""it"")"),"rango")</f>
        <v>rango</v>
      </c>
      <c r="G1534" s="2" t="str">
        <f ca="1">IFERROR(__xludf.DUMMYFUNCTION("GOOGLETRANSLATE(B1534,""en"",""de"")"),"Rang")</f>
        <v>Rang</v>
      </c>
      <c r="H1534" s="2" t="str">
        <f ca="1">IFERROR(__xludf.DUMMYFUNCTION("GOOGLETRANSLATE(B1534,""en"",""zh"")"),"秩")</f>
        <v>秩</v>
      </c>
      <c r="I1534" s="2" t="str">
        <f ca="1">IFERROR(__xludf.DUMMYFUNCTION("GOOGLETRANSLATE(B1534,""en"",""gd"")"),"Rang")</f>
        <v>Rang</v>
      </c>
    </row>
    <row r="1535" spans="1:9" ht="14.25" customHeight="1" x14ac:dyDescent="0.3">
      <c r="A1535" s="2">
        <v>1534</v>
      </c>
      <c r="B1535" s="3" t="s">
        <v>1542</v>
      </c>
      <c r="C1535" s="2" t="str">
        <f ca="1">IFERROR(__xludf.DUMMYFUNCTION("GOOGLETRANSLATE(B1535, ""en"",""es"")"),"típico")</f>
        <v>típico</v>
      </c>
      <c r="D1535" s="2" t="str">
        <f ca="1">IFERROR(__xludf.DUMMYFUNCTION("GOOGLETRANSLATE(B1535,""en"",""ig"")"),"tipikal")</f>
        <v>tipikal</v>
      </c>
      <c r="E1535" s="2" t="str">
        <f ca="1">IFERROR(__xludf.DUMMYFUNCTION("GOOGLETRANSLATE(B1535,""en"",""fr"")"),"typique")</f>
        <v>typique</v>
      </c>
      <c r="F1535" s="2" t="str">
        <f ca="1">IFERROR(__xludf.DUMMYFUNCTION("GOOGLETRANSLATE(B1535,""en"",""it"")"),"tipico")</f>
        <v>tipico</v>
      </c>
      <c r="G1535" s="2" t="str">
        <f ca="1">IFERROR(__xludf.DUMMYFUNCTION("GOOGLETRANSLATE(B1535,""en"",""de"")"),"typisch")</f>
        <v>typisch</v>
      </c>
      <c r="H1535" s="2" t="str">
        <f ca="1">IFERROR(__xludf.DUMMYFUNCTION("GOOGLETRANSLATE(B1535,""en"",""zh"")"),"典型的")</f>
        <v>典型的</v>
      </c>
      <c r="I1535" s="2" t="str">
        <f ca="1">IFERROR(__xludf.DUMMYFUNCTION("GOOGLETRANSLATE(B1535,""en"",""gd"")"),"àbhaisteach")</f>
        <v>àbhaisteach</v>
      </c>
    </row>
    <row r="1536" spans="1:9" ht="14.25" customHeight="1" x14ac:dyDescent="0.3">
      <c r="A1536" s="2">
        <v>1535</v>
      </c>
      <c r="B1536" s="3" t="s">
        <v>1543</v>
      </c>
      <c r="C1536" s="2" t="str">
        <f ca="1">IFERROR(__xludf.DUMMYFUNCTION("GOOGLETRANSLATE(B1536, ""en"",""es"")"),"Oeste")</f>
        <v>Oeste</v>
      </c>
      <c r="D1536" s="2" t="str">
        <f ca="1">IFERROR(__xludf.DUMMYFUNCTION("GOOGLETRANSLATE(B1536,""en"",""ig"")"),"odida anyanwu")</f>
        <v>odida anyanwu</v>
      </c>
      <c r="E1536" s="2" t="str">
        <f ca="1">IFERROR(__xludf.DUMMYFUNCTION("GOOGLETRANSLATE(B1536,""en"",""fr"")"),"Ouest")</f>
        <v>Ouest</v>
      </c>
      <c r="F1536" s="2" t="str">
        <f ca="1">IFERROR(__xludf.DUMMYFUNCTION("GOOGLETRANSLATE(B1536,""en"",""it"")"),"ovest")</f>
        <v>ovest</v>
      </c>
      <c r="G1536" s="2" t="str">
        <f ca="1">IFERROR(__xludf.DUMMYFUNCTION("GOOGLETRANSLATE(B1536,""en"",""de"")"),"West")</f>
        <v>West</v>
      </c>
      <c r="H1536" s="2" t="str">
        <f ca="1">IFERROR(__xludf.DUMMYFUNCTION("GOOGLETRANSLATE(B1536,""en"",""zh"")"),"西方")</f>
        <v>西方</v>
      </c>
      <c r="I1536" s="2" t="str">
        <f ca="1">IFERROR(__xludf.DUMMYFUNCTION("GOOGLETRANSLATE(B1536,""en"",""gd"")"),"Iar-thuath")</f>
        <v>Iar-thuath</v>
      </c>
    </row>
    <row r="1537" spans="1:9" ht="14.25" customHeight="1" x14ac:dyDescent="0.3">
      <c r="A1537" s="2">
        <v>1536</v>
      </c>
      <c r="B1537" s="3" t="s">
        <v>1544</v>
      </c>
      <c r="C1537" s="2" t="str">
        <f ca="1">IFERROR(__xludf.DUMMYFUNCTION("GOOGLETRANSLATE(B1537, ""en"",""es"")"),"amigable")</f>
        <v>amigable</v>
      </c>
      <c r="D1537" s="2" t="str">
        <f ca="1">IFERROR(__xludf.DUMMYFUNCTION("GOOGLETRANSLATE(B1537,""en"",""ig"")"),"keoyi")</f>
        <v>keoyi</v>
      </c>
      <c r="E1537" s="2" t="str">
        <f ca="1">IFERROR(__xludf.DUMMYFUNCTION("GOOGLETRANSLATE(B1537,""en"",""fr"")"),"amical")</f>
        <v>amical</v>
      </c>
      <c r="F1537" s="2" t="str">
        <f ca="1">IFERROR(__xludf.DUMMYFUNCTION("GOOGLETRANSLATE(B1537,""en"",""it"")"),"amichevole")</f>
        <v>amichevole</v>
      </c>
      <c r="G1537" s="2" t="str">
        <f ca="1">IFERROR(__xludf.DUMMYFUNCTION("GOOGLETRANSLATE(B1537,""en"",""de"")"),"freundlich")</f>
        <v>freundlich</v>
      </c>
      <c r="H1537" s="2" t="str">
        <f ca="1">IFERROR(__xludf.DUMMYFUNCTION("GOOGLETRANSLATE(B1537,""en"",""zh"")"),"友好的")</f>
        <v>友好的</v>
      </c>
      <c r="I1537" s="2" t="str">
        <f ca="1">IFERROR(__xludf.DUMMYFUNCTION("GOOGLETRANSLATE(B1537,""en"",""gd"")"),"càirdeil")</f>
        <v>càirdeil</v>
      </c>
    </row>
    <row r="1538" spans="1:9" ht="14.25" customHeight="1" x14ac:dyDescent="0.3">
      <c r="A1538" s="2">
        <v>1537</v>
      </c>
      <c r="B1538" s="3" t="s">
        <v>1545</v>
      </c>
      <c r="C1538" s="2" t="str">
        <f ca="1">IFERROR(__xludf.DUMMYFUNCTION("GOOGLETRANSLATE(B1538, ""en"",""es"")"),"residente")</f>
        <v>residente</v>
      </c>
      <c r="D1538" s="2" t="str">
        <f ca="1">IFERROR(__xludf.DUMMYFUNCTION("GOOGLETRANSLATE(B1538,""en"",""ig"")"),"residenti nwaanyi")</f>
        <v>residenti nwaanyi</v>
      </c>
      <c r="E1538" s="2" t="str">
        <f ca="1">IFERROR(__xludf.DUMMYFUNCTION("GOOGLETRANSLATE(B1538,""en"",""fr"")"),"résident")</f>
        <v>résident</v>
      </c>
      <c r="F1538" s="2" t="str">
        <f ca="1">IFERROR(__xludf.DUMMYFUNCTION("GOOGLETRANSLATE(B1538,""en"",""it"")"),"residente")</f>
        <v>residente</v>
      </c>
      <c r="G1538" s="2" t="str">
        <f ca="1">IFERROR(__xludf.DUMMYFUNCTION("GOOGLETRANSLATE(B1538,""en"",""de"")"),"Bewohner")</f>
        <v>Bewohner</v>
      </c>
      <c r="H1538" s="2" t="str">
        <f ca="1">IFERROR(__xludf.DUMMYFUNCTION("GOOGLETRANSLATE(B1538,""en"",""zh"")"),"居民")</f>
        <v>居民</v>
      </c>
      <c r="I1538" s="2" t="str">
        <f ca="1">IFERROR(__xludf.DUMMYFUNCTION("GOOGLETRANSLATE(B1538,""en"",""gd"")"),"Neach-còmhnaidh")</f>
        <v>Neach-còmhnaidh</v>
      </c>
    </row>
    <row r="1539" spans="1:9" ht="14.25" customHeight="1" x14ac:dyDescent="0.3">
      <c r="A1539" s="2">
        <v>1538</v>
      </c>
      <c r="B1539" s="3" t="s">
        <v>1546</v>
      </c>
      <c r="C1539" s="2" t="str">
        <f ca="1">IFERROR(__xludf.DUMMYFUNCTION("GOOGLETRANSLATE(B1539, ""en"",""es"")"),"disposición")</f>
        <v>disposición</v>
      </c>
      <c r="D1539" s="2" t="str">
        <f ca="1">IFERROR(__xludf.DUMMYFUNCTION("GOOGLETRANSLATE(B1539,""en"",""ig"")"),"ikele")</f>
        <v>ikele</v>
      </c>
      <c r="E1539" s="2" t="str">
        <f ca="1">IFERROR(__xludf.DUMMYFUNCTION("GOOGLETRANSLATE(B1539,""en"",""fr"")"),"disposition")</f>
        <v>disposition</v>
      </c>
      <c r="F1539" s="2" t="str">
        <f ca="1">IFERROR(__xludf.DUMMYFUNCTION("GOOGLETRANSLATE(B1539,""en"",""it"")"),"disposizione")</f>
        <v>disposizione</v>
      </c>
      <c r="G1539" s="2" t="str">
        <f ca="1">IFERROR(__xludf.DUMMYFUNCTION("GOOGLETRANSLATE(B1539,""en"",""de"")"),"Bestimmung")</f>
        <v>Bestimmung</v>
      </c>
      <c r="H1539" s="2" t="str">
        <f ca="1">IFERROR(__xludf.DUMMYFUNCTION("GOOGLETRANSLATE(B1539,""en"",""zh"")"),"条款")</f>
        <v>条款</v>
      </c>
      <c r="I1539" s="2" t="str">
        <f ca="1">IFERROR(__xludf.DUMMYFUNCTION("GOOGLETRANSLATE(B1539,""en"",""gd"")"),"Solarachadh")</f>
        <v>Solarachadh</v>
      </c>
    </row>
    <row r="1540" spans="1:9" ht="14.25" customHeight="1" x14ac:dyDescent="0.3">
      <c r="A1540" s="2">
        <v>1539</v>
      </c>
      <c r="B1540" s="3" t="s">
        <v>1547</v>
      </c>
      <c r="C1540" s="2" t="str">
        <f ca="1">IFERROR(__xludf.DUMMYFUNCTION("GOOGLETRANSLATE(B1540, ""en"",""es"")"),"concentrarse")</f>
        <v>concentrarse</v>
      </c>
      <c r="D1540" s="2" t="str">
        <f ca="1">IFERROR(__xludf.DUMMYFUNCTION("GOOGLETRANSLATE(B1540,""en"",""ig"")"),"itinye echiche")</f>
        <v>itinye echiche</v>
      </c>
      <c r="E1540" s="2" t="str">
        <f ca="1">IFERROR(__xludf.DUMMYFUNCTION("GOOGLETRANSLATE(B1540,""en"",""fr"")"),"se concentrer")</f>
        <v>se concentrer</v>
      </c>
      <c r="F1540" s="2" t="str">
        <f ca="1">IFERROR(__xludf.DUMMYFUNCTION("GOOGLETRANSLATE(B1540,""en"",""it"")"),"concentrare")</f>
        <v>concentrare</v>
      </c>
      <c r="G1540" s="2" t="str">
        <f ca="1">IFERROR(__xludf.DUMMYFUNCTION("GOOGLETRANSLATE(B1540,""en"",""de"")"),"konzentrieren")</f>
        <v>konzentrieren</v>
      </c>
      <c r="H1540" s="2" t="str">
        <f ca="1">IFERROR(__xludf.DUMMYFUNCTION("GOOGLETRANSLATE(B1540,""en"",""zh"")"),"集中")</f>
        <v>集中</v>
      </c>
      <c r="I1540" s="2" t="str">
        <f ca="1">IFERROR(__xludf.DUMMYFUNCTION("GOOGLETRANSLATE(B1540,""en"",""gd"")"),"cuimseachadh")</f>
        <v>cuimseachadh</v>
      </c>
    </row>
    <row r="1541" spans="1:9" ht="14.25" customHeight="1" x14ac:dyDescent="0.3">
      <c r="A1541" s="2">
        <v>1540</v>
      </c>
      <c r="B1541" s="3" t="s">
        <v>1548</v>
      </c>
      <c r="C1541" s="2" t="str">
        <f ca="1">IFERROR(__xludf.DUMMYFUNCTION("GOOGLETRANSLATE(B1541, ""en"",""es"")"),"infinidad")</f>
        <v>infinidad</v>
      </c>
      <c r="D1541" s="2" t="str">
        <f ca="1">IFERROR(__xludf.DUMMYFUNCTION("GOOGLETRANSLATE(B1541,""en"",""ig"")"),"use")</f>
        <v>use</v>
      </c>
      <c r="E1541" s="2" t="str">
        <f ca="1">IFERROR(__xludf.DUMMYFUNCTION("GOOGLETRANSLATE(B1541,""en"",""fr"")"),"beaucoup")</f>
        <v>beaucoup</v>
      </c>
      <c r="F1541" s="2" t="str">
        <f ca="1">IFERROR(__xludf.DUMMYFUNCTION("GOOGLETRANSLATE(B1541,""en"",""it"")"),"abbondanza")</f>
        <v>abbondanza</v>
      </c>
      <c r="G1541" s="2" t="str">
        <f ca="1">IFERROR(__xludf.DUMMYFUNCTION("GOOGLETRANSLATE(B1541,""en"",""de"")"),"eine Menge")</f>
        <v>eine Menge</v>
      </c>
      <c r="H1541" s="2" t="str">
        <f ca="1">IFERROR(__xludf.DUMMYFUNCTION("GOOGLETRANSLATE(B1541,""en"",""zh"")"),"很多")</f>
        <v>很多</v>
      </c>
      <c r="I1541" s="2" t="str">
        <f ca="1">IFERROR(__xludf.DUMMYFUNCTION("GOOGLETRANSLATE(B1541,""en"",""gd"")"),"gu leòr")</f>
        <v>gu leòr</v>
      </c>
    </row>
    <row r="1542" spans="1:9" ht="14.25" customHeight="1" x14ac:dyDescent="0.3">
      <c r="A1542" s="2">
        <v>1541</v>
      </c>
      <c r="B1542" s="3" t="s">
        <v>1549</v>
      </c>
      <c r="C1542" s="2" t="str">
        <f ca="1">IFERROR(__xludf.DUMMYFUNCTION("GOOGLETRANSLATE(B1542, ""en"",""es"")"),"exportar")</f>
        <v>exportar</v>
      </c>
      <c r="D1542" s="2" t="str">
        <f ca="1">IFERROR(__xludf.DUMMYFUNCTION("GOOGLETRANSLATE(B1542,""en"",""ig"")"),"ekspootu")</f>
        <v>ekspootu</v>
      </c>
      <c r="E1542" s="2" t="str">
        <f ca="1">IFERROR(__xludf.DUMMYFUNCTION("GOOGLETRANSLATE(B1542,""en"",""fr"")"),"exporter")</f>
        <v>exporter</v>
      </c>
      <c r="F1542" s="2" t="str">
        <f ca="1">IFERROR(__xludf.DUMMYFUNCTION("GOOGLETRANSLATE(B1542,""en"",""it"")"),"esportare")</f>
        <v>esportare</v>
      </c>
      <c r="G1542" s="2" t="str">
        <f ca="1">IFERROR(__xludf.DUMMYFUNCTION("GOOGLETRANSLATE(B1542,""en"",""de"")"),"Export")</f>
        <v>Export</v>
      </c>
      <c r="H1542" s="2" t="str">
        <f ca="1">IFERROR(__xludf.DUMMYFUNCTION("GOOGLETRANSLATE(B1542,""en"",""zh"")"),"出口")</f>
        <v>出口</v>
      </c>
      <c r="I1542" s="2" t="str">
        <f ca="1">IFERROR(__xludf.DUMMYFUNCTION("GOOGLETRANSLATE(B1542,""en"",""gd"")"),"às-mhalairt")</f>
        <v>às-mhalairt</v>
      </c>
    </row>
    <row r="1543" spans="1:9" ht="14.25" customHeight="1" x14ac:dyDescent="0.3">
      <c r="A1543" s="2">
        <v>1542</v>
      </c>
      <c r="B1543" s="3" t="s">
        <v>1550</v>
      </c>
      <c r="C1543" s="2" t="str">
        <f ca="1">IFERROR(__xludf.DUMMYFUNCTION("GOOGLETRANSLATE(B1543, ""en"",""es"")"),"enteramente")</f>
        <v>enteramente</v>
      </c>
      <c r="D1543" s="2" t="str">
        <f ca="1">IFERROR(__xludf.DUMMYFUNCTION("GOOGLETRANSLATE(B1543,""en"",""ig"")"),"kpam kpam")</f>
        <v>kpam kpam</v>
      </c>
      <c r="E1543" s="2" t="str">
        <f ca="1">IFERROR(__xludf.DUMMYFUNCTION("GOOGLETRANSLATE(B1543,""en"",""fr"")"),"entièrement")</f>
        <v>entièrement</v>
      </c>
      <c r="F1543" s="2" t="str">
        <f ca="1">IFERROR(__xludf.DUMMYFUNCTION("GOOGLETRANSLATE(B1543,""en"",""it"")"),"interamente")</f>
        <v>interamente</v>
      </c>
      <c r="G1543" s="2" t="str">
        <f ca="1">IFERROR(__xludf.DUMMYFUNCTION("GOOGLETRANSLATE(B1543,""en"",""de"")"),"vollständig")</f>
        <v>vollständig</v>
      </c>
      <c r="H1543" s="2" t="str">
        <f ca="1">IFERROR(__xludf.DUMMYFUNCTION("GOOGLETRANSLATE(B1543,""en"",""zh"")"),"完全")</f>
        <v>完全</v>
      </c>
      <c r="I1543" s="2" t="str">
        <f ca="1">IFERROR(__xludf.DUMMYFUNCTION("GOOGLETRANSLATE(B1543,""en"",""gd"")"),"gu tur")</f>
        <v>gu tur</v>
      </c>
    </row>
    <row r="1544" spans="1:9" ht="14.25" customHeight="1" x14ac:dyDescent="0.3">
      <c r="A1544" s="2">
        <v>1543</v>
      </c>
      <c r="B1544" s="3" t="s">
        <v>1551</v>
      </c>
      <c r="C1544" s="2" t="str">
        <f ca="1">IFERROR(__xludf.DUMMYFUNCTION("GOOGLETRANSLATE(B1544, ""en"",""es"")"),"fuertemente")</f>
        <v>fuertemente</v>
      </c>
      <c r="D1544" s="2" t="str">
        <f ca="1">IFERROR(__xludf.DUMMYFUNCTION("GOOGLETRANSLATE(B1544,""en"",""ig"")"),"ike siri ike")</f>
        <v>ike siri ike</v>
      </c>
      <c r="E1544" s="2" t="str">
        <f ca="1">IFERROR(__xludf.DUMMYFUNCTION("GOOGLETRANSLATE(B1544,""en"",""fr"")"),"fortement")</f>
        <v>fortement</v>
      </c>
      <c r="F1544" s="2" t="str">
        <f ca="1">IFERROR(__xludf.DUMMYFUNCTION("GOOGLETRANSLATE(B1544,""en"",""it"")"),"fortemente")</f>
        <v>fortemente</v>
      </c>
      <c r="G1544" s="2" t="str">
        <f ca="1">IFERROR(__xludf.DUMMYFUNCTION("GOOGLETRANSLATE(B1544,""en"",""de"")"),"stark")</f>
        <v>stark</v>
      </c>
      <c r="H1544" s="2" t="str">
        <f ca="1">IFERROR(__xludf.DUMMYFUNCTION("GOOGLETRANSLATE(B1544,""en"",""zh"")"),"强烈")</f>
        <v>强烈</v>
      </c>
      <c r="I1544" s="2" t="str">
        <f ca="1">IFERROR(__xludf.DUMMYFUNCTION("GOOGLETRANSLATE(B1544,""en"",""gd"")"),"gu làidir")</f>
        <v>gu làidir</v>
      </c>
    </row>
    <row r="1545" spans="1:9" ht="14.25" customHeight="1" x14ac:dyDescent="0.3">
      <c r="A1545" s="2">
        <v>1544</v>
      </c>
      <c r="B1545" s="3" t="s">
        <v>1552</v>
      </c>
      <c r="C1545" s="2" t="str">
        <f ca="1">IFERROR(__xludf.DUMMYFUNCTION("GOOGLETRANSLATE(B1545, ""en"",""es"")"),"puente")</f>
        <v>puente</v>
      </c>
      <c r="D1545" s="2" t="str">
        <f ca="1">IFERROR(__xludf.DUMMYFUNCTION("GOOGLETRANSLATE(B1545,""en"",""ig"")"),"akwa")</f>
        <v>akwa</v>
      </c>
      <c r="E1545" s="2" t="str">
        <f ca="1">IFERROR(__xludf.DUMMYFUNCTION("GOOGLETRANSLATE(B1545,""en"",""fr"")"),"pont")</f>
        <v>pont</v>
      </c>
      <c r="F1545" s="2" t="str">
        <f ca="1">IFERROR(__xludf.DUMMYFUNCTION("GOOGLETRANSLATE(B1545,""en"",""it"")"),"ponte")</f>
        <v>ponte</v>
      </c>
      <c r="G1545" s="2" t="str">
        <f ca="1">IFERROR(__xludf.DUMMYFUNCTION("GOOGLETRANSLATE(B1545,""en"",""de"")"),"Brücke")</f>
        <v>Brücke</v>
      </c>
      <c r="H1545" s="2" t="str">
        <f ca="1">IFERROR(__xludf.DUMMYFUNCTION("GOOGLETRANSLATE(B1545,""en"",""zh"")"),"桥")</f>
        <v>桥</v>
      </c>
      <c r="I1545" s="2" t="str">
        <f ca="1">IFERROR(__xludf.DUMMYFUNCTION("GOOGLETRANSLATE(B1545,""en"",""gd"")"),"Drochaid")</f>
        <v>Drochaid</v>
      </c>
    </row>
    <row r="1546" spans="1:9" ht="14.25" customHeight="1" x14ac:dyDescent="0.3">
      <c r="A1546" s="2">
        <v>1545</v>
      </c>
      <c r="B1546" s="3" t="s">
        <v>1553</v>
      </c>
      <c r="C1546" s="2" t="str">
        <f ca="1">IFERROR(__xludf.DUMMYFUNCTION("GOOGLETRANSLATE(B1546, ""en"",""es"")"),"consistir")</f>
        <v>consistir</v>
      </c>
      <c r="D1546" s="2" t="str">
        <f ca="1">IFERROR(__xludf.DUMMYFUNCTION("GOOGLETRANSLATE(B1546,""en"",""ig"")"),"iso")</f>
        <v>iso</v>
      </c>
      <c r="E1546" s="2" t="str">
        <f ca="1">IFERROR(__xludf.DUMMYFUNCTION("GOOGLETRANSLATE(B1546,""en"",""fr"")"),"consister")</f>
        <v>consister</v>
      </c>
      <c r="F1546" s="2" t="str">
        <f ca="1">IFERROR(__xludf.DUMMYFUNCTION("GOOGLETRANSLATE(B1546,""en"",""it"")"),"consistono")</f>
        <v>consistono</v>
      </c>
      <c r="G1546" s="2" t="str">
        <f ca="1">IFERROR(__xludf.DUMMYFUNCTION("GOOGLETRANSLATE(B1546,""en"",""de"")"),"bestehen")</f>
        <v>bestehen</v>
      </c>
      <c r="H1546" s="2" t="str">
        <f ca="1">IFERROR(__xludf.DUMMYFUNCTION("GOOGLETRANSLATE(B1546,""en"",""zh"")"),"组成")</f>
        <v>组成</v>
      </c>
      <c r="I1546" s="2" t="str">
        <f ca="1">IFERROR(__xludf.DUMMYFUNCTION("GOOGLETRANSLATE(B1546,""en"",""gd"")"),"a 'toirt a-steach")</f>
        <v>a 'toirt a-steach</v>
      </c>
    </row>
    <row r="1547" spans="1:9" ht="14.25" customHeight="1" x14ac:dyDescent="0.3">
      <c r="A1547" s="2">
        <v>1546</v>
      </c>
      <c r="B1547" s="3" t="s">
        <v>1554</v>
      </c>
      <c r="C1547" s="2" t="str">
        <f ca="1">IFERROR(__xludf.DUMMYFUNCTION("GOOGLETRANSLATE(B1547, ""en"",""es"")"),"graduado")</f>
        <v>graduado</v>
      </c>
      <c r="D1547" s="2" t="str">
        <f ca="1">IFERROR(__xludf.DUMMYFUNCTION("GOOGLETRANSLATE(B1547,""en"",""ig"")"),"igucha akwukwo")</f>
        <v>igucha akwukwo</v>
      </c>
      <c r="E1547" s="2" t="str">
        <f ca="1">IFERROR(__xludf.DUMMYFUNCTION("GOOGLETRANSLATE(B1547,""en"",""fr"")"),"diplômé")</f>
        <v>diplômé</v>
      </c>
      <c r="F1547" s="2" t="str">
        <f ca="1">IFERROR(__xludf.DUMMYFUNCTION("GOOGLETRANSLATE(B1547,""en"",""it"")"),"laureato")</f>
        <v>laureato</v>
      </c>
      <c r="G1547" s="2" t="str">
        <f ca="1">IFERROR(__xludf.DUMMYFUNCTION("GOOGLETRANSLATE(B1547,""en"",""de"")"),"Absolvent")</f>
        <v>Absolvent</v>
      </c>
      <c r="H1547" s="2" t="str">
        <f ca="1">IFERROR(__xludf.DUMMYFUNCTION("GOOGLETRANSLATE(B1547,""en"",""zh"")"),"毕业")</f>
        <v>毕业</v>
      </c>
      <c r="I1547" s="2" t="str">
        <f ca="1">IFERROR(__xludf.DUMMYFUNCTION("GOOGLETRANSLATE(B1547,""en"",""gd"")"),"ceumnaiche")</f>
        <v>ceumnaiche</v>
      </c>
    </row>
    <row r="1548" spans="1:9" ht="14.25" customHeight="1" x14ac:dyDescent="0.3">
      <c r="A1548" s="2">
        <v>1547</v>
      </c>
      <c r="B1548" s="3" t="s">
        <v>1555</v>
      </c>
      <c r="C1548" s="2" t="str">
        <f ca="1">IFERROR(__xludf.DUMMYFUNCTION("GOOGLETRANSLATE(B1548, ""en"",""es"")"),"marca")</f>
        <v>marca</v>
      </c>
      <c r="D1548" s="2" t="str">
        <f ca="1">IFERROR(__xludf.DUMMYFUNCTION("GOOGLETRANSLATE(B1548,""en"",""ig"")"),"udi anumanu")</f>
        <v>udi anumanu</v>
      </c>
      <c r="E1548" s="2" t="str">
        <f ca="1">IFERROR(__xludf.DUMMYFUNCTION("GOOGLETRANSLATE(B1548,""en"",""fr"")"),"marque")</f>
        <v>marque</v>
      </c>
      <c r="F1548" s="2" t="str">
        <f ca="1">IFERROR(__xludf.DUMMYFUNCTION("GOOGLETRANSLATE(B1548,""en"",""it"")"),"marca")</f>
        <v>marca</v>
      </c>
      <c r="G1548" s="2" t="str">
        <f ca="1">IFERROR(__xludf.DUMMYFUNCTION("GOOGLETRANSLATE(B1548,""en"",""de"")"),"Marke")</f>
        <v>Marke</v>
      </c>
      <c r="H1548" s="2" t="str">
        <f ca="1">IFERROR(__xludf.DUMMYFUNCTION("GOOGLETRANSLATE(B1548,""en"",""zh"")"),"品牌")</f>
        <v>品牌</v>
      </c>
      <c r="I1548" s="2" t="str">
        <f ca="1">IFERROR(__xludf.DUMMYFUNCTION("GOOGLETRANSLATE(B1548,""en"",""gd"")"),"Brand")</f>
        <v>Brand</v>
      </c>
    </row>
    <row r="1549" spans="1:9" ht="14.25" customHeight="1" x14ac:dyDescent="0.3">
      <c r="A1549" s="2">
        <v>1548</v>
      </c>
      <c r="B1549" s="3" t="s">
        <v>1556</v>
      </c>
      <c r="C1549" s="2" t="str">
        <f ca="1">IFERROR(__xludf.DUMMYFUNCTION("GOOGLETRANSLATE(B1549, ""en"",""es"")"),"moral")</f>
        <v>moral</v>
      </c>
      <c r="D1549" s="2" t="str">
        <f ca="1">IFERROR(__xludf.DUMMYFUNCTION("GOOGLETRANSLATE(B1549,""en"",""ig"")"),"ikpa agwa")</f>
        <v>ikpa agwa</v>
      </c>
      <c r="E1549" s="2" t="str">
        <f ca="1">IFERROR(__xludf.DUMMYFUNCTION("GOOGLETRANSLATE(B1549,""en"",""fr"")"),"morale")</f>
        <v>morale</v>
      </c>
      <c r="F1549" s="2" t="str">
        <f ca="1">IFERROR(__xludf.DUMMYFUNCTION("GOOGLETRANSLATE(B1549,""en"",""it"")"),"morale")</f>
        <v>morale</v>
      </c>
      <c r="G1549" s="2" t="str">
        <f ca="1">IFERROR(__xludf.DUMMYFUNCTION("GOOGLETRANSLATE(B1549,""en"",""de"")"),"Moral")</f>
        <v>Moral</v>
      </c>
      <c r="H1549" s="2" t="str">
        <f ca="1">IFERROR(__xludf.DUMMYFUNCTION("GOOGLETRANSLATE(B1549,""en"",""zh"")"),"道德")</f>
        <v>道德</v>
      </c>
      <c r="I1549" s="2" t="str">
        <f ca="1">IFERROR(__xludf.DUMMYFUNCTION("GOOGLETRANSLATE(B1549,""en"",""gd"")"),"moralta")</f>
        <v>moralta</v>
      </c>
    </row>
    <row r="1550" spans="1:9" ht="14.25" customHeight="1" x14ac:dyDescent="0.3">
      <c r="A1550" s="2">
        <v>1549</v>
      </c>
      <c r="B1550" s="3" t="s">
        <v>1557</v>
      </c>
      <c r="C1550" s="2" t="str">
        <f ca="1">IFERROR(__xludf.DUMMYFUNCTION("GOOGLETRANSLATE(B1550, ""en"",""es"")"),"insistir")</f>
        <v>insistir</v>
      </c>
      <c r="D1550" s="2" t="str">
        <f ca="1">IFERROR(__xludf.DUMMYFUNCTION("GOOGLETRANSLATE(B1550,""en"",""ig"")"),"isi onwu")</f>
        <v>isi onwu</v>
      </c>
      <c r="E1550" s="2" t="str">
        <f ca="1">IFERROR(__xludf.DUMMYFUNCTION("GOOGLETRANSLATE(B1550,""en"",""fr"")"),"insister")</f>
        <v>insister</v>
      </c>
      <c r="F1550" s="2" t="str">
        <f ca="1">IFERROR(__xludf.DUMMYFUNCTION("GOOGLETRANSLATE(B1550,""en"",""it"")"),"insistere")</f>
        <v>insistere</v>
      </c>
      <c r="G1550" s="2" t="str">
        <f ca="1">IFERROR(__xludf.DUMMYFUNCTION("GOOGLETRANSLATE(B1550,""en"",""de"")"),"pochen")</f>
        <v>pochen</v>
      </c>
      <c r="H1550" s="2" t="str">
        <f ca="1">IFERROR(__xludf.DUMMYFUNCTION("GOOGLETRANSLATE(B1550,""en"",""zh"")"),"坚持")</f>
        <v>坚持</v>
      </c>
      <c r="I1550" s="2" t="str">
        <f ca="1">IFERROR(__xludf.DUMMYFUNCTION("GOOGLETRANSLATE(B1550,""en"",""gd"")"),"insist")</f>
        <v>insist</v>
      </c>
    </row>
    <row r="1551" spans="1:9" ht="14.25" customHeight="1" x14ac:dyDescent="0.3">
      <c r="A1551" s="2">
        <v>1550</v>
      </c>
      <c r="B1551" s="3" t="s">
        <v>1558</v>
      </c>
      <c r="C1551" s="2" t="str">
        <f ca="1">IFERROR(__xludf.DUMMYFUNCTION("GOOGLETRANSLATE(B1551, ""en"",""es"")"),"combinación")</f>
        <v>combinación</v>
      </c>
      <c r="D1551" s="2" t="str">
        <f ca="1">IFERROR(__xludf.DUMMYFUNCTION("GOOGLETRANSLATE(B1551,""en"",""ig"")"),"mgwakota")</f>
        <v>mgwakota</v>
      </c>
      <c r="E1551" s="2" t="str">
        <f ca="1">IFERROR(__xludf.DUMMYFUNCTION("GOOGLETRANSLATE(B1551,""en"",""fr"")"),"combinaison")</f>
        <v>combinaison</v>
      </c>
      <c r="F1551" s="2" t="str">
        <f ca="1">IFERROR(__xludf.DUMMYFUNCTION("GOOGLETRANSLATE(B1551,""en"",""it"")"),"combinazione")</f>
        <v>combinazione</v>
      </c>
      <c r="G1551" s="2" t="str">
        <f ca="1">IFERROR(__xludf.DUMMYFUNCTION("GOOGLETRANSLATE(B1551,""en"",""de"")"),"Kombination")</f>
        <v>Kombination</v>
      </c>
      <c r="H1551" s="2" t="str">
        <f ca="1">IFERROR(__xludf.DUMMYFUNCTION("GOOGLETRANSLATE(B1551,""en"",""zh"")"),"组合")</f>
        <v>组合</v>
      </c>
      <c r="I1551" s="2" t="str">
        <f ca="1">IFERROR(__xludf.DUMMYFUNCTION("GOOGLETRANSLATE(B1551,""en"",""gd"")"),"measgachadh")</f>
        <v>measgachadh</v>
      </c>
    </row>
    <row r="1552" spans="1:9" ht="14.25" customHeight="1" x14ac:dyDescent="0.3">
      <c r="A1552" s="2">
        <v>1551</v>
      </c>
      <c r="B1552" s="3" t="s">
        <v>1559</v>
      </c>
      <c r="C1552" s="2" t="str">
        <f ca="1">IFERROR(__xludf.DUMMYFUNCTION("GOOGLETRANSLATE(B1552, ""en"",""es"")"),"abuso")</f>
        <v>abuso</v>
      </c>
      <c r="D1552" s="2" t="str">
        <f ca="1">IFERROR(__xludf.DUMMYFUNCTION("GOOGLETRANSLATE(B1552,""en"",""ig"")"),"mkparia")</f>
        <v>mkparia</v>
      </c>
      <c r="E1552" s="2" t="str">
        <f ca="1">IFERROR(__xludf.DUMMYFUNCTION("GOOGLETRANSLATE(B1552,""en"",""fr"")"),"abus")</f>
        <v>abus</v>
      </c>
      <c r="F1552" s="2" t="str">
        <f ca="1">IFERROR(__xludf.DUMMYFUNCTION("GOOGLETRANSLATE(B1552,""en"",""it"")"),"abuso")</f>
        <v>abuso</v>
      </c>
      <c r="G1552" s="2" t="str">
        <f ca="1">IFERROR(__xludf.DUMMYFUNCTION("GOOGLETRANSLATE(B1552,""en"",""de"")"),"Missbrauch")</f>
        <v>Missbrauch</v>
      </c>
      <c r="H1552" s="2" t="str">
        <f ca="1">IFERROR(__xludf.DUMMYFUNCTION("GOOGLETRANSLATE(B1552,""en"",""zh"")"),"虐待")</f>
        <v>虐待</v>
      </c>
      <c r="I1552" s="2" t="str">
        <f ca="1">IFERROR(__xludf.DUMMYFUNCTION("GOOGLETRANSLATE(B1552,""en"",""gd"")"),"droch dhìol")</f>
        <v>droch dhìol</v>
      </c>
    </row>
    <row r="1553" spans="1:9" ht="14.25" customHeight="1" x14ac:dyDescent="0.3">
      <c r="A1553" s="2">
        <v>1552</v>
      </c>
      <c r="B1553" s="3" t="s">
        <v>1560</v>
      </c>
      <c r="C1553" s="2" t="str">
        <f ca="1">IFERROR(__xludf.DUMMYFUNCTION("GOOGLETRANSLATE(B1553, ""en"",""es"")"),"hielo")</f>
        <v>hielo</v>
      </c>
      <c r="D1553" s="2" t="str">
        <f ca="1">IFERROR(__xludf.DUMMYFUNCTION("GOOGLETRANSLATE(B1553,""en"",""ig"")"),"ais")</f>
        <v>ais</v>
      </c>
      <c r="E1553" s="2" t="str">
        <f ca="1">IFERROR(__xludf.DUMMYFUNCTION("GOOGLETRANSLATE(B1553,""en"",""fr"")"),"glace")</f>
        <v>glace</v>
      </c>
      <c r="F1553" s="2" t="str">
        <f ca="1">IFERROR(__xludf.DUMMYFUNCTION("GOOGLETRANSLATE(B1553,""en"",""it"")"),"ghiaccio")</f>
        <v>ghiaccio</v>
      </c>
      <c r="G1553" s="2" t="str">
        <f ca="1">IFERROR(__xludf.DUMMYFUNCTION("GOOGLETRANSLATE(B1553,""en"",""de"")"),"Eis")</f>
        <v>Eis</v>
      </c>
      <c r="H1553" s="2" t="str">
        <f ca="1">IFERROR(__xludf.DUMMYFUNCTION("GOOGLETRANSLATE(B1553,""en"",""zh"")"),"冰")</f>
        <v>冰</v>
      </c>
      <c r="I1553" s="2" t="str">
        <f ca="1">IFERROR(__xludf.DUMMYFUNCTION("GOOGLETRANSLATE(B1553,""en"",""gd"")"),"deigh")</f>
        <v>deigh</v>
      </c>
    </row>
    <row r="1554" spans="1:9" ht="14.25" customHeight="1" x14ac:dyDescent="0.3">
      <c r="A1554" s="2">
        <v>1553</v>
      </c>
      <c r="B1554" s="3" t="s">
        <v>1561</v>
      </c>
      <c r="C1554" s="2" t="str">
        <f ca="1">IFERROR(__xludf.DUMMYFUNCTION("GOOGLETRANSLATE(B1554, ""en"",""es"")"),"principal")</f>
        <v>principal</v>
      </c>
      <c r="D1554" s="2" t="str">
        <f ca="1">IFERROR(__xludf.DUMMYFUNCTION("GOOGLETRANSLATE(B1554,""en"",""ig"")"),"nke isi")</f>
        <v>nke isi</v>
      </c>
      <c r="E1554" s="2" t="str">
        <f ca="1">IFERROR(__xludf.DUMMYFUNCTION("GOOGLETRANSLATE(B1554,""en"",""fr"")"),"principal")</f>
        <v>principal</v>
      </c>
      <c r="F1554" s="2" t="str">
        <f ca="1">IFERROR(__xludf.DUMMYFUNCTION("GOOGLETRANSLATE(B1554,""en"",""it"")"),"principale")</f>
        <v>principale</v>
      </c>
      <c r="G1554" s="2" t="str">
        <f ca="1">IFERROR(__xludf.DUMMYFUNCTION("GOOGLETRANSLATE(B1554,""en"",""de"")"),"Rektor")</f>
        <v>Rektor</v>
      </c>
      <c r="H1554" s="2" t="str">
        <f ca="1">IFERROR(__xludf.DUMMYFUNCTION("GOOGLETRANSLATE(B1554,""en"",""zh"")"),"主要的")</f>
        <v>主要的</v>
      </c>
      <c r="I1554" s="2" t="str">
        <f ca="1">IFERROR(__xludf.DUMMYFUNCTION("GOOGLETRANSLATE(B1554,""en"",""gd"")"),"Prionnsapal")</f>
        <v>Prionnsapal</v>
      </c>
    </row>
    <row r="1555" spans="1:9" ht="14.25" customHeight="1" x14ac:dyDescent="0.3">
      <c r="A1555" s="2">
        <v>1554</v>
      </c>
      <c r="B1555" s="3" t="s">
        <v>1562</v>
      </c>
      <c r="C1555" s="2" t="str">
        <f ca="1">IFERROR(__xludf.DUMMYFUNCTION("GOOGLETRANSLATE(B1555, ""en"",""es"")"),"maestro")</f>
        <v>maestro</v>
      </c>
      <c r="D1555" s="2" t="str">
        <f ca="1">IFERROR(__xludf.DUMMYFUNCTION("GOOGLETRANSLATE(B1555,""en"",""ig"")"),"nna ukwu")</f>
        <v>nna ukwu</v>
      </c>
      <c r="E1555" s="2" t="str">
        <f ca="1">IFERROR(__xludf.DUMMYFUNCTION("GOOGLETRANSLATE(B1555,""en"",""fr"")"),"maître")</f>
        <v>maître</v>
      </c>
      <c r="F1555" s="2" t="str">
        <f ca="1">IFERROR(__xludf.DUMMYFUNCTION("GOOGLETRANSLATE(B1555,""en"",""it"")"),"maestro")</f>
        <v>maestro</v>
      </c>
      <c r="G1555" s="2" t="str">
        <f ca="1">IFERROR(__xludf.DUMMYFUNCTION("GOOGLETRANSLATE(B1555,""en"",""de"")"),"Meister")</f>
        <v>Meister</v>
      </c>
      <c r="H1555" s="2" t="str">
        <f ca="1">IFERROR(__xludf.DUMMYFUNCTION("GOOGLETRANSLATE(B1555,""en"",""zh"")"),"掌握")</f>
        <v>掌握</v>
      </c>
      <c r="I1555" s="2" t="str">
        <f ca="1">IFERROR(__xludf.DUMMYFUNCTION("GOOGLETRANSLATE(B1555,""en"",""gd"")"),"Maighstir")</f>
        <v>Maighstir</v>
      </c>
    </row>
    <row r="1556" spans="1:9" ht="14.25" customHeight="1" x14ac:dyDescent="0.3">
      <c r="A1556" s="2">
        <v>1555</v>
      </c>
      <c r="B1556" s="3" t="s">
        <v>1563</v>
      </c>
      <c r="C1556" s="2" t="str">
        <f ca="1">IFERROR(__xludf.DUMMYFUNCTION("GOOGLETRANSLATE(B1556, ""en"",""es"")"),"definitivamente")</f>
        <v>definitivamente</v>
      </c>
      <c r="D1556" s="2" t="str">
        <f ca="1">IFERROR(__xludf.DUMMYFUNCTION("GOOGLETRANSLATE(B1556,""en"",""ig"")"),"ndoro anya")</f>
        <v>ndoro anya</v>
      </c>
      <c r="E1556" s="2" t="str">
        <f ca="1">IFERROR(__xludf.DUMMYFUNCTION("GOOGLETRANSLATE(B1556,""en"",""fr"")"),"certainement")</f>
        <v>certainement</v>
      </c>
      <c r="F1556" s="2" t="str">
        <f ca="1">IFERROR(__xludf.DUMMYFUNCTION("GOOGLETRANSLATE(B1556,""en"",""it"")"),"decisamente")</f>
        <v>decisamente</v>
      </c>
      <c r="G1556" s="2" t="str">
        <f ca="1">IFERROR(__xludf.DUMMYFUNCTION("GOOGLETRANSLATE(B1556,""en"",""de"")"),"definitiv")</f>
        <v>definitiv</v>
      </c>
      <c r="H1556" s="2" t="str">
        <f ca="1">IFERROR(__xludf.DUMMYFUNCTION("GOOGLETRANSLATE(B1556,""en"",""zh"")"),"确实")</f>
        <v>确实</v>
      </c>
      <c r="I1556" s="2" t="str">
        <f ca="1">IFERROR(__xludf.DUMMYFUNCTION("GOOGLETRANSLATE(B1556,""en"",""gd"")"),"gu cinnteach")</f>
        <v>gu cinnteach</v>
      </c>
    </row>
    <row r="1557" spans="1:9" ht="14.25" customHeight="1" x14ac:dyDescent="0.3">
      <c r="A1557" s="2">
        <v>1556</v>
      </c>
      <c r="B1557" s="3" t="s">
        <v>1564</v>
      </c>
      <c r="C1557" s="2" t="str">
        <f ca="1">IFERROR(__xludf.DUMMYFUNCTION("GOOGLETRANSLATE(B1557, ""en"",""es"")"),"sesión")</f>
        <v>sesión</v>
      </c>
      <c r="D1557" s="2" t="str">
        <f ca="1">IFERROR(__xludf.DUMMYFUNCTION("GOOGLETRANSLATE(B1557,""en"",""ig"")"),"seshion")</f>
        <v>seshion</v>
      </c>
      <c r="E1557" s="2" t="str">
        <f ca="1">IFERROR(__xludf.DUMMYFUNCTION("GOOGLETRANSLATE(B1557,""en"",""fr"")"),"session")</f>
        <v>session</v>
      </c>
      <c r="F1557" s="2" t="str">
        <f ca="1">IFERROR(__xludf.DUMMYFUNCTION("GOOGLETRANSLATE(B1557,""en"",""it"")"),"sessione")</f>
        <v>sessione</v>
      </c>
      <c r="G1557" s="2" t="str">
        <f ca="1">IFERROR(__xludf.DUMMYFUNCTION("GOOGLETRANSLATE(B1557,""en"",""de"")"),"Sitzung")</f>
        <v>Sitzung</v>
      </c>
      <c r="H1557" s="2" t="str">
        <f ca="1">IFERROR(__xludf.DUMMYFUNCTION("GOOGLETRANSLATE(B1557,""en"",""zh"")"),"会议")</f>
        <v>会议</v>
      </c>
      <c r="I1557" s="2" t="str">
        <f ca="1">IFERROR(__xludf.DUMMYFUNCTION("GOOGLETRANSLATE(B1557,""en"",""gd"")"),"Seisean")</f>
        <v>Seisean</v>
      </c>
    </row>
    <row r="1558" spans="1:9" ht="14.25" customHeight="1" x14ac:dyDescent="0.3">
      <c r="A1558" s="2">
        <v>1557</v>
      </c>
      <c r="B1558" s="3" t="s">
        <v>1565</v>
      </c>
      <c r="C1558" s="2" t="str">
        <f ca="1">IFERROR(__xludf.DUMMYFUNCTION("GOOGLETRANSLATE(B1558, ""en"",""es"")"),"calificación")</f>
        <v>calificación</v>
      </c>
      <c r="D1558" s="2" t="str">
        <f ca="1">IFERROR(__xludf.DUMMYFUNCTION("GOOGLETRANSLATE(B1558,""en"",""ig"")"),"greedi")</f>
        <v>greedi</v>
      </c>
      <c r="E1558" s="2" t="str">
        <f ca="1">IFERROR(__xludf.DUMMYFUNCTION("GOOGLETRANSLATE(B1558,""en"",""fr"")"),"grade")</f>
        <v>grade</v>
      </c>
      <c r="F1558" s="2" t="str">
        <f ca="1">IFERROR(__xludf.DUMMYFUNCTION("GOOGLETRANSLATE(B1558,""en"",""it"")"),"grado")</f>
        <v>grado</v>
      </c>
      <c r="G1558" s="2" t="str">
        <f ca="1">IFERROR(__xludf.DUMMYFUNCTION("GOOGLETRANSLATE(B1558,""en"",""de"")"),"Grad")</f>
        <v>Grad</v>
      </c>
      <c r="H1558" s="2" t="str">
        <f ca="1">IFERROR(__xludf.DUMMYFUNCTION("GOOGLETRANSLATE(B1558,""en"",""zh"")"),"年级")</f>
        <v>年级</v>
      </c>
      <c r="I1558" s="2" t="str">
        <f ca="1">IFERROR(__xludf.DUMMYFUNCTION("GOOGLETRANSLATE(B1558,""en"",""gd"")"),"Ìre")</f>
        <v>Ìre</v>
      </c>
    </row>
    <row r="1559" spans="1:9" ht="14.25" customHeight="1" x14ac:dyDescent="0.3">
      <c r="A1559" s="2">
        <v>1558</v>
      </c>
      <c r="B1559" s="3" t="s">
        <v>1566</v>
      </c>
      <c r="C1559" s="2" t="str">
        <f ca="1">IFERROR(__xludf.DUMMYFUNCTION("GOOGLETRANSLATE(B1559, ""en"",""es"")"),"sin embargo")</f>
        <v>sin embargo</v>
      </c>
      <c r="D1559" s="2" t="str">
        <f ca="1">IFERROR(__xludf.DUMMYFUNCTION("GOOGLETRANSLATE(B1559,""en"",""ig"")"),"ksi")</f>
        <v>ksi</v>
      </c>
      <c r="E1559" s="2" t="str">
        <f ca="1">IFERROR(__xludf.DUMMYFUNCTION("GOOGLETRANSLATE(B1559,""en"",""fr"")"),"néanmoins")</f>
        <v>néanmoins</v>
      </c>
      <c r="F1559" s="2" t="str">
        <f ca="1">IFERROR(__xludf.DUMMYFUNCTION("GOOGLETRANSLATE(B1559,""en"",""it"")"),"tuttavia")</f>
        <v>tuttavia</v>
      </c>
      <c r="G1559" s="2" t="str">
        <f ca="1">IFERROR(__xludf.DUMMYFUNCTION("GOOGLETRANSLATE(B1559,""en"",""de"")"),"Trotzdem")</f>
        <v>Trotzdem</v>
      </c>
      <c r="H1559" s="2" t="str">
        <f ca="1">IFERROR(__xludf.DUMMYFUNCTION("GOOGLETRANSLATE(B1559,""en"",""zh"")"),"尽管如此")</f>
        <v>尽管如此</v>
      </c>
      <c r="I1559" s="2" t="str">
        <f ca="1">IFERROR(__xludf.DUMMYFUNCTION("GOOGLETRANSLATE(B1559,""en"",""gd"")"),"Ach a dh 'aindeoin sin")</f>
        <v>Ach a dh 'aindeoin sin</v>
      </c>
    </row>
    <row r="1560" spans="1:9" ht="14.25" customHeight="1" x14ac:dyDescent="0.3">
      <c r="A1560" s="2">
        <v>1559</v>
      </c>
      <c r="B1560" s="3" t="s">
        <v>1567</v>
      </c>
      <c r="C1560" s="2" t="str">
        <f ca="1">IFERROR(__xludf.DUMMYFUNCTION("GOOGLETRANSLATE(B1560, ""en"",""es"")"),"predecir")</f>
        <v>predecir</v>
      </c>
      <c r="D1560" s="2" t="str">
        <f ca="1">IFERROR(__xludf.DUMMYFUNCTION("GOOGLETRANSLATE(B1560,""en"",""ig"")"),"buo amuma")</f>
        <v>buo amuma</v>
      </c>
      <c r="E1560" s="2" t="str">
        <f ca="1">IFERROR(__xludf.DUMMYFUNCTION("GOOGLETRANSLATE(B1560,""en"",""fr"")"),"prédire")</f>
        <v>prédire</v>
      </c>
      <c r="F1560" s="2" t="str">
        <f ca="1">IFERROR(__xludf.DUMMYFUNCTION("GOOGLETRANSLATE(B1560,""en"",""it"")"),"prevedere")</f>
        <v>prevedere</v>
      </c>
      <c r="G1560" s="2" t="str">
        <f ca="1">IFERROR(__xludf.DUMMYFUNCTION("GOOGLETRANSLATE(B1560,""en"",""de"")"),"vorhersagen")</f>
        <v>vorhersagen</v>
      </c>
      <c r="H1560" s="2" t="str">
        <f ca="1">IFERROR(__xludf.DUMMYFUNCTION("GOOGLETRANSLATE(B1560,""en"",""zh"")"),"预测")</f>
        <v>预测</v>
      </c>
      <c r="I1560" s="2" t="str">
        <f ca="1">IFERROR(__xludf.DUMMYFUNCTION("GOOGLETRANSLATE(B1560,""en"",""gd"")"),"ro-innse")</f>
        <v>ro-innse</v>
      </c>
    </row>
    <row r="1561" spans="1:9" ht="14.25" customHeight="1" x14ac:dyDescent="0.3">
      <c r="A1561" s="2">
        <v>1560</v>
      </c>
      <c r="B1561" s="3" t="s">
        <v>1568</v>
      </c>
      <c r="C1561" s="2" t="str">
        <f ca="1">IFERROR(__xludf.DUMMYFUNCTION("GOOGLETRANSLATE(B1561, ""en"",""es"")"),"previamente")</f>
        <v>previamente</v>
      </c>
      <c r="D1561" s="2" t="str">
        <f ca="1">IFERROR(__xludf.DUMMYFUNCTION("GOOGLETRANSLATE(B1561,""en"",""ig"")"),"ugbua")</f>
        <v>ugbua</v>
      </c>
      <c r="E1561" s="2" t="str">
        <f ca="1">IFERROR(__xludf.DUMMYFUNCTION("GOOGLETRANSLATE(B1561,""en"",""fr"")"),"précédemment")</f>
        <v>précédemment</v>
      </c>
      <c r="F1561" s="2" t="str">
        <f ca="1">IFERROR(__xludf.DUMMYFUNCTION("GOOGLETRANSLATE(B1561,""en"",""it"")"),"in precedenza")</f>
        <v>in precedenza</v>
      </c>
      <c r="G1561" s="2" t="str">
        <f ca="1">IFERROR(__xludf.DUMMYFUNCTION("GOOGLETRANSLATE(B1561,""en"",""de"")"),"vorher")</f>
        <v>vorher</v>
      </c>
      <c r="H1561" s="2" t="str">
        <f ca="1">IFERROR(__xludf.DUMMYFUNCTION("GOOGLETRANSLATE(B1561,""en"",""zh"")"),"之前")</f>
        <v>之前</v>
      </c>
      <c r="I1561" s="2" t="str">
        <f ca="1">IFERROR(__xludf.DUMMYFUNCTION("GOOGLETRANSLATE(B1561,""en"",""gd"")"),"roimhe seo")</f>
        <v>roimhe seo</v>
      </c>
    </row>
    <row r="1562" spans="1:9" ht="14.25" customHeight="1" x14ac:dyDescent="0.3">
      <c r="A1562" s="2">
        <v>1561</v>
      </c>
      <c r="B1562" s="3" t="s">
        <v>1569</v>
      </c>
      <c r="C1562" s="2" t="str">
        <f ca="1">IFERROR(__xludf.DUMMYFUNCTION("GOOGLETRANSLATE(B1562, ""en"",""es"")"),"proteccion")</f>
        <v>proteccion</v>
      </c>
      <c r="D1562" s="2" t="str">
        <f ca="1">IFERROR(__xludf.DUMMYFUNCTION("GOOGLETRANSLATE(B1562,""en"",""ig"")"),"nchegide")</f>
        <v>nchegide</v>
      </c>
      <c r="E1562" s="2" t="str">
        <f ca="1">IFERROR(__xludf.DUMMYFUNCTION("GOOGLETRANSLATE(B1562,""en"",""fr"")"),"protection")</f>
        <v>protection</v>
      </c>
      <c r="F1562" s="2" t="str">
        <f ca="1">IFERROR(__xludf.DUMMYFUNCTION("GOOGLETRANSLATE(B1562,""en"",""it"")"),"protezione")</f>
        <v>protezione</v>
      </c>
      <c r="G1562" s="2" t="str">
        <f ca="1">IFERROR(__xludf.DUMMYFUNCTION("GOOGLETRANSLATE(B1562,""en"",""de"")"),"Schutz")</f>
        <v>Schutz</v>
      </c>
      <c r="H1562" s="2" t="str">
        <f ca="1">IFERROR(__xludf.DUMMYFUNCTION("GOOGLETRANSLATE(B1562,""en"",""zh"")"),"保护")</f>
        <v>保护</v>
      </c>
      <c r="I1562" s="2" t="str">
        <f ca="1">IFERROR(__xludf.DUMMYFUNCTION("GOOGLETRANSLATE(B1562,""en"",""gd"")"),"Dìon")</f>
        <v>Dìon</v>
      </c>
    </row>
    <row r="1563" spans="1:9" ht="14.25" customHeight="1" x14ac:dyDescent="0.3">
      <c r="A1563" s="2">
        <v>1562</v>
      </c>
      <c r="B1563" s="3" t="s">
        <v>1570</v>
      </c>
      <c r="C1563" s="2" t="str">
        <f ca="1">IFERROR(__xludf.DUMMYFUNCTION("GOOGLETRANSLATE(B1563, ""en"",""es"")"),"en gran parte")</f>
        <v>en gran parte</v>
      </c>
      <c r="D1563" s="2" t="str">
        <f ca="1">IFERROR(__xludf.DUMMYFUNCTION("GOOGLETRANSLATE(B1563,""en"",""ig"")"),"nke nta")</f>
        <v>nke nta</v>
      </c>
      <c r="E1563" s="2" t="str">
        <f ca="1">IFERROR(__xludf.DUMMYFUNCTION("GOOGLETRANSLATE(B1563,""en"",""fr"")"),"en grande partie")</f>
        <v>en grande partie</v>
      </c>
      <c r="F1563" s="2" t="str">
        <f ca="1">IFERROR(__xludf.DUMMYFUNCTION("GOOGLETRANSLATE(B1563,""en"",""it"")"),"in gran parte")</f>
        <v>in gran parte</v>
      </c>
      <c r="G1563" s="2" t="str">
        <f ca="1">IFERROR(__xludf.DUMMYFUNCTION("GOOGLETRANSLATE(B1563,""en"",""de"")"),"weitgehend")</f>
        <v>weitgehend</v>
      </c>
      <c r="H1563" s="2" t="str">
        <f ca="1">IFERROR(__xludf.DUMMYFUNCTION("GOOGLETRANSLATE(B1563,""en"",""zh"")"),"大部分")</f>
        <v>大部分</v>
      </c>
      <c r="I1563" s="2" t="str">
        <f ca="1">IFERROR(__xludf.DUMMYFUNCTION("GOOGLETRANSLATE(B1563,""en"",""gd"")"),"gu ìre mhòr")</f>
        <v>gu ìre mhòr</v>
      </c>
    </row>
    <row r="1564" spans="1:9" ht="14.25" customHeight="1" x14ac:dyDescent="0.3">
      <c r="A1564" s="2">
        <v>1563</v>
      </c>
      <c r="B1564" s="3" t="s">
        <v>1571</v>
      </c>
      <c r="C1564" s="2" t="str">
        <f ca="1">IFERROR(__xludf.DUMMYFUNCTION("GOOGLETRANSLATE(B1564, ""en"",""es"")"),"casarse")</f>
        <v>casarse</v>
      </c>
      <c r="D1564" s="2" t="str">
        <f ca="1">IFERROR(__xludf.DUMMYFUNCTION("GOOGLETRANSLATE(B1564,""en"",""ig"")"),"wegha")</f>
        <v>wegha</v>
      </c>
      <c r="E1564" s="2" t="str">
        <f ca="1">IFERROR(__xludf.DUMMYFUNCTION("GOOGLETRANSLATE(B1564,""en"",""fr"")"),"épouser")</f>
        <v>épouser</v>
      </c>
      <c r="F1564" s="2" t="str">
        <f ca="1">IFERROR(__xludf.DUMMYFUNCTION("GOOGLETRANSLATE(B1564,""en"",""it"")"),"sposa")</f>
        <v>sposa</v>
      </c>
      <c r="G1564" s="2" t="str">
        <f ca="1">IFERROR(__xludf.DUMMYFUNCTION("GOOGLETRANSLATE(B1564,""en"",""de"")"),"heiraten")</f>
        <v>heiraten</v>
      </c>
      <c r="H1564" s="2" t="str">
        <f ca="1">IFERROR(__xludf.DUMMYFUNCTION("GOOGLETRANSLATE(B1564,""en"",""zh"")"),"星期三")</f>
        <v>星期三</v>
      </c>
      <c r="I1564" s="2" t="str">
        <f ca="1">IFERROR(__xludf.DUMMYFUNCTION("GOOGLETRANSLATE(B1564,""en"",""gd"")"),"Diciadain")</f>
        <v>Diciadain</v>
      </c>
    </row>
    <row r="1565" spans="1:9" ht="14.25" customHeight="1" x14ac:dyDescent="0.3">
      <c r="A1565" s="2">
        <v>1564</v>
      </c>
      <c r="B1565" s="3" t="s">
        <v>1572</v>
      </c>
      <c r="C1565" s="2" t="str">
        <f ca="1">IFERROR(__xludf.DUMMYFUNCTION("GOOGLETRANSLATE(B1565, ""en"",""es"")"),"alquilar")</f>
        <v>alquilar</v>
      </c>
      <c r="D1565" s="2" t="str">
        <f ca="1">IFERROR(__xludf.DUMMYFUNCTION("GOOGLETRANSLATE(B1565,""en"",""ig"")"),"ugwo")</f>
        <v>ugwo</v>
      </c>
      <c r="E1565" s="2" t="str">
        <f ca="1">IFERROR(__xludf.DUMMYFUNCTION("GOOGLETRANSLATE(B1565,""en"",""fr"")"),"louer")</f>
        <v>louer</v>
      </c>
      <c r="F1565" s="2" t="str">
        <f ca="1">IFERROR(__xludf.DUMMYFUNCTION("GOOGLETRANSLATE(B1565,""en"",""it"")"),"affitto")</f>
        <v>affitto</v>
      </c>
      <c r="G1565" s="2" t="str">
        <f ca="1">IFERROR(__xludf.DUMMYFUNCTION("GOOGLETRANSLATE(B1565,""en"",""de"")"),"mieten")</f>
        <v>mieten</v>
      </c>
      <c r="H1565" s="2" t="str">
        <f ca="1">IFERROR(__xludf.DUMMYFUNCTION("GOOGLETRANSLATE(B1565,""en"",""zh"")"),"租")</f>
        <v>租</v>
      </c>
      <c r="I1565" s="2" t="str">
        <f ca="1">IFERROR(__xludf.DUMMYFUNCTION("GOOGLETRANSLATE(B1565,""en"",""gd"")"),"Màl")</f>
        <v>Màl</v>
      </c>
    </row>
    <row r="1566" spans="1:9" ht="14.25" customHeight="1" x14ac:dyDescent="0.3">
      <c r="A1566" s="2">
        <v>1565</v>
      </c>
      <c r="B1566" s="3" t="s">
        <v>1573</v>
      </c>
      <c r="C1566" s="2" t="str">
        <f ca="1">IFERROR(__xludf.DUMMYFUNCTION("GOOGLETRANSLATE(B1566, ""en"",""es"")"),"disparo")</f>
        <v>disparo</v>
      </c>
      <c r="D1566" s="2" t="str">
        <f ca="1">IFERROR(__xludf.DUMMYFUNCTION("GOOGLETRANSLATE(B1566,""en"",""ig"")"),"ogbugba")</f>
        <v>ogbugba</v>
      </c>
      <c r="E1566" s="2" t="str">
        <f ca="1">IFERROR(__xludf.DUMMYFUNCTION("GOOGLETRANSLATE(B1566,""en"",""fr"")"),"tir")</f>
        <v>tir</v>
      </c>
      <c r="F1566" s="2" t="str">
        <f ca="1">IFERROR(__xludf.DUMMYFUNCTION("GOOGLETRANSLATE(B1566,""en"",""it"")"),"sparo")</f>
        <v>sparo</v>
      </c>
      <c r="G1566" s="2" t="str">
        <f ca="1">IFERROR(__xludf.DUMMYFUNCTION("GOOGLETRANSLATE(B1566,""en"",""de"")"),"Schuss")</f>
        <v>Schuss</v>
      </c>
      <c r="H1566" s="2" t="str">
        <f ca="1">IFERROR(__xludf.DUMMYFUNCTION("GOOGLETRANSLATE(B1566,""en"",""zh"")"),"射击")</f>
        <v>射击</v>
      </c>
      <c r="I1566" s="2" t="str">
        <f ca="1">IFERROR(__xludf.DUMMYFUNCTION("GOOGLETRANSLATE(B1566,""en"",""gd"")"),"Dealbh")</f>
        <v>Dealbh</v>
      </c>
    </row>
    <row r="1567" spans="1:9" ht="14.25" customHeight="1" x14ac:dyDescent="0.3">
      <c r="A1567" s="2">
        <v>1566</v>
      </c>
      <c r="B1567" s="3" t="s">
        <v>1574</v>
      </c>
      <c r="C1567" s="2" t="str">
        <f ca="1">IFERROR(__xludf.DUMMYFUNCTION("GOOGLETRANSLATE(B1567, ""en"",""es"")"),"apariencia")</f>
        <v>apariencia</v>
      </c>
      <c r="D1567" s="2" t="str">
        <f ca="1">IFERROR(__xludf.DUMMYFUNCTION("GOOGLETRANSLATE(B1567,""en"",""ig"")"),"mputa")</f>
        <v>mputa</v>
      </c>
      <c r="E1567" s="2" t="str">
        <f ca="1">IFERROR(__xludf.DUMMYFUNCTION("GOOGLETRANSLATE(B1567,""en"",""fr"")"),"apparence")</f>
        <v>apparence</v>
      </c>
      <c r="F1567" s="2" t="str">
        <f ca="1">IFERROR(__xludf.DUMMYFUNCTION("GOOGLETRANSLATE(B1567,""en"",""it"")"),"aspetto")</f>
        <v>aspetto</v>
      </c>
      <c r="G1567" s="2" t="str">
        <f ca="1">IFERROR(__xludf.DUMMYFUNCTION("GOOGLETRANSLATE(B1567,""en"",""de"")"),"Aussehen")</f>
        <v>Aussehen</v>
      </c>
      <c r="H1567" s="2" t="str">
        <f ca="1">IFERROR(__xludf.DUMMYFUNCTION("GOOGLETRANSLATE(B1567,""en"",""zh"")"),"外貌")</f>
        <v>外貌</v>
      </c>
      <c r="I1567" s="2" t="str">
        <f ca="1">IFERROR(__xludf.DUMMYFUNCTION("GOOGLETRANSLATE(B1567,""en"",""gd"")"),"coltas")</f>
        <v>coltas</v>
      </c>
    </row>
    <row r="1568" spans="1:9" ht="14.25" customHeight="1" x14ac:dyDescent="0.3">
      <c r="A1568" s="2">
        <v>1567</v>
      </c>
      <c r="B1568" s="3" t="s">
        <v>1575</v>
      </c>
      <c r="C1568" s="2" t="str">
        <f ca="1">IFERROR(__xludf.DUMMYFUNCTION("GOOGLETRANSLATE(B1568, ""en"",""es"")"),"razonable")</f>
        <v>razonable</v>
      </c>
      <c r="D1568" s="2" t="str">
        <f ca="1">IFERROR(__xludf.DUMMYFUNCTION("GOOGLETRANSLATE(B1568,""en"",""ig"")"),"nke mgbaghaputa")</f>
        <v>nke mgbaghaputa</v>
      </c>
      <c r="E1568" s="2" t="str">
        <f ca="1">IFERROR(__xludf.DUMMYFUNCTION("GOOGLETRANSLATE(B1568,""en"",""fr"")"),"raisonnable")</f>
        <v>raisonnable</v>
      </c>
      <c r="F1568" s="2" t="str">
        <f ca="1">IFERROR(__xludf.DUMMYFUNCTION("GOOGLETRANSLATE(B1568,""en"",""it"")"),"ragionevole")</f>
        <v>ragionevole</v>
      </c>
      <c r="G1568" s="2" t="str">
        <f ca="1">IFERROR(__xludf.DUMMYFUNCTION("GOOGLETRANSLATE(B1568,""en"",""de"")"),"vernünftig")</f>
        <v>vernünftig</v>
      </c>
      <c r="H1568" s="2" t="str">
        <f ca="1">IFERROR(__xludf.DUMMYFUNCTION("GOOGLETRANSLATE(B1568,""en"",""zh"")"),"合理的")</f>
        <v>合理的</v>
      </c>
      <c r="I1568" s="2" t="str">
        <f ca="1">IFERROR(__xludf.DUMMYFUNCTION("GOOGLETRANSLATE(B1568,""en"",""gd"")"),"reusanta")</f>
        <v>reusanta</v>
      </c>
    </row>
    <row r="1569" spans="1:9" ht="14.25" customHeight="1" x14ac:dyDescent="0.3">
      <c r="A1569" s="2">
        <v>1568</v>
      </c>
      <c r="B1569" s="3" t="s">
        <v>1576</v>
      </c>
      <c r="C1569" s="2" t="str">
        <f ca="1">IFERROR(__xludf.DUMMYFUNCTION("GOOGLETRANSLATE(B1569, ""en"",""es"")"),"garantizar")</f>
        <v>garantizar</v>
      </c>
      <c r="D1569" s="2" t="str">
        <f ca="1">IFERROR(__xludf.DUMMYFUNCTION("GOOGLETRANSLATE(B1569,""en"",""ig"")"),"igba aka ebe")</f>
        <v>igba aka ebe</v>
      </c>
      <c r="E1569" s="2" t="str">
        <f ca="1">IFERROR(__xludf.DUMMYFUNCTION("GOOGLETRANSLATE(B1569,""en"",""fr"")"),"garantie")</f>
        <v>garantie</v>
      </c>
      <c r="F1569" s="2" t="str">
        <f ca="1">IFERROR(__xludf.DUMMYFUNCTION("GOOGLETRANSLATE(B1569,""en"",""it"")"),"garanzia")</f>
        <v>garanzia</v>
      </c>
      <c r="G1569" s="2" t="str">
        <f ca="1">IFERROR(__xludf.DUMMYFUNCTION("GOOGLETRANSLATE(B1569,""en"",""de"")"),"Garantie")</f>
        <v>Garantie</v>
      </c>
      <c r="H1569" s="2" t="str">
        <f ca="1">IFERROR(__xludf.DUMMYFUNCTION("GOOGLETRANSLATE(B1569,""en"",""zh"")"),"保证")</f>
        <v>保证</v>
      </c>
      <c r="I1569" s="2" t="str">
        <f ca="1">IFERROR(__xludf.DUMMYFUNCTION("GOOGLETRANSLATE(B1569,""en"",""gd"")"),"Gealladh")</f>
        <v>Gealladh</v>
      </c>
    </row>
    <row r="1570" spans="1:9" ht="14.25" customHeight="1" x14ac:dyDescent="0.3">
      <c r="A1570" s="2">
        <v>1569</v>
      </c>
      <c r="B1570" s="3" t="s">
        <v>1577</v>
      </c>
      <c r="C1570" s="2" t="str">
        <f ca="1">IFERROR(__xludf.DUMMYFUNCTION("GOOGLETRANSLATE(B1570, ""en"",""es"")"),"hasta")</f>
        <v>hasta</v>
      </c>
      <c r="D1570" s="2" t="str">
        <f ca="1">IFERROR(__xludf.DUMMYFUNCTION("GOOGLETRANSLATE(B1570,""en"",""ig"")"),"rue")</f>
        <v>rue</v>
      </c>
      <c r="E1570" s="2" t="str">
        <f ca="1">IFERROR(__xludf.DUMMYFUNCTION("GOOGLETRANSLATE(B1570,""en"",""fr"")"),"jusqu'à")</f>
        <v>jusqu'à</v>
      </c>
      <c r="F1570" s="2" t="str">
        <f ca="1">IFERROR(__xludf.DUMMYFUNCTION("GOOGLETRANSLATE(B1570,""en"",""it"")"),"fino")</f>
        <v>fino</v>
      </c>
      <c r="G1570" s="2" t="str">
        <f ca="1">IFERROR(__xludf.DUMMYFUNCTION("GOOGLETRANSLATE(B1570,""en"",""de"")"),"bis")</f>
        <v>bis</v>
      </c>
      <c r="H1570" s="2" t="str">
        <f ca="1">IFERROR(__xludf.DUMMYFUNCTION("GOOGLETRANSLATE(B1570,""en"",""zh"")"),"直到")</f>
        <v>直到</v>
      </c>
      <c r="I1570" s="2" t="str">
        <f ca="1">IFERROR(__xludf.DUMMYFUNCTION("GOOGLETRANSLATE(B1570,""en"",""gd"")"),"Till")</f>
        <v>Till</v>
      </c>
    </row>
    <row r="1571" spans="1:9" ht="14.25" customHeight="1" x14ac:dyDescent="0.3">
      <c r="A1571" s="2">
        <v>1570</v>
      </c>
      <c r="B1571" s="3" t="s">
        <v>1578</v>
      </c>
      <c r="C1571" s="2" t="str">
        <f ca="1">IFERROR(__xludf.DUMMYFUNCTION("GOOGLETRANSLATE(B1571, ""en"",""es"")"),"tema")</f>
        <v>tema</v>
      </c>
      <c r="D1571" s="2" t="str">
        <f ca="1">IFERROR(__xludf.DUMMYFUNCTION("GOOGLETRANSLATE(B1571,""en"",""ig"")"),"tiim")</f>
        <v>tiim</v>
      </c>
      <c r="E1571" s="2" t="str">
        <f ca="1">IFERROR(__xludf.DUMMYFUNCTION("GOOGLETRANSLATE(B1571,""en"",""fr"")"),"thème")</f>
        <v>thème</v>
      </c>
      <c r="F1571" s="2" t="str">
        <f ca="1">IFERROR(__xludf.DUMMYFUNCTION("GOOGLETRANSLATE(B1571,""en"",""it"")"),"tema")</f>
        <v>tema</v>
      </c>
      <c r="G1571" s="2" t="str">
        <f ca="1">IFERROR(__xludf.DUMMYFUNCTION("GOOGLETRANSLATE(B1571,""en"",""de"")"),"Thema")</f>
        <v>Thema</v>
      </c>
      <c r="H1571" s="2" t="str">
        <f ca="1">IFERROR(__xludf.DUMMYFUNCTION("GOOGLETRANSLATE(B1571,""en"",""zh"")"),"主题")</f>
        <v>主题</v>
      </c>
      <c r="I1571" s="2" t="str">
        <f ca="1">IFERROR(__xludf.DUMMYFUNCTION("GOOGLETRANSLATE(B1571,""en"",""gd"")"),"Cuspair")</f>
        <v>Cuspair</v>
      </c>
    </row>
    <row r="1572" spans="1:9" ht="14.25" customHeight="1" x14ac:dyDescent="0.3">
      <c r="A1572" s="2">
        <v>1571</v>
      </c>
      <c r="B1572" s="3" t="s">
        <v>1579</v>
      </c>
      <c r="C1572" s="2" t="str">
        <f ca="1">IFERROR(__xludf.DUMMYFUNCTION("GOOGLETRANSLATE(B1572, ""en"",""es"")"),"juicio")</f>
        <v>juicio</v>
      </c>
      <c r="D1572" s="2" t="str">
        <f ca="1">IFERROR(__xludf.DUMMYFUNCTION("GOOGLETRANSLATE(B1572,""en"",""ig"")"),"mkpezi")</f>
        <v>mkpezi</v>
      </c>
      <c r="E1572" s="2" t="str">
        <f ca="1">IFERROR(__xludf.DUMMYFUNCTION("GOOGLETRANSLATE(B1572,""en"",""fr"")"),"jugement")</f>
        <v>jugement</v>
      </c>
      <c r="F1572" s="2" t="str">
        <f ca="1">IFERROR(__xludf.DUMMYFUNCTION("GOOGLETRANSLATE(B1572,""en"",""it"")"),"giudizio")</f>
        <v>giudizio</v>
      </c>
      <c r="G1572" s="2" t="str">
        <f ca="1">IFERROR(__xludf.DUMMYFUNCTION("GOOGLETRANSLATE(B1572,""en"",""de"")"),"Beurteilung")</f>
        <v>Beurteilung</v>
      </c>
      <c r="H1572" s="2" t="str">
        <f ca="1">IFERROR(__xludf.DUMMYFUNCTION("GOOGLETRANSLATE(B1572,""en"",""zh"")"),"判断")</f>
        <v>判断</v>
      </c>
      <c r="I1572" s="2" t="str">
        <f ca="1">IFERROR(__xludf.DUMMYFUNCTION("GOOGLETRANSLATE(B1572,""en"",""gd"")"),"Breithneachadh")</f>
        <v>Breithneachadh</v>
      </c>
    </row>
    <row r="1573" spans="1:9" ht="14.25" customHeight="1" x14ac:dyDescent="0.3">
      <c r="A1573" s="2">
        <v>1572</v>
      </c>
      <c r="B1573" s="3" t="s">
        <v>1580</v>
      </c>
      <c r="C1573" s="2" t="str">
        <f ca="1">IFERROR(__xludf.DUMMYFUNCTION("GOOGLETRANSLATE(B1573, ""en"",""es"")"),"extraño")</f>
        <v>extraño</v>
      </c>
      <c r="D1573" s="2" t="str">
        <f ca="1">IFERROR(__xludf.DUMMYFUNCTION("GOOGLETRANSLATE(B1573,""en"",""ig"")"),"adabaghi")</f>
        <v>adabaghi</v>
      </c>
      <c r="E1573" s="2" t="str">
        <f ca="1">IFERROR(__xludf.DUMMYFUNCTION("GOOGLETRANSLATE(B1573,""en"",""fr"")"),"impair")</f>
        <v>impair</v>
      </c>
      <c r="F1573" s="2" t="str">
        <f ca="1">IFERROR(__xludf.DUMMYFUNCTION("GOOGLETRANSLATE(B1573,""en"",""it"")"),"strano")</f>
        <v>strano</v>
      </c>
      <c r="G1573" s="2" t="str">
        <f ca="1">IFERROR(__xludf.DUMMYFUNCTION("GOOGLETRANSLATE(B1573,""en"",""de"")"),"seltsam")</f>
        <v>seltsam</v>
      </c>
      <c r="H1573" s="2" t="str">
        <f ca="1">IFERROR(__xludf.DUMMYFUNCTION("GOOGLETRANSLATE(B1573,""en"",""zh"")"),"奇怪的")</f>
        <v>奇怪的</v>
      </c>
      <c r="I1573" s="2" t="str">
        <f ca="1">IFERROR(__xludf.DUMMYFUNCTION("GOOGLETRANSLATE(B1573,""en"",""gd"")"),"Odd")</f>
        <v>Odd</v>
      </c>
    </row>
    <row r="1574" spans="1:9" ht="14.25" customHeight="1" x14ac:dyDescent="0.3">
      <c r="A1574" s="2">
        <v>1573</v>
      </c>
      <c r="B1574" s="3" t="s">
        <v>1581</v>
      </c>
      <c r="C1574" s="2" t="str">
        <f ca="1">IFERROR(__xludf.DUMMYFUNCTION("GOOGLETRANSLATE(B1574, ""en"",""es"")"),"aprobar")</f>
        <v>aprobar</v>
      </c>
      <c r="D1574" s="2" t="str">
        <f ca="1">IFERROR(__xludf.DUMMYFUNCTION("GOOGLETRANSLATE(B1574,""en"",""ig"")"),"inabata")</f>
        <v>inabata</v>
      </c>
      <c r="E1574" s="2" t="str">
        <f ca="1">IFERROR(__xludf.DUMMYFUNCTION("GOOGLETRANSLATE(B1574,""en"",""fr"")"),"approuver")</f>
        <v>approuver</v>
      </c>
      <c r="F1574" s="2" t="str">
        <f ca="1">IFERROR(__xludf.DUMMYFUNCTION("GOOGLETRANSLATE(B1574,""en"",""it"")"),"approvare")</f>
        <v>approvare</v>
      </c>
      <c r="G1574" s="2" t="str">
        <f ca="1">IFERROR(__xludf.DUMMYFUNCTION("GOOGLETRANSLATE(B1574,""en"",""de"")"),"genehmigen")</f>
        <v>genehmigen</v>
      </c>
      <c r="H1574" s="2" t="str">
        <f ca="1">IFERROR(__xludf.DUMMYFUNCTION("GOOGLETRANSLATE(B1574,""en"",""zh"")"),"批准")</f>
        <v>批准</v>
      </c>
      <c r="I1574" s="2" t="str">
        <f ca="1">IFERROR(__xludf.DUMMYFUNCTION("GOOGLETRANSLATE(B1574,""en"",""gd"")"),"aontachadh")</f>
        <v>aontachadh</v>
      </c>
    </row>
    <row r="1575" spans="1:9" ht="14.25" customHeight="1" x14ac:dyDescent="0.3">
      <c r="A1575" s="2">
        <v>1574</v>
      </c>
      <c r="B1575" s="3" t="s">
        <v>1582</v>
      </c>
      <c r="C1575" s="2" t="str">
        <f ca="1">IFERROR(__xludf.DUMMYFUNCTION("GOOGLETRANSLATE(B1575, ""en"",""es"")"),"préstamo")</f>
        <v>préstamo</v>
      </c>
      <c r="D1575" s="2" t="str">
        <f ca="1">IFERROR(__xludf.DUMMYFUNCTION("GOOGLETRANSLATE(B1575,""en"",""ig"")"),"mbinye ego")</f>
        <v>mbinye ego</v>
      </c>
      <c r="E1575" s="2" t="str">
        <f ca="1">IFERROR(__xludf.DUMMYFUNCTION("GOOGLETRANSLATE(B1575,""en"",""fr"")"),"prêt")</f>
        <v>prêt</v>
      </c>
      <c r="F1575" s="2" t="str">
        <f ca="1">IFERROR(__xludf.DUMMYFUNCTION("GOOGLETRANSLATE(B1575,""en"",""it"")"),"prestito")</f>
        <v>prestito</v>
      </c>
      <c r="G1575" s="2" t="str">
        <f ca="1">IFERROR(__xludf.DUMMYFUNCTION("GOOGLETRANSLATE(B1575,""en"",""de"")"),"Darlehen")</f>
        <v>Darlehen</v>
      </c>
      <c r="H1575" s="2" t="str">
        <f ca="1">IFERROR(__xludf.DUMMYFUNCTION("GOOGLETRANSLATE(B1575,""en"",""zh"")"),"贷款")</f>
        <v>贷款</v>
      </c>
      <c r="I1575" s="2" t="str">
        <f ca="1">IFERROR(__xludf.DUMMYFUNCTION("GOOGLETRANSLATE(B1575,""en"",""gd"")"),"iasad")</f>
        <v>iasad</v>
      </c>
    </row>
    <row r="1576" spans="1:9" ht="14.25" customHeight="1" x14ac:dyDescent="0.3">
      <c r="A1576" s="2">
        <v>1575</v>
      </c>
      <c r="B1576" s="3" t="s">
        <v>1583</v>
      </c>
      <c r="C1576" s="2" t="str">
        <f ca="1">IFERROR(__xludf.DUMMYFUNCTION("GOOGLETRANSLATE(B1576, ""en"",""es"")"),"definición")</f>
        <v>definición</v>
      </c>
      <c r="D1576" s="2" t="str">
        <f ca="1">IFERROR(__xludf.DUMMYFUNCTION("GOOGLETRANSLATE(B1576,""en"",""ig"")"),"nkowasi")</f>
        <v>nkowasi</v>
      </c>
      <c r="E1576" s="2" t="str">
        <f ca="1">IFERROR(__xludf.DUMMYFUNCTION("GOOGLETRANSLATE(B1576,""en"",""fr"")"),"définition")</f>
        <v>définition</v>
      </c>
      <c r="F1576" s="2" t="str">
        <f ca="1">IFERROR(__xludf.DUMMYFUNCTION("GOOGLETRANSLATE(B1576,""en"",""it"")"),"definizione")</f>
        <v>definizione</v>
      </c>
      <c r="G1576" s="2" t="str">
        <f ca="1">IFERROR(__xludf.DUMMYFUNCTION("GOOGLETRANSLATE(B1576,""en"",""de"")"),"Definition")</f>
        <v>Definition</v>
      </c>
      <c r="H1576" s="2" t="str">
        <f ca="1">IFERROR(__xludf.DUMMYFUNCTION("GOOGLETRANSLATE(B1576,""en"",""zh"")"),"定义")</f>
        <v>定义</v>
      </c>
      <c r="I1576" s="2" t="str">
        <f ca="1">IFERROR(__xludf.DUMMYFUNCTION("GOOGLETRANSLATE(B1576,""en"",""gd"")"),"Mìneachadh")</f>
        <v>Mìneachadh</v>
      </c>
    </row>
    <row r="1577" spans="1:9" ht="14.25" customHeight="1" x14ac:dyDescent="0.3">
      <c r="A1577" s="2">
        <v>1576</v>
      </c>
      <c r="B1577" s="3" t="s">
        <v>1584</v>
      </c>
      <c r="C1577" s="2" t="str">
        <f ca="1">IFERROR(__xludf.DUMMYFUNCTION("GOOGLETRANSLATE(B1577, ""en"",""es"")"),"electo")</f>
        <v>electo</v>
      </c>
      <c r="D1577" s="2" t="str">
        <f ca="1">IFERROR(__xludf.DUMMYFUNCTION("GOOGLETRANSLATE(B1577,""en"",""ig"")"),"ihoputa")</f>
        <v>ihoputa</v>
      </c>
      <c r="E1577" s="2" t="str">
        <f ca="1">IFERROR(__xludf.DUMMYFUNCTION("GOOGLETRANSLATE(B1577,""en"",""fr"")"),"élire")</f>
        <v>élire</v>
      </c>
      <c r="F1577" s="2" t="str">
        <f ca="1">IFERROR(__xludf.DUMMYFUNCTION("GOOGLETRANSLATE(B1577,""en"",""it"")"),"eleggere")</f>
        <v>eleggere</v>
      </c>
      <c r="G1577" s="2" t="str">
        <f ca="1">IFERROR(__xludf.DUMMYFUNCTION("GOOGLETRANSLATE(B1577,""en"",""de"")"),"wählen")</f>
        <v>wählen</v>
      </c>
      <c r="H1577" s="2" t="str">
        <f ca="1">IFERROR(__xludf.DUMMYFUNCTION("GOOGLETRANSLATE(B1577,""en"",""zh"")"),"选")</f>
        <v>选</v>
      </c>
      <c r="I1577" s="2" t="str">
        <f ca="1">IFERROR(__xludf.DUMMYFUNCTION("GOOGLETRANSLATE(B1577,""en"",""gd"")"),"Taghadh")</f>
        <v>Taghadh</v>
      </c>
    </row>
    <row r="1578" spans="1:9" ht="14.25" customHeight="1" x14ac:dyDescent="0.3">
      <c r="A1578" s="2">
        <v>1577</v>
      </c>
      <c r="B1578" s="3" t="s">
        <v>1585</v>
      </c>
      <c r="C1578" s="2" t="str">
        <f ca="1">IFERROR(__xludf.DUMMYFUNCTION("GOOGLETRANSLATE(B1578, ""en"",""es"")"),"atmósfera")</f>
        <v>atmósfera</v>
      </c>
      <c r="D1578" s="2" t="str">
        <f ca="1">IFERROR(__xludf.DUMMYFUNCTION("GOOGLETRANSLATE(B1578,""en"",""ig"")"),"nkwuru")</f>
        <v>nkwuru</v>
      </c>
      <c r="E1578" s="2" t="str">
        <f ca="1">IFERROR(__xludf.DUMMYFUNCTION("GOOGLETRANSLATE(B1578,""en"",""fr"")"),"atmosphère")</f>
        <v>atmosphère</v>
      </c>
      <c r="F1578" s="2" t="str">
        <f ca="1">IFERROR(__xludf.DUMMYFUNCTION("GOOGLETRANSLATE(B1578,""en"",""it"")"),"atmosfera")</f>
        <v>atmosfera</v>
      </c>
      <c r="G1578" s="2" t="str">
        <f ca="1">IFERROR(__xludf.DUMMYFUNCTION("GOOGLETRANSLATE(B1578,""en"",""de"")"),"Atmosphäre")</f>
        <v>Atmosphäre</v>
      </c>
      <c r="H1578" s="2" t="str">
        <f ca="1">IFERROR(__xludf.DUMMYFUNCTION("GOOGLETRANSLATE(B1578,""en"",""zh"")"),"气氛")</f>
        <v>气氛</v>
      </c>
      <c r="I1578" s="2" t="str">
        <f ca="1">IFERROR(__xludf.DUMMYFUNCTION("GOOGLETRANSLATE(B1578,""en"",""gd"")"),"àile")</f>
        <v>àile</v>
      </c>
    </row>
    <row r="1579" spans="1:9" ht="14.25" customHeight="1" x14ac:dyDescent="0.3">
      <c r="A1579" s="2">
        <v>1578</v>
      </c>
      <c r="B1579" s="3" t="s">
        <v>1586</v>
      </c>
      <c r="C1579" s="2" t="str">
        <f ca="1">IFERROR(__xludf.DUMMYFUNCTION("GOOGLETRANSLATE(B1579, ""en"",""es"")"),"agricultor")</f>
        <v>agricultor</v>
      </c>
      <c r="D1579" s="2" t="str">
        <f ca="1">IFERROR(__xludf.DUMMYFUNCTION("GOOGLETRANSLATE(B1579,""en"",""ig"")"),"onye oru ubi")</f>
        <v>onye oru ubi</v>
      </c>
      <c r="E1579" s="2" t="str">
        <f ca="1">IFERROR(__xludf.DUMMYFUNCTION("GOOGLETRANSLATE(B1579,""en"",""fr"")"),"fermier")</f>
        <v>fermier</v>
      </c>
      <c r="F1579" s="2" t="str">
        <f ca="1">IFERROR(__xludf.DUMMYFUNCTION("GOOGLETRANSLATE(B1579,""en"",""it"")"),"contadino")</f>
        <v>contadino</v>
      </c>
      <c r="G1579" s="2" t="str">
        <f ca="1">IFERROR(__xludf.DUMMYFUNCTION("GOOGLETRANSLATE(B1579,""en"",""de"")"),"Bauer")</f>
        <v>Bauer</v>
      </c>
      <c r="H1579" s="2" t="str">
        <f ca="1">IFERROR(__xludf.DUMMYFUNCTION("GOOGLETRANSLATE(B1579,""en"",""zh"")"),"农民")</f>
        <v>农民</v>
      </c>
      <c r="I1579" s="2" t="str">
        <f ca="1">IFERROR(__xludf.DUMMYFUNCTION("GOOGLETRANSLATE(B1579,""en"",""gd"")"),"Tuathanach")</f>
        <v>Tuathanach</v>
      </c>
    </row>
    <row r="1580" spans="1:9" ht="14.25" customHeight="1" x14ac:dyDescent="0.3">
      <c r="A1580" s="2">
        <v>1579</v>
      </c>
      <c r="B1580" s="3" t="s">
        <v>1587</v>
      </c>
      <c r="C1580" s="2" t="str">
        <f ca="1">IFERROR(__xludf.DUMMYFUNCTION("GOOGLETRANSLATE(B1580, ""en"",""es"")"),"comparación")</f>
        <v>comparación</v>
      </c>
      <c r="D1580" s="2" t="str">
        <f ca="1">IFERROR(__xludf.DUMMYFUNCTION("GOOGLETRANSLATE(B1580,""en"",""ig"")"),"ntulerita")</f>
        <v>ntulerita</v>
      </c>
      <c r="E1580" s="2" t="str">
        <f ca="1">IFERROR(__xludf.DUMMYFUNCTION("GOOGLETRANSLATE(B1580,""en"",""fr"")"),"comparaison")</f>
        <v>comparaison</v>
      </c>
      <c r="F1580" s="2" t="str">
        <f ca="1">IFERROR(__xludf.DUMMYFUNCTION("GOOGLETRANSLATE(B1580,""en"",""it"")"),"confronto")</f>
        <v>confronto</v>
      </c>
      <c r="G1580" s="2" t="str">
        <f ca="1">IFERROR(__xludf.DUMMYFUNCTION("GOOGLETRANSLATE(B1580,""en"",""de"")"),"Vergleich")</f>
        <v>Vergleich</v>
      </c>
      <c r="H1580" s="2" t="str">
        <f ca="1">IFERROR(__xludf.DUMMYFUNCTION("GOOGLETRANSLATE(B1580,""en"",""zh"")"),"比较")</f>
        <v>比较</v>
      </c>
      <c r="I1580" s="2" t="str">
        <f ca="1">IFERROR(__xludf.DUMMYFUNCTION("GOOGLETRANSLATE(B1580,""en"",""gd"")"),"coimeas")</f>
        <v>coimeas</v>
      </c>
    </row>
    <row r="1581" spans="1:9" ht="14.25" customHeight="1" x14ac:dyDescent="0.3">
      <c r="A1581" s="2">
        <v>1580</v>
      </c>
      <c r="B1581" s="3" t="s">
        <v>1588</v>
      </c>
      <c r="C1581" s="2" t="str">
        <f ca="1">IFERROR(__xludf.DUMMYFUNCTION("GOOGLETRANSLATE(B1581, ""en"",""es"")"),"característica")</f>
        <v>característica</v>
      </c>
      <c r="D1581" s="2" t="str">
        <f ca="1">IFERROR(__xludf.DUMMYFUNCTION("GOOGLETRANSLATE(B1581,""en"",""ig"")"),"keejirara")</f>
        <v>keejirara</v>
      </c>
      <c r="E1581" s="2" t="str">
        <f ca="1">IFERROR(__xludf.DUMMYFUNCTION("GOOGLETRANSLATE(B1581,""en"",""fr"")"),"caractéristique")</f>
        <v>caractéristique</v>
      </c>
      <c r="F1581" s="2" t="str">
        <f ca="1">IFERROR(__xludf.DUMMYFUNCTION("GOOGLETRANSLATE(B1581,""en"",""it"")"),"caratteristica")</f>
        <v>caratteristica</v>
      </c>
      <c r="G1581" s="2" t="str">
        <f ca="1">IFERROR(__xludf.DUMMYFUNCTION("GOOGLETRANSLATE(B1581,""en"",""de"")"),"charakteristisch")</f>
        <v>charakteristisch</v>
      </c>
      <c r="H1581" s="2" t="str">
        <f ca="1">IFERROR(__xludf.DUMMYFUNCTION("GOOGLETRANSLATE(B1581,""en"",""zh"")"),"特征")</f>
        <v>特征</v>
      </c>
      <c r="I1581" s="2" t="str">
        <f ca="1">IFERROR(__xludf.DUMMYFUNCTION("GOOGLETRANSLATE(B1581,""en"",""gd"")"),"caractar")</f>
        <v>caractar</v>
      </c>
    </row>
    <row r="1582" spans="1:9" ht="14.25" customHeight="1" x14ac:dyDescent="0.3">
      <c r="A1582" s="2">
        <v>1581</v>
      </c>
      <c r="B1582" s="3" t="s">
        <v>1589</v>
      </c>
      <c r="C1582" s="2" t="str">
        <f ca="1">IFERROR(__xludf.DUMMYFUNCTION("GOOGLETRANSLATE(B1582, ""en"",""es"")"),"licencia")</f>
        <v>licencia</v>
      </c>
      <c r="D1582" s="2" t="str">
        <f ca="1">IFERROR(__xludf.DUMMYFUNCTION("GOOGLETRANSLATE(B1582,""en"",""ig"")"),"inye ike")</f>
        <v>inye ike</v>
      </c>
      <c r="E1582" s="2" t="str">
        <f ca="1">IFERROR(__xludf.DUMMYFUNCTION("GOOGLETRANSLATE(B1582,""en"",""fr"")"),"Licence")</f>
        <v>Licence</v>
      </c>
      <c r="F1582" s="2" t="str">
        <f ca="1">IFERROR(__xludf.DUMMYFUNCTION("GOOGLETRANSLATE(B1582,""en"",""it"")"),"licenza")</f>
        <v>licenza</v>
      </c>
      <c r="G1582" s="2" t="str">
        <f ca="1">IFERROR(__xludf.DUMMYFUNCTION("GOOGLETRANSLATE(B1582,""en"",""de"")"),"Lizenz")</f>
        <v>Lizenz</v>
      </c>
      <c r="H1582" s="2" t="str">
        <f ca="1">IFERROR(__xludf.DUMMYFUNCTION("GOOGLETRANSLATE(B1582,""en"",""zh"")"),"执照")</f>
        <v>执照</v>
      </c>
      <c r="I1582" s="2" t="str">
        <f ca="1">IFERROR(__xludf.DUMMYFUNCTION("GOOGLETRANSLATE(B1582,""en"",""gd"")"),"Cead")</f>
        <v>Cead</v>
      </c>
    </row>
    <row r="1583" spans="1:9" ht="14.25" customHeight="1" x14ac:dyDescent="0.3">
      <c r="A1583" s="2">
        <v>1582</v>
      </c>
      <c r="B1583" s="3" t="s">
        <v>1590</v>
      </c>
      <c r="C1583" s="2" t="str">
        <f ca="1">IFERROR(__xludf.DUMMYFUNCTION("GOOGLETRANSLATE(B1583, ""en"",""es"")"),"confiar")</f>
        <v>confiar</v>
      </c>
      <c r="D1583" s="2" t="str">
        <f ca="1">IFERROR(__xludf.DUMMYFUNCTION("GOOGLETRANSLATE(B1583,""en"",""ig"")"),"dabere")</f>
        <v>dabere</v>
      </c>
      <c r="E1583" s="2" t="str">
        <f ca="1">IFERROR(__xludf.DUMMYFUNCTION("GOOGLETRANSLATE(B1583,""en"",""fr"")"),"compter sur")</f>
        <v>compter sur</v>
      </c>
      <c r="F1583" s="2" t="str">
        <f ca="1">IFERROR(__xludf.DUMMYFUNCTION("GOOGLETRANSLATE(B1583,""en"",""it"")"),"fare affidamento")</f>
        <v>fare affidamento</v>
      </c>
      <c r="G1583" s="2" t="str">
        <f ca="1">IFERROR(__xludf.DUMMYFUNCTION("GOOGLETRANSLATE(B1583,""en"",""de"")"),"verlassen")</f>
        <v>verlassen</v>
      </c>
      <c r="H1583" s="2" t="str">
        <f ca="1">IFERROR(__xludf.DUMMYFUNCTION("GOOGLETRANSLATE(B1583,""en"",""zh"")"),"依靠")</f>
        <v>依靠</v>
      </c>
      <c r="I1583" s="2" t="str">
        <f ca="1">IFERROR(__xludf.DUMMYFUNCTION("GOOGLETRANSLATE(B1583,""en"",""gd"")"),"earbsa")</f>
        <v>earbsa</v>
      </c>
    </row>
    <row r="1584" spans="1:9" ht="14.25" customHeight="1" x14ac:dyDescent="0.3">
      <c r="A1584" s="2">
        <v>1583</v>
      </c>
      <c r="B1584" s="3" t="s">
        <v>1591</v>
      </c>
      <c r="C1584" s="2" t="str">
        <f ca="1">IFERROR(__xludf.DUMMYFUNCTION("GOOGLETRANSLATE(B1584, ""en"",""es"")"),"angosto")</f>
        <v>angosto</v>
      </c>
      <c r="D1584" s="2" t="str">
        <f ca="1">IFERROR(__xludf.DUMMYFUNCTION("GOOGLETRANSLATE(B1584,""en"",""ig"")"),"nanho")</f>
        <v>nanho</v>
      </c>
      <c r="E1584" s="2" t="str">
        <f ca="1">IFERROR(__xludf.DUMMYFUNCTION("GOOGLETRANSLATE(B1584,""en"",""fr"")"),"étroit")</f>
        <v>étroit</v>
      </c>
      <c r="F1584" s="2" t="str">
        <f ca="1">IFERROR(__xludf.DUMMYFUNCTION("GOOGLETRANSLATE(B1584,""en"",""it"")"),"stretto")</f>
        <v>stretto</v>
      </c>
      <c r="G1584" s="2" t="str">
        <f ca="1">IFERROR(__xludf.DUMMYFUNCTION("GOOGLETRANSLATE(B1584,""en"",""de"")"),"eng")</f>
        <v>eng</v>
      </c>
      <c r="H1584" s="2" t="str">
        <f ca="1">IFERROR(__xludf.DUMMYFUNCTION("GOOGLETRANSLATE(B1584,""en"",""zh"")"),"狭窄的")</f>
        <v>狭窄的</v>
      </c>
      <c r="I1584" s="2" t="str">
        <f ca="1">IFERROR(__xludf.DUMMYFUNCTION("GOOGLETRANSLATE(B1584,""en"",""gd"")"),"cumhang")</f>
        <v>cumhang</v>
      </c>
    </row>
    <row r="1585" spans="1:9" ht="14.25" customHeight="1" x14ac:dyDescent="0.3">
      <c r="A1585" s="2">
        <v>1584</v>
      </c>
      <c r="B1585" s="3" t="s">
        <v>1592</v>
      </c>
      <c r="C1585" s="2" t="str">
        <f ca="1">IFERROR(__xludf.DUMMYFUNCTION("GOOGLETRANSLATE(B1585, ""en"",""es"")"),"tener éxito")</f>
        <v>tener éxito</v>
      </c>
      <c r="D1585" s="2" t="str">
        <f ca="1">IFERROR(__xludf.DUMMYFUNCTION("GOOGLETRANSLATE(B1585,""en"",""ig"")"),"inochi")</f>
        <v>inochi</v>
      </c>
      <c r="E1585" s="2" t="str">
        <f ca="1">IFERROR(__xludf.DUMMYFUNCTION("GOOGLETRANSLATE(B1585,""en"",""fr"")"),"réussir")</f>
        <v>réussir</v>
      </c>
      <c r="F1585" s="2" t="str">
        <f ca="1">IFERROR(__xludf.DUMMYFUNCTION("GOOGLETRANSLATE(B1585,""en"",""it"")"),"avere successo")</f>
        <v>avere successo</v>
      </c>
      <c r="G1585" s="2" t="str">
        <f ca="1">IFERROR(__xludf.DUMMYFUNCTION("GOOGLETRANSLATE(B1585,""en"",""de"")"),"gelingen")</f>
        <v>gelingen</v>
      </c>
      <c r="H1585" s="2" t="str">
        <f ca="1">IFERROR(__xludf.DUMMYFUNCTION("GOOGLETRANSLATE(B1585,""en"",""zh"")"),"成功")</f>
        <v>成功</v>
      </c>
      <c r="I1585" s="2" t="str">
        <f ca="1">IFERROR(__xludf.DUMMYFUNCTION("GOOGLETRANSLATE(B1585,""en"",""gd"")"),"soirbheachadh")</f>
        <v>soirbheachadh</v>
      </c>
    </row>
    <row r="1586" spans="1:9" ht="14.25" customHeight="1" x14ac:dyDescent="0.3">
      <c r="A1586" s="2">
        <v>1585</v>
      </c>
      <c r="B1586" s="3" t="s">
        <v>1593</v>
      </c>
      <c r="C1586" s="2" t="str">
        <f ca="1">IFERROR(__xludf.DUMMYFUNCTION("GOOGLETRANSLATE(B1586, ""en"",""es"")"),"identidad")</f>
        <v>identidad</v>
      </c>
      <c r="D1586" s="2" t="str">
        <f ca="1">IFERROR(__xludf.DUMMYFUNCTION("GOOGLETRANSLATE(B1586,""en"",""ig"")"),"njirimara")</f>
        <v>njirimara</v>
      </c>
      <c r="E1586" s="2" t="str">
        <f ca="1">IFERROR(__xludf.DUMMYFUNCTION("GOOGLETRANSLATE(B1586,""en"",""fr"")"),"identité")</f>
        <v>identité</v>
      </c>
      <c r="F1586" s="2" t="str">
        <f ca="1">IFERROR(__xludf.DUMMYFUNCTION("GOOGLETRANSLATE(B1586,""en"",""it"")"),"identità")</f>
        <v>identità</v>
      </c>
      <c r="G1586" s="2" t="str">
        <f ca="1">IFERROR(__xludf.DUMMYFUNCTION("GOOGLETRANSLATE(B1586,""en"",""de"")"),"Identität")</f>
        <v>Identität</v>
      </c>
      <c r="H1586" s="2" t="str">
        <f ca="1">IFERROR(__xludf.DUMMYFUNCTION("GOOGLETRANSLATE(B1586,""en"",""zh"")"),"身份")</f>
        <v>身份</v>
      </c>
      <c r="I1586" s="2" t="str">
        <f ca="1">IFERROR(__xludf.DUMMYFUNCTION("GOOGLETRANSLATE(B1586,""en"",""gd"")"),"Dearbh-aithne")</f>
        <v>Dearbh-aithne</v>
      </c>
    </row>
    <row r="1587" spans="1:9" ht="14.25" customHeight="1" x14ac:dyDescent="0.3">
      <c r="A1587" s="2">
        <v>1586</v>
      </c>
      <c r="B1587" s="3" t="s">
        <v>1594</v>
      </c>
      <c r="C1587" s="2" t="str">
        <f ca="1">IFERROR(__xludf.DUMMYFUNCTION("GOOGLETRANSLATE(B1587, ""en"",""es"")"),"escritorio")</f>
        <v>escritorio</v>
      </c>
      <c r="D1587" s="2" t="str">
        <f ca="1">IFERROR(__xludf.DUMMYFUNCTION("GOOGLETRANSLATE(B1587,""en"",""ig"")"),"oche")</f>
        <v>oche</v>
      </c>
      <c r="E1587" s="2" t="str">
        <f ca="1">IFERROR(__xludf.DUMMYFUNCTION("GOOGLETRANSLATE(B1587,""en"",""fr"")"),"bureau")</f>
        <v>bureau</v>
      </c>
      <c r="F1587" s="2" t="str">
        <f ca="1">IFERROR(__xludf.DUMMYFUNCTION("GOOGLETRANSLATE(B1587,""en"",""it"")"),"scrivania")</f>
        <v>scrivania</v>
      </c>
      <c r="G1587" s="2" t="str">
        <f ca="1">IFERROR(__xludf.DUMMYFUNCTION("GOOGLETRANSLATE(B1587,""en"",""de"")"),"Schreibtisch")</f>
        <v>Schreibtisch</v>
      </c>
      <c r="H1587" s="2" t="str">
        <f ca="1">IFERROR(__xludf.DUMMYFUNCTION("GOOGLETRANSLATE(B1587,""en"",""zh"")"),"桌子")</f>
        <v>桌子</v>
      </c>
      <c r="I1587" s="2" t="str">
        <f ca="1">IFERROR(__xludf.DUMMYFUNCTION("GOOGLETRANSLATE(B1587,""en"",""gd"")"),"deasg")</f>
        <v>deasg</v>
      </c>
    </row>
    <row r="1588" spans="1:9" ht="14.25" customHeight="1" x14ac:dyDescent="0.3">
      <c r="A1588" s="2">
        <v>1587</v>
      </c>
      <c r="B1588" s="3" t="s">
        <v>1595</v>
      </c>
      <c r="C1588" s="2" t="str">
        <f ca="1">IFERROR(__xludf.DUMMYFUNCTION("GOOGLETRANSLATE(B1588, ""en"",""es"")"),"permiso")</f>
        <v>permiso</v>
      </c>
      <c r="D1588" s="2" t="str">
        <f ca="1">IFERROR(__xludf.DUMMYFUNCTION("GOOGLETRANSLATE(B1588,""en"",""ig"")"),"akwukwo inara ike")</f>
        <v>akwukwo inara ike</v>
      </c>
      <c r="E1588" s="2" t="str">
        <f ca="1">IFERROR(__xludf.DUMMYFUNCTION("GOOGLETRANSLATE(B1588,""en"",""fr"")"),"permis")</f>
        <v>permis</v>
      </c>
      <c r="F1588" s="2" t="str">
        <f ca="1">IFERROR(__xludf.DUMMYFUNCTION("GOOGLETRANSLATE(B1588,""en"",""it"")"),"permesso")</f>
        <v>permesso</v>
      </c>
      <c r="G1588" s="2" t="str">
        <f ca="1">IFERROR(__xludf.DUMMYFUNCTION("GOOGLETRANSLATE(B1588,""en"",""de"")"),"erlauben")</f>
        <v>erlauben</v>
      </c>
      <c r="H1588" s="2" t="str">
        <f ca="1">IFERROR(__xludf.DUMMYFUNCTION("GOOGLETRANSLATE(B1588,""en"",""zh"")"),"允许")</f>
        <v>允许</v>
      </c>
      <c r="I1588" s="2" t="str">
        <f ca="1">IFERROR(__xludf.DUMMYFUNCTION("GOOGLETRANSLATE(B1588,""en"",""gd"")"),"Cead")</f>
        <v>Cead</v>
      </c>
    </row>
    <row r="1589" spans="1:9" ht="14.25" customHeight="1" x14ac:dyDescent="0.3">
      <c r="A1589" s="2">
        <v>1588</v>
      </c>
      <c r="B1589" s="3" t="s">
        <v>1596</v>
      </c>
      <c r="C1589" s="2" t="str">
        <f ca="1">IFERROR(__xludf.DUMMYFUNCTION("GOOGLETRANSLATE(B1589, ""en"",""es"")"),"en serio")</f>
        <v>en serio</v>
      </c>
      <c r="D1589" s="2" t="str">
        <f ca="1">IFERROR(__xludf.DUMMYFUNCTION("GOOGLETRANSLATE(B1589,""en"",""ig"")"),"sie")</f>
        <v>sie</v>
      </c>
      <c r="E1589" s="2" t="str">
        <f ca="1">IFERROR(__xludf.DUMMYFUNCTION("GOOGLETRANSLATE(B1589,""en"",""fr"")"),"sérieusement")</f>
        <v>sérieusement</v>
      </c>
      <c r="F1589" s="2" t="str">
        <f ca="1">IFERROR(__xludf.DUMMYFUNCTION("GOOGLETRANSLATE(B1589,""en"",""it"")"),"sul serio")</f>
        <v>sul serio</v>
      </c>
      <c r="G1589" s="2" t="str">
        <f ca="1">IFERROR(__xludf.DUMMYFUNCTION("GOOGLETRANSLATE(B1589,""en"",""de"")"),"ernsthaft")</f>
        <v>ernsthaft</v>
      </c>
      <c r="H1589" s="2" t="str">
        <f ca="1">IFERROR(__xludf.DUMMYFUNCTION("GOOGLETRANSLATE(B1589,""en"",""zh"")"),"严重地")</f>
        <v>严重地</v>
      </c>
      <c r="I1589" s="2" t="str">
        <f ca="1">IFERROR(__xludf.DUMMYFUNCTION("GOOGLETRANSLATE(B1589,""en"",""gd"")"),"gu dona")</f>
        <v>gu dona</v>
      </c>
    </row>
    <row r="1590" spans="1:9" ht="14.25" customHeight="1" x14ac:dyDescent="0.3">
      <c r="A1590" s="2">
        <v>1589</v>
      </c>
      <c r="B1590" s="3" t="s">
        <v>1597</v>
      </c>
      <c r="C1590" s="2" t="str">
        <f ca="1">IFERROR(__xludf.DUMMYFUNCTION("GOOGLETRANSLATE(B1590, ""en"",""es"")"),"salvaje")</f>
        <v>salvaje</v>
      </c>
      <c r="D1590" s="2" t="str">
        <f ca="1">IFERROR(__xludf.DUMMYFUNCTION("GOOGLETRANSLATE(B1590,""en"",""ig"")"),"azughiazu")</f>
        <v>azughiazu</v>
      </c>
      <c r="E1590" s="2" t="str">
        <f ca="1">IFERROR(__xludf.DUMMYFUNCTION("GOOGLETRANSLATE(B1590,""en"",""fr"")"),"sauvage")</f>
        <v>sauvage</v>
      </c>
      <c r="F1590" s="2" t="str">
        <f ca="1">IFERROR(__xludf.DUMMYFUNCTION("GOOGLETRANSLATE(B1590,""en"",""it"")"),"selvaggio")</f>
        <v>selvaggio</v>
      </c>
      <c r="G1590" s="2" t="str">
        <f ca="1">IFERROR(__xludf.DUMMYFUNCTION("GOOGLETRANSLATE(B1590,""en"",""de"")"),"wild")</f>
        <v>wild</v>
      </c>
      <c r="H1590" s="2" t="str">
        <f ca="1">IFERROR(__xludf.DUMMYFUNCTION("GOOGLETRANSLATE(B1590,""en"",""zh"")"),"荒野")</f>
        <v>荒野</v>
      </c>
      <c r="I1590" s="2" t="str">
        <f ca="1">IFERROR(__xludf.DUMMYFUNCTION("GOOGLETRANSLATE(B1590,""en"",""gd"")"),"fiadhaich")</f>
        <v>fiadhaich</v>
      </c>
    </row>
    <row r="1591" spans="1:9" ht="14.25" customHeight="1" x14ac:dyDescent="0.3">
      <c r="A1591" s="2">
        <v>1590</v>
      </c>
      <c r="B1591" s="3" t="s">
        <v>1598</v>
      </c>
      <c r="C1591" s="2" t="str">
        <f ca="1">IFERROR(__xludf.DUMMYFUNCTION("GOOGLETRANSLATE(B1591, ""en"",""es"")"),"vacío")</f>
        <v>vacío</v>
      </c>
      <c r="D1591" s="2" t="str">
        <f ca="1">IFERROR(__xludf.DUMMYFUNCTION("GOOGLETRANSLATE(B1591,""en"",""ig"")"),"efu")</f>
        <v>efu</v>
      </c>
      <c r="E1591" s="2" t="str">
        <f ca="1">IFERROR(__xludf.DUMMYFUNCTION("GOOGLETRANSLATE(B1591,""en"",""fr"")"),"vide")</f>
        <v>vide</v>
      </c>
      <c r="F1591" s="2" t="str">
        <f ca="1">IFERROR(__xludf.DUMMYFUNCTION("GOOGLETRANSLATE(B1591,""en"",""it"")"),"vuoto")</f>
        <v>vuoto</v>
      </c>
      <c r="G1591" s="2" t="str">
        <f ca="1">IFERROR(__xludf.DUMMYFUNCTION("GOOGLETRANSLATE(B1591,""en"",""de"")"),"leer")</f>
        <v>leer</v>
      </c>
      <c r="H1591" s="2" t="str">
        <f ca="1">IFERROR(__xludf.DUMMYFUNCTION("GOOGLETRANSLATE(B1591,""en"",""zh"")"),"空的")</f>
        <v>空的</v>
      </c>
      <c r="I1591" s="2" t="str">
        <f ca="1">IFERROR(__xludf.DUMMYFUNCTION("GOOGLETRANSLATE(B1591,""en"",""gd"")"),"falamh")</f>
        <v>falamh</v>
      </c>
    </row>
    <row r="1592" spans="1:9" ht="14.25" customHeight="1" x14ac:dyDescent="0.3">
      <c r="A1592" s="2">
        <v>1591</v>
      </c>
      <c r="B1592" s="3" t="s">
        <v>1599</v>
      </c>
      <c r="C1592" s="2" t="str">
        <f ca="1">IFERROR(__xludf.DUMMYFUNCTION("GOOGLETRANSLATE(B1592, ""en"",""es"")"),"comisión")</f>
        <v>comisión</v>
      </c>
      <c r="D1592" s="2" t="str">
        <f ca="1">IFERROR(__xludf.DUMMYFUNCTION("GOOGLETRANSLATE(B1592,""en"",""ig"")"),"komishon")</f>
        <v>komishon</v>
      </c>
      <c r="E1592" s="2" t="str">
        <f ca="1">IFERROR(__xludf.DUMMYFUNCTION("GOOGLETRANSLATE(B1592,""en"",""fr"")"),"commission")</f>
        <v>commission</v>
      </c>
      <c r="F1592" s="2" t="str">
        <f ca="1">IFERROR(__xludf.DUMMYFUNCTION("GOOGLETRANSLATE(B1592,""en"",""it"")"),"commissione")</f>
        <v>commissione</v>
      </c>
      <c r="G1592" s="2" t="str">
        <f ca="1">IFERROR(__xludf.DUMMYFUNCTION("GOOGLETRANSLATE(B1592,""en"",""de"")"),"Kommission")</f>
        <v>Kommission</v>
      </c>
      <c r="H1592" s="2" t="str">
        <f ca="1">IFERROR(__xludf.DUMMYFUNCTION("GOOGLETRANSLATE(B1592,""en"",""zh"")"),"委员会")</f>
        <v>委员会</v>
      </c>
      <c r="I1592" s="2" t="str">
        <f ca="1">IFERROR(__xludf.DUMMYFUNCTION("GOOGLETRANSLATE(B1592,""en"",""gd"")"),"Coimisean")</f>
        <v>Coimisean</v>
      </c>
    </row>
    <row r="1593" spans="1:9" ht="14.25" customHeight="1" x14ac:dyDescent="0.3">
      <c r="A1593" s="2">
        <v>1592</v>
      </c>
      <c r="B1593" s="3" t="s">
        <v>1600</v>
      </c>
      <c r="C1593" s="2" t="str">
        <f ca="1">IFERROR(__xludf.DUMMYFUNCTION("GOOGLETRANSLATE(B1593, ""en"",""es"")"),"único")</f>
        <v>único</v>
      </c>
      <c r="D1593" s="2" t="str">
        <f ca="1">IFERROR(__xludf.DUMMYFUNCTION("GOOGLETRANSLATE(B1593,""en"",""ig"")"),"kepuruiche")</f>
        <v>kepuruiche</v>
      </c>
      <c r="E1593" s="2" t="str">
        <f ca="1">IFERROR(__xludf.DUMMYFUNCTION("GOOGLETRANSLATE(B1593,""en"",""fr"")"),"unique")</f>
        <v>unique</v>
      </c>
      <c r="F1593" s="2" t="str">
        <f ca="1">IFERROR(__xludf.DUMMYFUNCTION("GOOGLETRANSLATE(B1593,""en"",""it"")"),"unico")</f>
        <v>unico</v>
      </c>
      <c r="G1593" s="2" t="str">
        <f ca="1">IFERROR(__xludf.DUMMYFUNCTION("GOOGLETRANSLATE(B1593,""en"",""de"")"),"einzigartig")</f>
        <v>einzigartig</v>
      </c>
      <c r="H1593" s="2" t="str">
        <f ca="1">IFERROR(__xludf.DUMMYFUNCTION("GOOGLETRANSLATE(B1593,""en"",""zh"")"),"独特的")</f>
        <v>独特的</v>
      </c>
      <c r="I1593" s="2" t="str">
        <f ca="1">IFERROR(__xludf.DUMMYFUNCTION("GOOGLETRANSLATE(B1593,""en"",""gd"")"),"gun samhail")</f>
        <v>gun samhail</v>
      </c>
    </row>
    <row r="1594" spans="1:9" ht="14.25" customHeight="1" x14ac:dyDescent="0.3">
      <c r="A1594" s="2">
        <v>1593</v>
      </c>
      <c r="B1594" s="3" t="s">
        <v>1601</v>
      </c>
      <c r="C1594" s="2" t="str">
        <f ca="1">IFERROR(__xludf.DUMMYFUNCTION("GOOGLETRANSLATE(B1594, ""en"",""es"")"),"asociación")</f>
        <v>asociación</v>
      </c>
      <c r="D1594" s="2" t="str">
        <f ca="1">IFERROR(__xludf.DUMMYFUNCTION("GOOGLETRANSLATE(B1594,""en"",""ig"")"),"nkwu")</f>
        <v>nkwu</v>
      </c>
      <c r="E1594" s="2" t="str">
        <f ca="1">IFERROR(__xludf.DUMMYFUNCTION("GOOGLETRANSLATE(B1594,""en"",""fr"")"),"association")</f>
        <v>association</v>
      </c>
      <c r="F1594" s="2" t="str">
        <f ca="1">IFERROR(__xludf.DUMMYFUNCTION("GOOGLETRANSLATE(B1594,""en"",""it"")"),"associazione")</f>
        <v>associazione</v>
      </c>
      <c r="G1594" s="2" t="str">
        <f ca="1">IFERROR(__xludf.DUMMYFUNCTION("GOOGLETRANSLATE(B1594,""en"",""de"")"),"Verband")</f>
        <v>Verband</v>
      </c>
      <c r="H1594" s="2" t="str">
        <f ca="1">IFERROR(__xludf.DUMMYFUNCTION("GOOGLETRANSLATE(B1594,""en"",""zh"")"),"协会")</f>
        <v>协会</v>
      </c>
      <c r="I1594" s="2" t="str">
        <f ca="1">IFERROR(__xludf.DUMMYFUNCTION("GOOGLETRANSLATE(B1594,""en"",""gd"")"),"Comann")</f>
        <v>Comann</v>
      </c>
    </row>
    <row r="1595" spans="1:9" ht="14.25" customHeight="1" x14ac:dyDescent="0.3">
      <c r="A1595" s="2">
        <v>1594</v>
      </c>
      <c r="B1595" s="3" t="s">
        <v>1602</v>
      </c>
      <c r="C1595" s="2" t="str">
        <f ca="1">IFERROR(__xludf.DUMMYFUNCTION("GOOGLETRANSLATE(B1595, ""en"",""es"")"),"instrumento")</f>
        <v>instrumento</v>
      </c>
      <c r="D1595" s="2" t="str">
        <f ca="1">IFERROR(__xludf.DUMMYFUNCTION("GOOGLETRANSLATE(B1595,""en"",""ig"")"),"nkwa egwu")</f>
        <v>nkwa egwu</v>
      </c>
      <c r="E1595" s="2" t="str">
        <f ca="1">IFERROR(__xludf.DUMMYFUNCTION("GOOGLETRANSLATE(B1595,""en"",""fr"")"),"instrument")</f>
        <v>instrument</v>
      </c>
      <c r="F1595" s="2" t="str">
        <f ca="1">IFERROR(__xludf.DUMMYFUNCTION("GOOGLETRANSLATE(B1595,""en"",""it"")"),"strumento")</f>
        <v>strumento</v>
      </c>
      <c r="G1595" s="2" t="str">
        <f ca="1">IFERROR(__xludf.DUMMYFUNCTION("GOOGLETRANSLATE(B1595,""en"",""de"")"),"Instrument")</f>
        <v>Instrument</v>
      </c>
      <c r="H1595" s="2" t="str">
        <f ca="1">IFERROR(__xludf.DUMMYFUNCTION("GOOGLETRANSLATE(B1595,""en"",""zh"")"),"乐器")</f>
        <v>乐器</v>
      </c>
      <c r="I1595" s="2" t="str">
        <f ca="1">IFERROR(__xludf.DUMMYFUNCTION("GOOGLETRANSLATE(B1595,""en"",""gd"")"),"ionnstramaid")</f>
        <v>ionnstramaid</v>
      </c>
    </row>
    <row r="1596" spans="1:9" ht="14.25" customHeight="1" x14ac:dyDescent="0.3">
      <c r="A1596" s="2">
        <v>1595</v>
      </c>
      <c r="B1596" s="3" t="s">
        <v>1603</v>
      </c>
      <c r="C1596" s="2" t="str">
        <f ca="1">IFERROR(__xludf.DUMMYFUNCTION("GOOGLETRANSLATE(B1596, ""en"",""es"")"),"inversor")</f>
        <v>inversor</v>
      </c>
      <c r="D1596" s="2" t="str">
        <f ca="1">IFERROR(__xludf.DUMMYFUNCTION("GOOGLETRANSLATE(B1596,""en"",""ig"")"),"itinye ego")</f>
        <v>itinye ego</v>
      </c>
      <c r="E1596" s="2" t="str">
        <f ca="1">IFERROR(__xludf.DUMMYFUNCTION("GOOGLETRANSLATE(B1596,""en"",""fr"")"),"investisseur")</f>
        <v>investisseur</v>
      </c>
      <c r="F1596" s="2" t="str">
        <f ca="1">IFERROR(__xludf.DUMMYFUNCTION("GOOGLETRANSLATE(B1596,""en"",""it"")"),"investitore")</f>
        <v>investitore</v>
      </c>
      <c r="G1596" s="2" t="str">
        <f ca="1">IFERROR(__xludf.DUMMYFUNCTION("GOOGLETRANSLATE(B1596,""en"",""de"")"),"Investor")</f>
        <v>Investor</v>
      </c>
      <c r="H1596" s="2" t="str">
        <f ca="1">IFERROR(__xludf.DUMMYFUNCTION("GOOGLETRANSLATE(B1596,""en"",""zh"")"),"投资者")</f>
        <v>投资者</v>
      </c>
      <c r="I1596" s="2" t="str">
        <f ca="1">IFERROR(__xludf.DUMMYFUNCTION("GOOGLETRANSLATE(B1596,""en"",""gd"")"),"neach-tasgaidh")</f>
        <v>neach-tasgaidh</v>
      </c>
    </row>
    <row r="1597" spans="1:9" ht="14.25" customHeight="1" x14ac:dyDescent="0.3">
      <c r="A1597" s="2">
        <v>1596</v>
      </c>
      <c r="B1597" s="3" t="s">
        <v>1604</v>
      </c>
      <c r="C1597" s="2" t="str">
        <f ca="1">IFERROR(__xludf.DUMMYFUNCTION("GOOGLETRANSLATE(B1597, ""en"",""es"")"),"práctico")</f>
        <v>práctico</v>
      </c>
      <c r="D1597" s="2" t="str">
        <f ca="1">IFERROR(__xludf.DUMMYFUNCTION("GOOGLETRANSLATE(B1597,""en"",""ig"")"),"praktikal")</f>
        <v>praktikal</v>
      </c>
      <c r="E1597" s="2" t="str">
        <f ca="1">IFERROR(__xludf.DUMMYFUNCTION("GOOGLETRANSLATE(B1597,""en"",""fr"")"),"pratique")</f>
        <v>pratique</v>
      </c>
      <c r="F1597" s="2" t="str">
        <f ca="1">IFERROR(__xludf.DUMMYFUNCTION("GOOGLETRANSLATE(B1597,""en"",""it"")"),"pratico")</f>
        <v>pratico</v>
      </c>
      <c r="G1597" s="2" t="str">
        <f ca="1">IFERROR(__xludf.DUMMYFUNCTION("GOOGLETRANSLATE(B1597,""en"",""de"")"),"praktisch")</f>
        <v>praktisch</v>
      </c>
      <c r="H1597" s="2" t="str">
        <f ca="1">IFERROR(__xludf.DUMMYFUNCTION("GOOGLETRANSLATE(B1597,""en"",""zh"")"),"实际的")</f>
        <v>实际的</v>
      </c>
      <c r="I1597" s="2" t="str">
        <f ca="1">IFERROR(__xludf.DUMMYFUNCTION("GOOGLETRANSLATE(B1597,""en"",""gd"")"),"practaigeach")</f>
        <v>practaigeach</v>
      </c>
    </row>
    <row r="1598" spans="1:9" ht="14.25" customHeight="1" x14ac:dyDescent="0.3">
      <c r="A1598" s="2">
        <v>1597</v>
      </c>
      <c r="B1598" s="3" t="s">
        <v>1605</v>
      </c>
      <c r="C1598" s="2" t="str">
        <f ca="1">IFERROR(__xludf.DUMMYFUNCTION("GOOGLETRANSLATE(B1598, ""en"",""es"")"),"té")</f>
        <v>té</v>
      </c>
      <c r="D1598" s="2" t="str">
        <f ca="1">IFERROR(__xludf.DUMMYFUNCTION("GOOGLETRANSLATE(B1598,""en"",""ig"")"),"tii")</f>
        <v>tii</v>
      </c>
      <c r="E1598" s="2" t="str">
        <f ca="1">IFERROR(__xludf.DUMMYFUNCTION("GOOGLETRANSLATE(B1598,""en"",""fr"")"),"thé")</f>
        <v>thé</v>
      </c>
      <c r="F1598" s="2" t="str">
        <f ca="1">IFERROR(__xludf.DUMMYFUNCTION("GOOGLETRANSLATE(B1598,""en"",""it"")"),"tè")</f>
        <v>tè</v>
      </c>
      <c r="G1598" s="2" t="str">
        <f ca="1">IFERROR(__xludf.DUMMYFUNCTION("GOOGLETRANSLATE(B1598,""en"",""de"")"),"Tee")</f>
        <v>Tee</v>
      </c>
      <c r="H1598" s="2" t="str">
        <f ca="1">IFERROR(__xludf.DUMMYFUNCTION("GOOGLETRANSLATE(B1598,""en"",""zh"")"),"茶")</f>
        <v>茶</v>
      </c>
      <c r="I1598" s="2" t="str">
        <f ca="1">IFERROR(__xludf.DUMMYFUNCTION("GOOGLETRANSLATE(B1598,""en"",""gd"")"),"tì")</f>
        <v>tì</v>
      </c>
    </row>
    <row r="1599" spans="1:9" ht="14.25" customHeight="1" x14ac:dyDescent="0.3">
      <c r="A1599" s="2">
        <v>1598</v>
      </c>
      <c r="B1599" s="3" t="s">
        <v>1606</v>
      </c>
      <c r="C1599" s="2" t="str">
        <f ca="1">IFERROR(__xludf.DUMMYFUNCTION("GOOGLETRANSLATE(B1599, ""en"",""es"")"),"hermoso")</f>
        <v>hermoso</v>
      </c>
      <c r="D1599" s="2" t="str">
        <f ca="1">IFERROR(__xludf.DUMMYFUNCTION("GOOGLETRANSLATE(B1599,""en"",""ig"")"),"keoma")</f>
        <v>keoma</v>
      </c>
      <c r="E1599" s="2" t="str">
        <f ca="1">IFERROR(__xludf.DUMMYFUNCTION("GOOGLETRANSLATE(B1599,""en"",""fr"")"),"beau")</f>
        <v>beau</v>
      </c>
      <c r="F1599" s="2" t="str">
        <f ca="1">IFERROR(__xludf.DUMMYFUNCTION("GOOGLETRANSLATE(B1599,""en"",""it"")"),"bello")</f>
        <v>bello</v>
      </c>
      <c r="G1599" s="2" t="str">
        <f ca="1">IFERROR(__xludf.DUMMYFUNCTION("GOOGLETRANSLATE(B1599,""en"",""de"")"),"schön")</f>
        <v>schön</v>
      </c>
      <c r="H1599" s="2" t="str">
        <f ca="1">IFERROR(__xludf.DUMMYFUNCTION("GOOGLETRANSLATE(B1599,""en"",""zh"")"),"迷人的")</f>
        <v>迷人的</v>
      </c>
      <c r="I1599" s="2" t="str">
        <f ca="1">IFERROR(__xludf.DUMMYFUNCTION("GOOGLETRANSLATE(B1599,""en"",""gd"")"),"àlainn")</f>
        <v>àlainn</v>
      </c>
    </row>
    <row r="1600" spans="1:9" ht="14.25" customHeight="1" x14ac:dyDescent="0.3">
      <c r="A1600" s="2">
        <v>1599</v>
      </c>
      <c r="B1600" s="3" t="s">
        <v>1607</v>
      </c>
      <c r="C1600" s="2" t="str">
        <f ca="1">IFERROR(__xludf.DUMMYFUNCTION("GOOGLETRANSLATE(B1600, ""en"",""es"")"),"suave")</f>
        <v>suave</v>
      </c>
      <c r="D1600" s="2" t="str">
        <f ca="1">IFERROR(__xludf.DUMMYFUNCTION("GOOGLETRANSLATE(B1600,""en"",""ig"")"),"juu")</f>
        <v>juu</v>
      </c>
      <c r="E1600" s="2" t="str">
        <f ca="1">IFERROR(__xludf.DUMMYFUNCTION("GOOGLETRANSLATE(B1600,""en"",""fr"")"),"doux")</f>
        <v>doux</v>
      </c>
      <c r="F1600" s="2" t="str">
        <f ca="1">IFERROR(__xludf.DUMMYFUNCTION("GOOGLETRANSLATE(B1600,""en"",""it"")"),"morbido")</f>
        <v>morbido</v>
      </c>
      <c r="G1600" s="2" t="str">
        <f ca="1">IFERROR(__xludf.DUMMYFUNCTION("GOOGLETRANSLATE(B1600,""en"",""de"")"),"weich")</f>
        <v>weich</v>
      </c>
      <c r="H1600" s="2" t="str">
        <f ca="1">IFERROR(__xludf.DUMMYFUNCTION("GOOGLETRANSLATE(B1600,""en"",""zh"")"),"柔软的")</f>
        <v>柔软的</v>
      </c>
      <c r="I1600" s="2" t="str">
        <f ca="1">IFERROR(__xludf.DUMMYFUNCTION("GOOGLETRANSLATE(B1600,""en"",""gd"")"),"bog")</f>
        <v>bog</v>
      </c>
    </row>
    <row r="1601" spans="1:9" ht="14.25" customHeight="1" x14ac:dyDescent="0.3">
      <c r="A1601" s="2">
        <v>1600</v>
      </c>
      <c r="B1601" s="3" t="s">
        <v>1608</v>
      </c>
      <c r="C1601" s="2" t="str">
        <f ca="1">IFERROR(__xludf.DUMMYFUNCTION("GOOGLETRANSLATE(B1601, ""en"",""es"")"),"fila")</f>
        <v>fila</v>
      </c>
      <c r="D1601" s="2" t="str">
        <f ca="1">IFERROR(__xludf.DUMMYFUNCTION("GOOGLETRANSLATE(B1601,""en"",""ig"")"),"ahiri")</f>
        <v>ahiri</v>
      </c>
      <c r="E1601" s="2" t="str">
        <f ca="1">IFERROR(__xludf.DUMMYFUNCTION("GOOGLETRANSLATE(B1601,""en"",""fr"")"),"rangée")</f>
        <v>rangée</v>
      </c>
      <c r="F1601" s="2" t="str">
        <f ca="1">IFERROR(__xludf.DUMMYFUNCTION("GOOGLETRANSLATE(B1601,""en"",""it"")"),"riga")</f>
        <v>riga</v>
      </c>
      <c r="G1601" s="2" t="str">
        <f ca="1">IFERROR(__xludf.DUMMYFUNCTION("GOOGLETRANSLATE(B1601,""en"",""de"")"),"Reihe")</f>
        <v>Reihe</v>
      </c>
      <c r="H1601" s="2" t="str">
        <f ca="1">IFERROR(__xludf.DUMMYFUNCTION("GOOGLETRANSLATE(B1601,""en"",""zh"")"),"排")</f>
        <v>排</v>
      </c>
      <c r="I1601" s="2" t="str">
        <f ca="1">IFERROR(__xludf.DUMMYFUNCTION("GOOGLETRANSLATE(B1601,""en"",""gd"")"),"Sreath")</f>
        <v>Sreath</v>
      </c>
    </row>
    <row r="1602" spans="1:9" ht="14.25" customHeight="1" x14ac:dyDescent="0.3">
      <c r="A1602" s="2">
        <v>1601</v>
      </c>
      <c r="B1602" s="3" t="s">
        <v>1609</v>
      </c>
      <c r="C1602" s="2" t="str">
        <f ca="1">IFERROR(__xludf.DUMMYFUNCTION("GOOGLETRANSLATE(B1602, ""en"",""es"")"),"juventud")</f>
        <v>juventud</v>
      </c>
      <c r="D1602" s="2" t="str">
        <f ca="1">IFERROR(__xludf.DUMMYFUNCTION("GOOGLETRANSLATE(B1602,""en"",""ig"")"),"mgbe okoroobia")</f>
        <v>mgbe okoroobia</v>
      </c>
      <c r="E1602" s="2" t="str">
        <f ca="1">IFERROR(__xludf.DUMMYFUNCTION("GOOGLETRANSLATE(B1602,""en"",""fr"")"),"jeunesse")</f>
        <v>jeunesse</v>
      </c>
      <c r="F1602" s="2" t="str">
        <f ca="1">IFERROR(__xludf.DUMMYFUNCTION("GOOGLETRANSLATE(B1602,""en"",""it"")"),"gioventù")</f>
        <v>gioventù</v>
      </c>
      <c r="G1602" s="2" t="str">
        <f ca="1">IFERROR(__xludf.DUMMYFUNCTION("GOOGLETRANSLATE(B1602,""en"",""de"")"),"Jugend")</f>
        <v>Jugend</v>
      </c>
      <c r="H1602" s="2" t="str">
        <f ca="1">IFERROR(__xludf.DUMMYFUNCTION("GOOGLETRANSLATE(B1602,""en"",""zh"")"),"青年")</f>
        <v>青年</v>
      </c>
      <c r="I1602" s="2" t="str">
        <f ca="1">IFERROR(__xludf.DUMMYFUNCTION("GOOGLETRANSLATE(B1602,""en"",""gd"")"),"Òigridh")</f>
        <v>Òigridh</v>
      </c>
    </row>
    <row r="1603" spans="1:9" ht="14.25" customHeight="1" x14ac:dyDescent="0.3">
      <c r="A1603" s="2">
        <v>1602</v>
      </c>
      <c r="B1603" s="3" t="s">
        <v>1610</v>
      </c>
      <c r="C1603" s="2" t="str">
        <f ca="1">IFERROR(__xludf.DUMMYFUNCTION("GOOGLETRANSLATE(B1603, ""en"",""es"")"),"cerrar")</f>
        <v>cerrar</v>
      </c>
      <c r="D1603" s="2" t="str">
        <f ca="1">IFERROR(__xludf.DUMMYFUNCTION("GOOGLETRANSLATE(B1603,""en"",""ig"")"),"igbachi")</f>
        <v>igbachi</v>
      </c>
      <c r="E1603" s="2" t="str">
        <f ca="1">IFERROR(__xludf.DUMMYFUNCTION("GOOGLETRANSLATE(B1603,""en"",""fr"")"),"verrouillage")</f>
        <v>verrouillage</v>
      </c>
      <c r="F1603" s="2" t="str">
        <f ca="1">IFERROR(__xludf.DUMMYFUNCTION("GOOGLETRANSLATE(B1603,""en"",""it"")"),"serratura")</f>
        <v>serratura</v>
      </c>
      <c r="G1603" s="2" t="str">
        <f ca="1">IFERROR(__xludf.DUMMYFUNCTION("GOOGLETRANSLATE(B1603,""en"",""de"")"),"sperren")</f>
        <v>sperren</v>
      </c>
      <c r="H1603" s="2" t="str">
        <f ca="1">IFERROR(__xludf.DUMMYFUNCTION("GOOGLETRANSLATE(B1603,""en"",""zh"")"),"锁")</f>
        <v>锁</v>
      </c>
      <c r="I1603" s="2" t="str">
        <f ca="1">IFERROR(__xludf.DUMMYFUNCTION("GOOGLETRANSLATE(B1603,""en"",""gd"")"),"glas")</f>
        <v>glas</v>
      </c>
    </row>
    <row r="1604" spans="1:9" ht="14.25" customHeight="1" x14ac:dyDescent="0.3">
      <c r="A1604" s="2">
        <v>1603</v>
      </c>
      <c r="B1604" s="3" t="s">
        <v>1611</v>
      </c>
      <c r="C1604" s="2" t="str">
        <f ca="1">IFERROR(__xludf.DUMMYFUNCTION("GOOGLETRANSLATE(B1604, ""en"",""es"")"),"combustible")</f>
        <v>combustible</v>
      </c>
      <c r="D1604" s="2" t="str">
        <f ca="1">IFERROR(__xludf.DUMMYFUNCTION("GOOGLETRANSLATE(B1604,""en"",""ig"")"),"fuelu")</f>
        <v>fuelu</v>
      </c>
      <c r="E1604" s="2" t="str">
        <f ca="1">IFERROR(__xludf.DUMMYFUNCTION("GOOGLETRANSLATE(B1604,""en"",""fr"")"),"carburant")</f>
        <v>carburant</v>
      </c>
      <c r="F1604" s="2" t="str">
        <f ca="1">IFERROR(__xludf.DUMMYFUNCTION("GOOGLETRANSLATE(B1604,""en"",""it"")"),"carburante")</f>
        <v>carburante</v>
      </c>
      <c r="G1604" s="2" t="str">
        <f ca="1">IFERROR(__xludf.DUMMYFUNCTION("GOOGLETRANSLATE(B1604,""en"",""de"")"),"Kraftstoff")</f>
        <v>Kraftstoff</v>
      </c>
      <c r="H1604" s="2" t="str">
        <f ca="1">IFERROR(__xludf.DUMMYFUNCTION("GOOGLETRANSLATE(B1604,""en"",""zh"")"),"燃料")</f>
        <v>燃料</v>
      </c>
      <c r="I1604" s="2" t="str">
        <f ca="1">IFERROR(__xludf.DUMMYFUNCTION("GOOGLETRANSLATE(B1604,""en"",""gd"")"),"connadh")</f>
        <v>connadh</v>
      </c>
    </row>
    <row r="1605" spans="1:9" ht="14.25" customHeight="1" x14ac:dyDescent="0.3">
      <c r="A1605" s="2">
        <v>1604</v>
      </c>
      <c r="B1605" s="3" t="s">
        <v>1612</v>
      </c>
      <c r="C1605" s="2" t="str">
        <f ca="1">IFERROR(__xludf.DUMMYFUNCTION("GOOGLETRANSLATE(B1605, ""en"",""es"")"),"expectativa")</f>
        <v>expectativa</v>
      </c>
      <c r="D1605" s="2" t="str">
        <f ca="1">IFERROR(__xludf.DUMMYFUNCTION("GOOGLETRANSLATE(B1605,""en"",""ig"")"),"mbunobi")</f>
        <v>mbunobi</v>
      </c>
      <c r="E1605" s="2" t="str">
        <f ca="1">IFERROR(__xludf.DUMMYFUNCTION("GOOGLETRANSLATE(B1605,""en"",""fr"")"),"attente")</f>
        <v>attente</v>
      </c>
      <c r="F1605" s="2" t="str">
        <f ca="1">IFERROR(__xludf.DUMMYFUNCTION("GOOGLETRANSLATE(B1605,""en"",""it"")"),"aspettativa")</f>
        <v>aspettativa</v>
      </c>
      <c r="G1605" s="2" t="str">
        <f ca="1">IFERROR(__xludf.DUMMYFUNCTION("GOOGLETRANSLATE(B1605,""en"",""de"")"),"Erwartung")</f>
        <v>Erwartung</v>
      </c>
      <c r="H1605" s="2" t="str">
        <f ca="1">IFERROR(__xludf.DUMMYFUNCTION("GOOGLETRANSLATE(B1605,""en"",""zh"")"),"期待")</f>
        <v>期待</v>
      </c>
      <c r="I1605" s="2" t="str">
        <f ca="1">IFERROR(__xludf.DUMMYFUNCTION("GOOGLETRANSLATE(B1605,""en"",""gd"")"),"dùil")</f>
        <v>dùil</v>
      </c>
    </row>
    <row r="1606" spans="1:9" ht="14.25" customHeight="1" x14ac:dyDescent="0.3">
      <c r="A1606" s="2">
        <v>1605</v>
      </c>
      <c r="B1606" s="3" t="s">
        <v>1613</v>
      </c>
      <c r="C1606" s="2" t="str">
        <f ca="1">IFERROR(__xludf.DUMMYFUNCTION("GOOGLETRANSLATE(B1606, ""en"",""es"")"),"empleo")</f>
        <v>empleo</v>
      </c>
      <c r="D1606" s="2" t="str">
        <f ca="1">IFERROR(__xludf.DUMMYFUNCTION("GOOGLETRANSLATE(B1606,""en"",""ig"")"),"oru")</f>
        <v>oru</v>
      </c>
      <c r="E1606" s="2" t="str">
        <f ca="1">IFERROR(__xludf.DUMMYFUNCTION("GOOGLETRANSLATE(B1606,""en"",""fr"")"),"emploi")</f>
        <v>emploi</v>
      </c>
      <c r="F1606" s="2" t="str">
        <f ca="1">IFERROR(__xludf.DUMMYFUNCTION("GOOGLETRANSLATE(B1606,""en"",""it"")"),"occupazione")</f>
        <v>occupazione</v>
      </c>
      <c r="G1606" s="2" t="str">
        <f ca="1">IFERROR(__xludf.DUMMYFUNCTION("GOOGLETRANSLATE(B1606,""en"",""de"")"),"Anstellung")</f>
        <v>Anstellung</v>
      </c>
      <c r="H1606" s="2" t="str">
        <f ca="1">IFERROR(__xludf.DUMMYFUNCTION("GOOGLETRANSLATE(B1606,""en"",""zh"")"),"就业")</f>
        <v>就业</v>
      </c>
      <c r="I1606" s="2" t="str">
        <f ca="1">IFERROR(__xludf.DUMMYFUNCTION("GOOGLETRANSLATE(B1606,""en"",""gd"")"),"Cosnadh")</f>
        <v>Cosnadh</v>
      </c>
    </row>
    <row r="1607" spans="1:9" ht="14.25" customHeight="1" x14ac:dyDescent="0.3">
      <c r="A1607" s="2">
        <v>1606</v>
      </c>
      <c r="B1607" s="3" t="s">
        <v>1614</v>
      </c>
      <c r="C1607" s="2" t="str">
        <f ca="1">IFERROR(__xludf.DUMMYFUNCTION("GOOGLETRANSLATE(B1607, ""en"",""es"")"),"celebrar")</f>
        <v>celebrar</v>
      </c>
      <c r="D1607" s="2" t="str">
        <f ca="1">IFERROR(__xludf.DUMMYFUNCTION("GOOGLETRANSLATE(B1607,""en"",""ig"")"),"ime mmeme")</f>
        <v>ime mmeme</v>
      </c>
      <c r="E1607" s="2" t="str">
        <f ca="1">IFERROR(__xludf.DUMMYFUNCTION("GOOGLETRANSLATE(B1607,""en"",""fr"")"),"célébrer")</f>
        <v>célébrer</v>
      </c>
      <c r="F1607" s="2" t="str">
        <f ca="1">IFERROR(__xludf.DUMMYFUNCTION("GOOGLETRANSLATE(B1607,""en"",""it"")"),"celebrare")</f>
        <v>celebrare</v>
      </c>
      <c r="G1607" s="2" t="str">
        <f ca="1">IFERROR(__xludf.DUMMYFUNCTION("GOOGLETRANSLATE(B1607,""en"",""de"")"),"feiern")</f>
        <v>feiern</v>
      </c>
      <c r="H1607" s="2" t="str">
        <f ca="1">IFERROR(__xludf.DUMMYFUNCTION("GOOGLETRANSLATE(B1607,""en"",""zh"")"),"庆祝")</f>
        <v>庆祝</v>
      </c>
      <c r="I1607" s="2" t="str">
        <f ca="1">IFERROR(__xludf.DUMMYFUNCTION("GOOGLETRANSLATE(B1607,""en"",""gd"")"),"Comharrachadh")</f>
        <v>Comharrachadh</v>
      </c>
    </row>
    <row r="1608" spans="1:9" ht="14.25" customHeight="1" x14ac:dyDescent="0.3">
      <c r="A1608" s="2">
        <v>1607</v>
      </c>
      <c r="B1608" s="3" t="s">
        <v>1615</v>
      </c>
      <c r="C1608" s="2" t="str">
        <f ca="1">IFERROR(__xludf.DUMMYFUNCTION("GOOGLETRANSLATE(B1608, ""en"",""es"")"),"sexual")</f>
        <v>sexual</v>
      </c>
      <c r="D1608" s="2" t="str">
        <f ca="1">IFERROR(__xludf.DUMMYFUNCTION("GOOGLETRANSLATE(B1608,""en"",""ig"")"),"seksual")</f>
        <v>seksual</v>
      </c>
      <c r="E1608" s="2" t="str">
        <f ca="1">IFERROR(__xludf.DUMMYFUNCTION("GOOGLETRANSLATE(B1608,""en"",""fr"")"),"sexuel")</f>
        <v>sexuel</v>
      </c>
      <c r="F1608" s="2" t="str">
        <f ca="1">IFERROR(__xludf.DUMMYFUNCTION("GOOGLETRANSLATE(B1608,""en"",""it"")"),"sessuale")</f>
        <v>sessuale</v>
      </c>
      <c r="G1608" s="2" t="str">
        <f ca="1">IFERROR(__xludf.DUMMYFUNCTION("GOOGLETRANSLATE(B1608,""en"",""de"")"),"sexuell")</f>
        <v>sexuell</v>
      </c>
      <c r="H1608" s="2" t="str">
        <f ca="1">IFERROR(__xludf.DUMMYFUNCTION("GOOGLETRANSLATE(B1608,""en"",""zh"")"),"性")</f>
        <v>性</v>
      </c>
      <c r="I1608" s="2" t="str">
        <f ca="1">IFERROR(__xludf.DUMMYFUNCTION("GOOGLETRANSLATE(B1608,""en"",""gd"")"),"Feiseual")</f>
        <v>Feiseual</v>
      </c>
    </row>
    <row r="1609" spans="1:9" ht="14.25" customHeight="1" x14ac:dyDescent="0.3">
      <c r="A1609" s="2">
        <v>1608</v>
      </c>
      <c r="B1609" s="3" t="s">
        <v>1616</v>
      </c>
      <c r="C1609" s="2" t="str">
        <f ca="1">IFERROR(__xludf.DUMMYFUNCTION("GOOGLETRANSLATE(B1609, ""en"",""es"")"),"hombro")</f>
        <v>hombro</v>
      </c>
      <c r="D1609" s="2" t="str">
        <f ca="1">IFERROR(__xludf.DUMMYFUNCTION("GOOGLETRANSLATE(B1609,""en"",""ig"")"),"ubuaka")</f>
        <v>ubuaka</v>
      </c>
      <c r="E1609" s="2" t="str">
        <f ca="1">IFERROR(__xludf.DUMMYFUNCTION("GOOGLETRANSLATE(B1609,""en"",""fr"")"),"épaule")</f>
        <v>épaule</v>
      </c>
      <c r="F1609" s="2" t="str">
        <f ca="1">IFERROR(__xludf.DUMMYFUNCTION("GOOGLETRANSLATE(B1609,""en"",""it"")"),"spalla")</f>
        <v>spalla</v>
      </c>
      <c r="G1609" s="2" t="str">
        <f ca="1">IFERROR(__xludf.DUMMYFUNCTION("GOOGLETRANSLATE(B1609,""en"",""de"")"),"Schulter")</f>
        <v>Schulter</v>
      </c>
      <c r="H1609" s="2" t="str">
        <f ca="1">IFERROR(__xludf.DUMMYFUNCTION("GOOGLETRANSLATE(B1609,""en"",""zh"")"),"肩膀")</f>
        <v>肩膀</v>
      </c>
      <c r="I1609" s="2" t="str">
        <f ca="1">IFERROR(__xludf.DUMMYFUNCTION("GOOGLETRANSLATE(B1609,""en"",""gd"")"),"ghualainn")</f>
        <v>ghualainn</v>
      </c>
    </row>
    <row r="1610" spans="1:9" ht="14.25" customHeight="1" x14ac:dyDescent="0.3">
      <c r="A1610" s="2">
        <v>1609</v>
      </c>
      <c r="B1610" s="3" t="s">
        <v>1617</v>
      </c>
      <c r="C1610" s="2" t="str">
        <f ca="1">IFERROR(__xludf.DUMMYFUNCTION("GOOGLETRANSLATE(B1610, ""en"",""es"")"),"aliento")</f>
        <v>aliento</v>
      </c>
      <c r="D1610" s="2" t="str">
        <f ca="1">IFERROR(__xludf.DUMMYFUNCTION("GOOGLETRANSLATE(B1610,""en"",""ig"")"),"nkuru ume")</f>
        <v>nkuru ume</v>
      </c>
      <c r="E1610" s="2" t="str">
        <f ca="1">IFERROR(__xludf.DUMMYFUNCTION("GOOGLETRANSLATE(B1610,""en"",""fr"")"),"haleine")</f>
        <v>haleine</v>
      </c>
      <c r="F1610" s="2" t="str">
        <f ca="1">IFERROR(__xludf.DUMMYFUNCTION("GOOGLETRANSLATE(B1610,""en"",""it"")"),"respiro")</f>
        <v>respiro</v>
      </c>
      <c r="G1610" s="2" t="str">
        <f ca="1">IFERROR(__xludf.DUMMYFUNCTION("GOOGLETRANSLATE(B1610,""en"",""de"")"),"Atem")</f>
        <v>Atem</v>
      </c>
      <c r="H1610" s="2" t="str">
        <f ca="1">IFERROR(__xludf.DUMMYFUNCTION("GOOGLETRANSLATE(B1610,""en"",""zh"")"),"呼吸")</f>
        <v>呼吸</v>
      </c>
      <c r="I1610" s="2" t="str">
        <f ca="1">IFERROR(__xludf.DUMMYFUNCTION("GOOGLETRANSLATE(B1610,""en"",""gd"")"),"anail")</f>
        <v>anail</v>
      </c>
    </row>
    <row r="1611" spans="1:9" ht="14.25" customHeight="1" x14ac:dyDescent="0.3">
      <c r="A1611" s="2">
        <v>1610</v>
      </c>
      <c r="B1611" s="3" t="s">
        <v>1618</v>
      </c>
      <c r="C1611" s="2" t="str">
        <f ca="1">IFERROR(__xludf.DUMMYFUNCTION("GOOGLETRANSLATE(B1611, ""en"",""es"")"),"cada vez más")</f>
        <v>cada vez más</v>
      </c>
      <c r="D1611" s="2" t="str">
        <f ca="1">IFERROR(__xludf.DUMMYFUNCTION("GOOGLETRANSLATE(B1611,""en"",""ig"")"),"na-ekwuwanye")</f>
        <v>na-ekwuwanye</v>
      </c>
      <c r="E1611" s="2" t="str">
        <f ca="1">IFERROR(__xludf.DUMMYFUNCTION("GOOGLETRANSLATE(B1611,""en"",""fr"")"),"de plus en plus")</f>
        <v>de plus en plus</v>
      </c>
      <c r="F1611" s="2" t="str">
        <f ca="1">IFERROR(__xludf.DUMMYFUNCTION("GOOGLETRANSLATE(B1611,""en"",""it"")"),"sempre più")</f>
        <v>sempre più</v>
      </c>
      <c r="G1611" s="2" t="str">
        <f ca="1">IFERROR(__xludf.DUMMYFUNCTION("GOOGLETRANSLATE(B1611,""en"",""de"")"),"zunehmend")</f>
        <v>zunehmend</v>
      </c>
      <c r="H1611" s="2" t="str">
        <f ca="1">IFERROR(__xludf.DUMMYFUNCTION("GOOGLETRANSLATE(B1611,""en"",""zh"")"),"日益")</f>
        <v>日益</v>
      </c>
      <c r="I1611" s="2" t="str">
        <f ca="1">IFERROR(__xludf.DUMMYFUNCTION("GOOGLETRANSLATE(B1611,""en"",""gd"")"),"Barrachd is barrachd")</f>
        <v>Barrachd is barrachd</v>
      </c>
    </row>
    <row r="1612" spans="1:9" ht="14.25" customHeight="1" x14ac:dyDescent="0.3">
      <c r="A1612" s="2">
        <v>1611</v>
      </c>
      <c r="B1612" s="3" t="s">
        <v>1619</v>
      </c>
      <c r="C1612" s="2" t="str">
        <f ca="1">IFERROR(__xludf.DUMMYFUNCTION("GOOGLETRANSLATE(B1612, ""en"",""es"")"),"importar")</f>
        <v>importar</v>
      </c>
      <c r="D1612" s="2" t="str">
        <f ca="1">IFERROR(__xludf.DUMMYFUNCTION("GOOGLETRANSLATE(B1612,""en"",""ig"")"),"mbubata")</f>
        <v>mbubata</v>
      </c>
      <c r="E1612" s="2" t="str">
        <f ca="1">IFERROR(__xludf.DUMMYFUNCTION("GOOGLETRANSLATE(B1612,""en"",""fr"")"),"importer")</f>
        <v>importer</v>
      </c>
      <c r="F1612" s="2" t="str">
        <f ca="1">IFERROR(__xludf.DUMMYFUNCTION("GOOGLETRANSLATE(B1612,""en"",""it"")"),"importare")</f>
        <v>importare</v>
      </c>
      <c r="G1612" s="2" t="str">
        <f ca="1">IFERROR(__xludf.DUMMYFUNCTION("GOOGLETRANSLATE(B1612,""en"",""de"")"),"importieren")</f>
        <v>importieren</v>
      </c>
      <c r="H1612" s="2" t="str">
        <f ca="1">IFERROR(__xludf.DUMMYFUNCTION("GOOGLETRANSLATE(B1612,""en"",""zh"")"),"进口")</f>
        <v>进口</v>
      </c>
      <c r="I1612" s="2" t="str">
        <f ca="1">IFERROR(__xludf.DUMMYFUNCTION("GOOGLETRANSLATE(B1612,""en"",""gd"")"),"Import")</f>
        <v>Import</v>
      </c>
    </row>
    <row r="1613" spans="1:9" ht="14.25" customHeight="1" x14ac:dyDescent="0.3">
      <c r="A1613" s="2">
        <v>1612</v>
      </c>
      <c r="B1613" s="3" t="s">
        <v>1620</v>
      </c>
      <c r="C1613" s="2" t="str">
        <f ca="1">IFERROR(__xludf.DUMMYFUNCTION("GOOGLETRANSLATE(B1613, ""en"",""es"")"),"botella")</f>
        <v>botella</v>
      </c>
      <c r="D1613" s="2" t="str">
        <f ca="1">IFERROR(__xludf.DUMMYFUNCTION("GOOGLETRANSLATE(B1613,""en"",""ig"")"),"boturu")</f>
        <v>boturu</v>
      </c>
      <c r="E1613" s="2" t="str">
        <f ca="1">IFERROR(__xludf.DUMMYFUNCTION("GOOGLETRANSLATE(B1613,""en"",""fr"")"),"bouteille")</f>
        <v>bouteille</v>
      </c>
      <c r="F1613" s="2" t="str">
        <f ca="1">IFERROR(__xludf.DUMMYFUNCTION("GOOGLETRANSLATE(B1613,""en"",""it"")"),"bottiglia")</f>
        <v>bottiglia</v>
      </c>
      <c r="G1613" s="2" t="str">
        <f ca="1">IFERROR(__xludf.DUMMYFUNCTION("GOOGLETRANSLATE(B1613,""en"",""de"")"),"Flasche")</f>
        <v>Flasche</v>
      </c>
      <c r="H1613" s="2" t="str">
        <f ca="1">IFERROR(__xludf.DUMMYFUNCTION("GOOGLETRANSLATE(B1613,""en"",""zh"")"),"瓶子")</f>
        <v>瓶子</v>
      </c>
      <c r="I1613" s="2" t="str">
        <f ca="1">IFERROR(__xludf.DUMMYFUNCTION("GOOGLETRANSLATE(B1613,""en"",""gd"")"),"botal")</f>
        <v>botal</v>
      </c>
    </row>
    <row r="1614" spans="1:9" ht="14.25" customHeight="1" x14ac:dyDescent="0.3">
      <c r="A1614" s="2">
        <v>1613</v>
      </c>
      <c r="B1614" s="3" t="s">
        <v>1621</v>
      </c>
      <c r="C1614" s="2" t="str">
        <f ca="1">IFERROR(__xludf.DUMMYFUNCTION("GOOGLETRANSLATE(B1614, ""en"",""es"")"),"nosotros mismos")</f>
        <v>nosotros mismos</v>
      </c>
      <c r="D1614" s="2" t="str">
        <f ca="1">IFERROR(__xludf.DUMMYFUNCTION("GOOGLETRANSLATE(B1614,""en"",""ig"")"),"n'onwe anyi")</f>
        <v>n'onwe anyi</v>
      </c>
      <c r="E1614" s="2" t="str">
        <f ca="1">IFERROR(__xludf.DUMMYFUNCTION("GOOGLETRANSLATE(B1614,""en"",""fr"")"),"nous-mêmes")</f>
        <v>nous-mêmes</v>
      </c>
      <c r="F1614" s="2" t="str">
        <f ca="1">IFERROR(__xludf.DUMMYFUNCTION("GOOGLETRANSLATE(B1614,""en"",""it"")"),"noi stessi")</f>
        <v>noi stessi</v>
      </c>
      <c r="G1614" s="2" t="str">
        <f ca="1">IFERROR(__xludf.DUMMYFUNCTION("GOOGLETRANSLATE(B1614,""en"",""de"")"),"uns selbst")</f>
        <v>uns selbst</v>
      </c>
      <c r="H1614" s="2" t="str">
        <f ca="1">IFERROR(__xludf.DUMMYFUNCTION("GOOGLETRANSLATE(B1614,""en"",""zh"")"),"我们自己")</f>
        <v>我们自己</v>
      </c>
      <c r="I1614" s="2" t="str">
        <f ca="1">IFERROR(__xludf.DUMMYFUNCTION("GOOGLETRANSLATE(B1614,""en"",""gd"")"),"sinn fhìn")</f>
        <v>sinn fhìn</v>
      </c>
    </row>
    <row r="1615" spans="1:9" ht="14.25" customHeight="1" x14ac:dyDescent="0.3">
      <c r="A1615" s="2">
        <v>1614</v>
      </c>
      <c r="B1615" s="3" t="s">
        <v>1622</v>
      </c>
      <c r="C1615" s="2" t="str">
        <f ca="1">IFERROR(__xludf.DUMMYFUNCTION("GOOGLETRANSLATE(B1615, ""en"",""es"")"),"hoja")</f>
        <v>hoja</v>
      </c>
      <c r="D1615" s="2" t="str">
        <f ca="1">IFERROR(__xludf.DUMMYFUNCTION("GOOGLETRANSLATE(B1615,""en"",""ig"")"),"akwandina")</f>
        <v>akwandina</v>
      </c>
      <c r="E1615" s="2" t="str">
        <f ca="1">IFERROR(__xludf.DUMMYFUNCTION("GOOGLETRANSLATE(B1615,""en"",""fr"")"),"feuille")</f>
        <v>feuille</v>
      </c>
      <c r="F1615" s="2" t="str">
        <f ca="1">IFERROR(__xludf.DUMMYFUNCTION("GOOGLETRANSLATE(B1615,""en"",""it"")"),"foglio")</f>
        <v>foglio</v>
      </c>
      <c r="G1615" s="2" t="str">
        <f ca="1">IFERROR(__xludf.DUMMYFUNCTION("GOOGLETRANSLATE(B1615,""en"",""de"")"),"Blatt")</f>
        <v>Blatt</v>
      </c>
      <c r="H1615" s="2" t="str">
        <f ca="1">IFERROR(__xludf.DUMMYFUNCTION("GOOGLETRANSLATE(B1615,""en"",""zh"")"),"床单")</f>
        <v>床单</v>
      </c>
      <c r="I1615" s="2" t="str">
        <f ca="1">IFERROR(__xludf.DUMMYFUNCTION("GOOGLETRANSLATE(B1615,""en"",""gd"")"),"duilleag")</f>
        <v>duilleag</v>
      </c>
    </row>
    <row r="1616" spans="1:9" ht="14.25" customHeight="1" x14ac:dyDescent="0.3">
      <c r="A1616" s="2">
        <v>1615</v>
      </c>
      <c r="B1616" s="3" t="s">
        <v>1623</v>
      </c>
      <c r="C1616" s="2" t="str">
        <f ca="1">IFERROR(__xludf.DUMMYFUNCTION("GOOGLETRANSLATE(B1616, ""en"",""es"")"),"motor")</f>
        <v>motor</v>
      </c>
      <c r="D1616" s="2" t="str">
        <f ca="1">IFERROR(__xludf.DUMMYFUNCTION("GOOGLETRANSLATE(B1616,""en"",""ig"")"),"enjin")</f>
        <v>enjin</v>
      </c>
      <c r="E1616" s="2" t="str">
        <f ca="1">IFERROR(__xludf.DUMMYFUNCTION("GOOGLETRANSLATE(B1616,""en"",""fr"")"),"moteur")</f>
        <v>moteur</v>
      </c>
      <c r="F1616" s="2" t="str">
        <f ca="1">IFERROR(__xludf.DUMMYFUNCTION("GOOGLETRANSLATE(B1616,""en"",""it"")"),"motore")</f>
        <v>motore</v>
      </c>
      <c r="G1616" s="2" t="str">
        <f ca="1">IFERROR(__xludf.DUMMYFUNCTION("GOOGLETRANSLATE(B1616,""en"",""de"")"),"Motor")</f>
        <v>Motor</v>
      </c>
      <c r="H1616" s="2" t="str">
        <f ca="1">IFERROR(__xludf.DUMMYFUNCTION("GOOGLETRANSLATE(B1616,""en"",""zh"")"),"引擎")</f>
        <v>引擎</v>
      </c>
      <c r="I1616" s="2" t="str">
        <f ca="1">IFERROR(__xludf.DUMMYFUNCTION("GOOGLETRANSLATE(B1616,""en"",""gd"")"),"einnsean")</f>
        <v>einnsean</v>
      </c>
    </row>
    <row r="1617" spans="1:9" ht="14.25" customHeight="1" x14ac:dyDescent="0.3">
      <c r="A1617" s="2">
        <v>1616</v>
      </c>
      <c r="B1617" s="3" t="s">
        <v>1624</v>
      </c>
      <c r="C1617" s="2" t="str">
        <f ca="1">IFERROR(__xludf.DUMMYFUNCTION("GOOGLETRANSLATE(B1617, ""en"",""es"")"),"elenco")</f>
        <v>elenco</v>
      </c>
      <c r="D1617" s="2" t="str">
        <f ca="1">IFERROR(__xludf.DUMMYFUNCTION("GOOGLETRANSLATE(B1617,""en"",""ig"")"),"igba")</f>
        <v>igba</v>
      </c>
      <c r="E1617" s="2" t="str">
        <f ca="1">IFERROR(__xludf.DUMMYFUNCTION("GOOGLETRANSLATE(B1617,""en"",""fr"")"),"casting")</f>
        <v>casting</v>
      </c>
      <c r="F1617" s="2" t="str">
        <f ca="1">IFERROR(__xludf.DUMMYFUNCTION("GOOGLETRANSLATE(B1617,""en"",""it"")"),"lancio")</f>
        <v>lancio</v>
      </c>
      <c r="G1617" s="2" t="str">
        <f ca="1">IFERROR(__xludf.DUMMYFUNCTION("GOOGLETRANSLATE(B1617,""en"",""de"")"),"gießen")</f>
        <v>gießen</v>
      </c>
      <c r="H1617" s="2" t="str">
        <f ca="1">IFERROR(__xludf.DUMMYFUNCTION("GOOGLETRANSLATE(B1617,""en"",""zh"")"),"投掷")</f>
        <v>投掷</v>
      </c>
      <c r="I1617" s="2" t="str">
        <f ca="1">IFERROR(__xludf.DUMMYFUNCTION("GOOGLETRANSLATE(B1617,""en"",""gd"")"),"tilgeadh")</f>
        <v>tilgeadh</v>
      </c>
    </row>
    <row r="1618" spans="1:9" ht="14.25" customHeight="1" x14ac:dyDescent="0.3">
      <c r="A1618" s="2">
        <v>1617</v>
      </c>
      <c r="B1618" s="3" t="s">
        <v>1625</v>
      </c>
      <c r="C1618" s="2" t="str">
        <f ca="1">IFERROR(__xludf.DUMMYFUNCTION("GOOGLETRANSLATE(B1618, ""en"",""es"")"),"noción")</f>
        <v>noción</v>
      </c>
      <c r="D1618" s="2" t="str">
        <f ca="1">IFERROR(__xludf.DUMMYFUNCTION("GOOGLETRANSLATE(B1618,""en"",""ig"")"),"ihembuuche")</f>
        <v>ihembuuche</v>
      </c>
      <c r="E1618" s="2" t="str">
        <f ca="1">IFERROR(__xludf.DUMMYFUNCTION("GOOGLETRANSLATE(B1618,""en"",""fr"")"),"notion")</f>
        <v>notion</v>
      </c>
      <c r="F1618" s="2" t="str">
        <f ca="1">IFERROR(__xludf.DUMMYFUNCTION("GOOGLETRANSLATE(B1618,""en"",""it"")"),"nozione")</f>
        <v>nozione</v>
      </c>
      <c r="G1618" s="2" t="str">
        <f ca="1">IFERROR(__xludf.DUMMYFUNCTION("GOOGLETRANSLATE(B1618,""en"",""de"")"),"Vorstellung")</f>
        <v>Vorstellung</v>
      </c>
      <c r="H1618" s="2" t="str">
        <f ca="1">IFERROR(__xludf.DUMMYFUNCTION("GOOGLETRANSLATE(B1618,""en"",""zh"")"),"概念")</f>
        <v>概念</v>
      </c>
      <c r="I1618" s="2" t="str">
        <f ca="1">IFERROR(__xludf.DUMMYFUNCTION("GOOGLETRANSLATE(B1618,""en"",""gd"")"),"beachd")</f>
        <v>beachd</v>
      </c>
    </row>
    <row r="1619" spans="1:9" ht="14.25" customHeight="1" x14ac:dyDescent="0.3">
      <c r="A1619" s="2">
        <v>1618</v>
      </c>
      <c r="B1619" s="3" t="s">
        <v>1626</v>
      </c>
      <c r="C1619" s="2" t="str">
        <f ca="1">IFERROR(__xludf.DUMMYFUNCTION("GOOGLETRANSLATE(B1619, ""en"",""es"")"),"conservador")</f>
        <v>conservador</v>
      </c>
      <c r="D1619" s="2" t="str">
        <f ca="1">IFERROR(__xludf.DUMMYFUNCTION("GOOGLETRANSLATE(B1619,""en"",""ig"")"),"doo anya")</f>
        <v>doo anya</v>
      </c>
      <c r="E1619" s="2" t="str">
        <f ca="1">IFERROR(__xludf.DUMMYFUNCTION("GOOGLETRANSLATE(B1619,""en"",""fr"")"),"conservateur")</f>
        <v>conservateur</v>
      </c>
      <c r="F1619" s="2" t="str">
        <f ca="1">IFERROR(__xludf.DUMMYFUNCTION("GOOGLETRANSLATE(B1619,""en"",""it"")"),"conservatore")</f>
        <v>conservatore</v>
      </c>
      <c r="G1619" s="2" t="str">
        <f ca="1">IFERROR(__xludf.DUMMYFUNCTION("GOOGLETRANSLATE(B1619,""en"",""de"")"),"konservativ")</f>
        <v>konservativ</v>
      </c>
      <c r="H1619" s="2" t="str">
        <f ca="1">IFERROR(__xludf.DUMMYFUNCTION("GOOGLETRANSLATE(B1619,""en"",""zh"")"),"保守的")</f>
        <v>保守的</v>
      </c>
      <c r="I1619" s="2" t="str">
        <f ca="1">IFERROR(__xludf.DUMMYFUNCTION("GOOGLETRANSLATE(B1619,""en"",""gd"")"),"Tòraidheach")</f>
        <v>Tòraidheach</v>
      </c>
    </row>
    <row r="1620" spans="1:9" ht="14.25" customHeight="1" x14ac:dyDescent="0.3">
      <c r="A1620" s="2">
        <v>1619</v>
      </c>
      <c r="B1620" s="3" t="s">
        <v>1627</v>
      </c>
      <c r="C1620" s="2" t="str">
        <f ca="1">IFERROR(__xludf.DUMMYFUNCTION("GOOGLETRANSLATE(B1620, ""en"",""es"")"),"viaje")</f>
        <v>viaje</v>
      </c>
      <c r="D1620" s="2" t="str">
        <f ca="1">IFERROR(__xludf.DUMMYFUNCTION("GOOGLETRANSLATE(B1620,""en"",""ig"")"),"njem")</f>
        <v>njem</v>
      </c>
      <c r="E1620" s="2" t="str">
        <f ca="1">IFERROR(__xludf.DUMMYFUNCTION("GOOGLETRANSLATE(B1620,""en"",""fr"")"),"voyage")</f>
        <v>voyage</v>
      </c>
      <c r="F1620" s="2" t="str">
        <f ca="1">IFERROR(__xludf.DUMMYFUNCTION("GOOGLETRANSLATE(B1620,""en"",""it"")"),"viaggio")</f>
        <v>viaggio</v>
      </c>
      <c r="G1620" s="2" t="str">
        <f ca="1">IFERROR(__xludf.DUMMYFUNCTION("GOOGLETRANSLATE(B1620,""en"",""de"")"),"Reise")</f>
        <v>Reise</v>
      </c>
      <c r="H1620" s="2" t="str">
        <f ca="1">IFERROR(__xludf.DUMMYFUNCTION("GOOGLETRANSLATE(B1620,""en"",""zh"")"),"旅行")</f>
        <v>旅行</v>
      </c>
      <c r="I1620" s="2" t="str">
        <f ca="1">IFERROR(__xludf.DUMMYFUNCTION("GOOGLETRANSLATE(B1620,""en"",""gd"")"),"Turas")</f>
        <v>Turas</v>
      </c>
    </row>
    <row r="1621" spans="1:9" ht="14.25" customHeight="1" x14ac:dyDescent="0.3">
      <c r="A1621" s="2">
        <v>1620</v>
      </c>
      <c r="B1621" s="3" t="s">
        <v>1628</v>
      </c>
      <c r="C1621" s="2" t="str">
        <f ca="1">IFERROR(__xludf.DUMMYFUNCTION("GOOGLETRANSLATE(B1621, ""en"",""es"")"),"oposición")</f>
        <v>oposición</v>
      </c>
      <c r="D1621" s="2" t="str">
        <f ca="1">IFERROR(__xludf.DUMMYFUNCTION("GOOGLETRANSLATE(B1621,""en"",""ig"")"),"mbusoagha")</f>
        <v>mbusoagha</v>
      </c>
      <c r="E1621" s="2" t="str">
        <f ca="1">IFERROR(__xludf.DUMMYFUNCTION("GOOGLETRANSLATE(B1621,""en"",""fr"")"),"opposition")</f>
        <v>opposition</v>
      </c>
      <c r="F1621" s="2" t="str">
        <f ca="1">IFERROR(__xludf.DUMMYFUNCTION("GOOGLETRANSLATE(B1621,""en"",""it"")"),"opposizione")</f>
        <v>opposizione</v>
      </c>
      <c r="G1621" s="2" t="str">
        <f ca="1">IFERROR(__xludf.DUMMYFUNCTION("GOOGLETRANSLATE(B1621,""en"",""de"")"),"Opposition")</f>
        <v>Opposition</v>
      </c>
      <c r="H1621" s="2" t="str">
        <f ca="1">IFERROR(__xludf.DUMMYFUNCTION("GOOGLETRANSLATE(B1621,""en"",""zh"")"),"反对")</f>
        <v>反对</v>
      </c>
      <c r="I1621" s="2" t="str">
        <f ca="1">IFERROR(__xludf.DUMMYFUNCTION("GOOGLETRANSLATE(B1621,""en"",""gd"")"),"Dùbhlan")</f>
        <v>Dùbhlan</v>
      </c>
    </row>
    <row r="1622" spans="1:9" ht="14.25" customHeight="1" x14ac:dyDescent="0.3">
      <c r="A1622" s="2">
        <v>1621</v>
      </c>
      <c r="B1622" s="3" t="s">
        <v>1629</v>
      </c>
      <c r="C1622" s="2" t="str">
        <f ca="1">IFERROR(__xludf.DUMMYFUNCTION("GOOGLETRANSLATE(B1622, ""en"",""es"")"),"alivio")</f>
        <v>alivio</v>
      </c>
      <c r="D1622" s="2" t="str">
        <f ca="1">IFERROR(__xludf.DUMMYFUNCTION("GOOGLETRANSLATE(B1622,""en"",""ig"")"),"nnwereonwe")</f>
        <v>nnwereonwe</v>
      </c>
      <c r="E1622" s="2" t="str">
        <f ca="1">IFERROR(__xludf.DUMMYFUNCTION("GOOGLETRANSLATE(B1622,""en"",""fr"")"),"relief")</f>
        <v>relief</v>
      </c>
      <c r="F1622" s="2" t="str">
        <f ca="1">IFERROR(__xludf.DUMMYFUNCTION("GOOGLETRANSLATE(B1622,""en"",""it"")"),"sollievo")</f>
        <v>sollievo</v>
      </c>
      <c r="G1622" s="2" t="str">
        <f ca="1">IFERROR(__xludf.DUMMYFUNCTION("GOOGLETRANSLATE(B1622,""en"",""de"")"),"Erleichterung")</f>
        <v>Erleichterung</v>
      </c>
      <c r="H1622" s="2" t="str">
        <f ca="1">IFERROR(__xludf.DUMMYFUNCTION("GOOGLETRANSLATE(B1622,""en"",""zh"")"),"宽慰")</f>
        <v>宽慰</v>
      </c>
      <c r="I1622" s="2" t="str">
        <f ca="1">IFERROR(__xludf.DUMMYFUNCTION("GOOGLETRANSLATE(B1622,""en"",""gd"")"),"faochadh")</f>
        <v>faochadh</v>
      </c>
    </row>
    <row r="1623" spans="1:9" ht="14.25" customHeight="1" x14ac:dyDescent="0.3">
      <c r="A1623" s="2">
        <v>1622</v>
      </c>
      <c r="B1623" s="3" t="s">
        <v>1630</v>
      </c>
      <c r="C1623" s="2" t="str">
        <f ca="1">IFERROR(__xludf.DUMMYFUNCTION("GOOGLETRANSLATE(B1623, ""en"",""es"")"),"deuda")</f>
        <v>deuda</v>
      </c>
      <c r="D1623" s="2" t="str">
        <f ca="1">IFERROR(__xludf.DUMMYFUNCTION("GOOGLETRANSLATE(B1623,""en"",""ig"")"),"ugwo")</f>
        <v>ugwo</v>
      </c>
      <c r="E1623" s="2" t="str">
        <f ca="1">IFERROR(__xludf.DUMMYFUNCTION("GOOGLETRANSLATE(B1623,""en"",""fr"")"),"dette")</f>
        <v>dette</v>
      </c>
      <c r="F1623" s="2" t="str">
        <f ca="1">IFERROR(__xludf.DUMMYFUNCTION("GOOGLETRANSLATE(B1623,""en"",""it"")"),"debito")</f>
        <v>debito</v>
      </c>
      <c r="G1623" s="2" t="str">
        <f ca="1">IFERROR(__xludf.DUMMYFUNCTION("GOOGLETRANSLATE(B1623,""en"",""de"")"),"Schulden")</f>
        <v>Schulden</v>
      </c>
      <c r="H1623" s="2" t="str">
        <f ca="1">IFERROR(__xludf.DUMMYFUNCTION("GOOGLETRANSLATE(B1623,""en"",""zh"")"),"债务")</f>
        <v>债务</v>
      </c>
      <c r="I1623" s="2" t="str">
        <f ca="1">IFERROR(__xludf.DUMMYFUNCTION("GOOGLETRANSLATE(B1623,""en"",""gd"")"),"fiachan")</f>
        <v>fiachan</v>
      </c>
    </row>
    <row r="1624" spans="1:9" ht="14.25" customHeight="1" x14ac:dyDescent="0.3">
      <c r="A1624" s="2">
        <v>1623</v>
      </c>
      <c r="B1624" s="3" t="s">
        <v>1631</v>
      </c>
      <c r="C1624" s="2" t="str">
        <f ca="1">IFERROR(__xludf.DUMMYFUNCTION("GOOGLETRANSLATE(B1624, ""en"",""es"")"),"honor")</f>
        <v>honor</v>
      </c>
      <c r="D1624" s="2" t="str">
        <f ca="1">IFERROR(__xludf.DUMMYFUNCTION("GOOGLETRANSLATE(B1624,""en"",""ig"")"),"echichi")</f>
        <v>echichi</v>
      </c>
      <c r="E1624" s="2" t="str">
        <f ca="1">IFERROR(__xludf.DUMMYFUNCTION("GOOGLETRANSLATE(B1624,""en"",""fr"")"),"honneur")</f>
        <v>honneur</v>
      </c>
      <c r="F1624" s="2" t="str">
        <f ca="1">IFERROR(__xludf.DUMMYFUNCTION("GOOGLETRANSLATE(B1624,""en"",""it"")"),"onore")</f>
        <v>onore</v>
      </c>
      <c r="G1624" s="2" t="str">
        <f ca="1">IFERROR(__xludf.DUMMYFUNCTION("GOOGLETRANSLATE(B1624,""en"",""de"")"),"Ehre")</f>
        <v>Ehre</v>
      </c>
      <c r="H1624" s="2" t="str">
        <f ca="1">IFERROR(__xludf.DUMMYFUNCTION("GOOGLETRANSLATE(B1624,""en"",""zh"")"),"荣誉")</f>
        <v>荣誉</v>
      </c>
      <c r="I1624" s="2" t="str">
        <f ca="1">IFERROR(__xludf.DUMMYFUNCTION("GOOGLETRANSLATE(B1624,""en"",""gd"")"),"Honor")</f>
        <v>Honor</v>
      </c>
    </row>
    <row r="1625" spans="1:9" ht="14.25" customHeight="1" x14ac:dyDescent="0.3">
      <c r="A1625" s="2">
        <v>1624</v>
      </c>
      <c r="B1625" s="3" t="s">
        <v>1632</v>
      </c>
      <c r="C1625" s="2" t="str">
        <f ca="1">IFERROR(__xludf.DUMMYFUNCTION("GOOGLETRANSLATE(B1625, ""en"",""es"")"),"resultado")</f>
        <v>resultado</v>
      </c>
      <c r="D1625" s="2" t="str">
        <f ca="1">IFERROR(__xludf.DUMMYFUNCTION("GOOGLETRANSLATE(B1625,""en"",""ig"")"),"ndaputa")</f>
        <v>ndaputa</v>
      </c>
      <c r="E1625" s="2" t="str">
        <f ca="1">IFERROR(__xludf.DUMMYFUNCTION("GOOGLETRANSLATE(B1625,""en"",""fr"")"),"résultat")</f>
        <v>résultat</v>
      </c>
      <c r="F1625" s="2" t="str">
        <f ca="1">IFERROR(__xludf.DUMMYFUNCTION("GOOGLETRANSLATE(B1625,""en"",""it"")"),"risultato")</f>
        <v>risultato</v>
      </c>
      <c r="G1625" s="2" t="str">
        <f ca="1">IFERROR(__xludf.DUMMYFUNCTION("GOOGLETRANSLATE(B1625,""en"",""de"")"),"Ergebnis")</f>
        <v>Ergebnis</v>
      </c>
      <c r="H1625" s="2" t="str">
        <f ca="1">IFERROR(__xludf.DUMMYFUNCTION("GOOGLETRANSLATE(B1625,""en"",""zh"")"),"结果")</f>
        <v>结果</v>
      </c>
      <c r="I1625" s="2" t="str">
        <f ca="1">IFERROR(__xludf.DUMMYFUNCTION("GOOGLETRANSLATE(B1625,""en"",""gd"")"),"Toradh")</f>
        <v>Toradh</v>
      </c>
    </row>
    <row r="1626" spans="1:9" ht="14.25" customHeight="1" x14ac:dyDescent="0.3">
      <c r="A1626" s="2">
        <v>1625</v>
      </c>
      <c r="B1626" s="3" t="s">
        <v>1633</v>
      </c>
      <c r="C1626" s="2" t="str">
        <f ca="1">IFERROR(__xludf.DUMMYFUNCTION("GOOGLETRANSLATE(B1626, ""en"",""es"")"),"culpa")</f>
        <v>culpa</v>
      </c>
      <c r="D1626" s="2" t="str">
        <f ca="1">IFERROR(__xludf.DUMMYFUNCTION("GOOGLETRANSLATE(B1626,""en"",""ig"")"),"uta")</f>
        <v>uta</v>
      </c>
      <c r="E1626" s="2" t="str">
        <f ca="1">IFERROR(__xludf.DUMMYFUNCTION("GOOGLETRANSLATE(B1626,""en"",""fr"")"),"blâmer")</f>
        <v>blâmer</v>
      </c>
      <c r="F1626" s="2" t="str">
        <f ca="1">IFERROR(__xludf.DUMMYFUNCTION("GOOGLETRANSLATE(B1626,""en"",""it"")"),"colpa")</f>
        <v>colpa</v>
      </c>
      <c r="G1626" s="2" t="str">
        <f ca="1">IFERROR(__xludf.DUMMYFUNCTION("GOOGLETRANSLATE(B1626,""en"",""de"")"),"beschuldigen")</f>
        <v>beschuldigen</v>
      </c>
      <c r="H1626" s="2" t="str">
        <f ca="1">IFERROR(__xludf.DUMMYFUNCTION("GOOGLETRANSLATE(B1626,""en"",""zh"")"),"责备")</f>
        <v>责备</v>
      </c>
      <c r="I1626" s="2" t="str">
        <f ca="1">IFERROR(__xludf.DUMMYFUNCTION("GOOGLETRANSLATE(B1626,""en"",""gd"")"),"a 'choire")</f>
        <v>a 'choire</v>
      </c>
    </row>
    <row r="1627" spans="1:9" ht="14.25" customHeight="1" x14ac:dyDescent="0.3">
      <c r="A1627" s="2">
        <v>1626</v>
      </c>
      <c r="B1627" s="3" t="s">
        <v>1634</v>
      </c>
      <c r="C1627" s="2" t="str">
        <f ca="1">IFERROR(__xludf.DUMMYFUNCTION("GOOGLETRANSLATE(B1627, ""en"",""es"")"),"explicación")</f>
        <v>explicación</v>
      </c>
      <c r="D1627" s="2" t="str">
        <f ca="1">IFERROR(__xludf.DUMMYFUNCTION("GOOGLETRANSLATE(B1627,""en"",""ig"")"),"nkowa")</f>
        <v>nkowa</v>
      </c>
      <c r="E1627" s="2" t="str">
        <f ca="1">IFERROR(__xludf.DUMMYFUNCTION("GOOGLETRANSLATE(B1627,""en"",""fr"")"),"explication")</f>
        <v>explication</v>
      </c>
      <c r="F1627" s="2" t="str">
        <f ca="1">IFERROR(__xludf.DUMMYFUNCTION("GOOGLETRANSLATE(B1627,""en"",""it"")"),"spiegazione")</f>
        <v>spiegazione</v>
      </c>
      <c r="G1627" s="2" t="str">
        <f ca="1">IFERROR(__xludf.DUMMYFUNCTION("GOOGLETRANSLATE(B1627,""en"",""de"")"),"Erläuterung")</f>
        <v>Erläuterung</v>
      </c>
      <c r="H1627" s="2" t="str">
        <f ca="1">IFERROR(__xludf.DUMMYFUNCTION("GOOGLETRANSLATE(B1627,""en"",""zh"")"),"解释")</f>
        <v>解释</v>
      </c>
      <c r="I1627" s="2" t="str">
        <f ca="1">IFERROR(__xludf.DUMMYFUNCTION("GOOGLETRANSLATE(B1627,""en"",""gd"")"),"Mìneachadh")</f>
        <v>Mìneachadh</v>
      </c>
    </row>
    <row r="1628" spans="1:9" ht="14.25" customHeight="1" x14ac:dyDescent="0.3">
      <c r="A1628" s="2">
        <v>1627</v>
      </c>
      <c r="B1628" s="3" t="s">
        <v>1635</v>
      </c>
      <c r="C1628" s="2" t="str">
        <f ca="1">IFERROR(__xludf.DUMMYFUNCTION("GOOGLETRANSLATE(B1628, ""en"",""es"")"),"surgir")</f>
        <v>surgir</v>
      </c>
      <c r="D1628" s="2" t="str">
        <f ca="1">IFERROR(__xludf.DUMMYFUNCTION("GOOGLETRANSLATE(B1628,""en"",""ig"")"),"ibili")</f>
        <v>ibili</v>
      </c>
      <c r="E1628" s="2" t="str">
        <f ca="1">IFERROR(__xludf.DUMMYFUNCTION("GOOGLETRANSLATE(B1628,""en"",""fr"")"),"surgir")</f>
        <v>surgir</v>
      </c>
      <c r="F1628" s="2" t="str">
        <f ca="1">IFERROR(__xludf.DUMMYFUNCTION("GOOGLETRANSLATE(B1628,""en"",""it"")"),"presentarsi")</f>
        <v>presentarsi</v>
      </c>
      <c r="G1628" s="2" t="str">
        <f ca="1">IFERROR(__xludf.DUMMYFUNCTION("GOOGLETRANSLATE(B1628,""en"",""de"")"),"entstehen")</f>
        <v>entstehen</v>
      </c>
      <c r="H1628" s="2" t="str">
        <f ca="1">IFERROR(__xludf.DUMMYFUNCTION("GOOGLETRANSLATE(B1628,""en"",""zh"")"),"出现")</f>
        <v>出现</v>
      </c>
      <c r="I1628" s="2" t="str">
        <f ca="1">IFERROR(__xludf.DUMMYFUNCTION("GOOGLETRANSLATE(B1628,""en"",""gd"")"),"èirich")</f>
        <v>èirich</v>
      </c>
    </row>
    <row r="1629" spans="1:9" ht="14.25" customHeight="1" x14ac:dyDescent="0.3">
      <c r="A1629" s="2">
        <v>1628</v>
      </c>
      <c r="B1629" s="3" t="s">
        <v>1636</v>
      </c>
      <c r="C1629" s="2" t="str">
        <f ca="1">IFERROR(__xludf.DUMMYFUNCTION("GOOGLETRANSLATE(B1629, ""en"",""es"")"),"musical")</f>
        <v>musical</v>
      </c>
      <c r="D1629" s="2" t="str">
        <f ca="1">IFERROR(__xludf.DUMMYFUNCTION("GOOGLETRANSLATE(B1629,""en"",""ig"")"),"miziikal")</f>
        <v>miziikal</v>
      </c>
      <c r="E1629" s="2" t="str">
        <f ca="1">IFERROR(__xludf.DUMMYFUNCTION("GOOGLETRANSLATE(B1629,""en"",""fr"")"),"musical")</f>
        <v>musical</v>
      </c>
      <c r="F1629" s="2" t="str">
        <f ca="1">IFERROR(__xludf.DUMMYFUNCTION("GOOGLETRANSLATE(B1629,""en"",""it"")"),"musicale")</f>
        <v>musicale</v>
      </c>
      <c r="G1629" s="2" t="str">
        <f ca="1">IFERROR(__xludf.DUMMYFUNCTION("GOOGLETRANSLATE(B1629,""en"",""de"")"),"Musical")</f>
        <v>Musical</v>
      </c>
      <c r="H1629" s="2" t="str">
        <f ca="1">IFERROR(__xludf.DUMMYFUNCTION("GOOGLETRANSLATE(B1629,""en"",""zh"")"),"音乐")</f>
        <v>音乐</v>
      </c>
      <c r="I1629" s="2" t="str">
        <f ca="1">IFERROR(__xludf.DUMMYFUNCTION("GOOGLETRANSLATE(B1629,""en"",""gd"")"),"ceòlmhor")</f>
        <v>ceòlmhor</v>
      </c>
    </row>
    <row r="1630" spans="1:9" ht="14.25" customHeight="1" x14ac:dyDescent="0.3">
      <c r="A1630" s="2">
        <v>1629</v>
      </c>
      <c r="B1630" s="3" t="s">
        <v>1637</v>
      </c>
      <c r="C1630" s="2" t="str">
        <f ca="1">IFERROR(__xludf.DUMMYFUNCTION("GOOGLETRANSLATE(B1630, ""en"",""es"")"),"recuperar")</f>
        <v>recuperar</v>
      </c>
      <c r="D1630" s="2" t="str">
        <f ca="1">IFERROR(__xludf.DUMMYFUNCTION("GOOGLETRANSLATE(B1630,""en"",""ig"")"),"naputa")</f>
        <v>naputa</v>
      </c>
      <c r="E1630" s="2" t="str">
        <f ca="1">IFERROR(__xludf.DUMMYFUNCTION("GOOGLETRANSLATE(B1630,""en"",""fr"")"),"récupérer")</f>
        <v>récupérer</v>
      </c>
      <c r="F1630" s="2" t="str">
        <f ca="1">IFERROR(__xludf.DUMMYFUNCTION("GOOGLETRANSLATE(B1630,""en"",""it"")"),"recuperare")</f>
        <v>recuperare</v>
      </c>
      <c r="G1630" s="2" t="str">
        <f ca="1">IFERROR(__xludf.DUMMYFUNCTION("GOOGLETRANSLATE(B1630,""en"",""de"")"),"genesen")</f>
        <v>genesen</v>
      </c>
      <c r="H1630" s="2" t="str">
        <f ca="1">IFERROR(__xludf.DUMMYFUNCTION("GOOGLETRANSLATE(B1630,""en"",""zh"")"),"恢复")</f>
        <v>恢复</v>
      </c>
      <c r="I1630" s="2" t="str">
        <f ca="1">IFERROR(__xludf.DUMMYFUNCTION("GOOGLETRANSLATE(B1630,""en"",""gd"")"),"faighinn air ais")</f>
        <v>faighinn air ais</v>
      </c>
    </row>
    <row r="1631" spans="1:9" ht="14.25" customHeight="1" x14ac:dyDescent="0.3">
      <c r="A1631" s="2">
        <v>1630</v>
      </c>
      <c r="B1631" s="3" t="s">
        <v>1638</v>
      </c>
      <c r="C1631" s="2" t="str">
        <f ca="1">IFERROR(__xludf.DUMMYFUNCTION("GOOGLETRANSLATE(B1631, ""en"",""es"")"),"papá")</f>
        <v>papá</v>
      </c>
      <c r="D1631" s="2" t="str">
        <f ca="1">IFERROR(__xludf.DUMMYFUNCTION("GOOGLETRANSLATE(B1631,""en"",""ig"")"),"nna")</f>
        <v>nna</v>
      </c>
      <c r="E1631" s="2" t="str">
        <f ca="1">IFERROR(__xludf.DUMMYFUNCTION("GOOGLETRANSLATE(B1631,""en"",""fr"")"),"papa")</f>
        <v>papa</v>
      </c>
      <c r="F1631" s="2" t="str">
        <f ca="1">IFERROR(__xludf.DUMMYFUNCTION("GOOGLETRANSLATE(B1631,""en"",""it"")"),"Papà")</f>
        <v>Papà</v>
      </c>
      <c r="G1631" s="2" t="str">
        <f ca="1">IFERROR(__xludf.DUMMYFUNCTION("GOOGLETRANSLATE(B1631,""en"",""de"")"),"Papa")</f>
        <v>Papa</v>
      </c>
      <c r="H1631" s="2" t="str">
        <f ca="1">IFERROR(__xludf.DUMMYFUNCTION("GOOGLETRANSLATE(B1631,""en"",""zh"")"),"爸爸")</f>
        <v>爸爸</v>
      </c>
      <c r="I1631" s="2" t="str">
        <f ca="1">IFERROR(__xludf.DUMMYFUNCTION("GOOGLETRANSLATE(B1631,""en"",""gd"")"),"Dad")</f>
        <v>Dad</v>
      </c>
    </row>
    <row r="1632" spans="1:9" ht="14.25" customHeight="1" x14ac:dyDescent="0.3">
      <c r="A1632" s="2">
        <v>1631</v>
      </c>
      <c r="B1632" s="3" t="s">
        <v>1639</v>
      </c>
      <c r="C1632" s="2" t="str">
        <f ca="1">IFERROR(__xludf.DUMMYFUNCTION("GOOGLETRANSLATE(B1632, ""en"",""es"")"),"estirar")</f>
        <v>estirar</v>
      </c>
      <c r="D1632" s="2" t="str">
        <f ca="1">IFERROR(__xludf.DUMMYFUNCTION("GOOGLETRANSLATE(B1632,""en"",""ig"")"),"igbati")</f>
        <v>igbati</v>
      </c>
      <c r="E1632" s="2" t="str">
        <f ca="1">IFERROR(__xludf.DUMMYFUNCTION("GOOGLETRANSLATE(B1632,""en"",""fr"")"),"extensible")</f>
        <v>extensible</v>
      </c>
      <c r="F1632" s="2" t="str">
        <f ca="1">IFERROR(__xludf.DUMMYFUNCTION("GOOGLETRANSLATE(B1632,""en"",""it"")"),"stirata")</f>
        <v>stirata</v>
      </c>
      <c r="G1632" s="2" t="str">
        <f ca="1">IFERROR(__xludf.DUMMYFUNCTION("GOOGLETRANSLATE(B1632,""en"",""de"")"),"strecken")</f>
        <v>strecken</v>
      </c>
      <c r="H1632" s="2" t="str">
        <f ca="1">IFERROR(__xludf.DUMMYFUNCTION("GOOGLETRANSLATE(B1632,""en"",""zh"")"),"拉紧")</f>
        <v>拉紧</v>
      </c>
      <c r="I1632" s="2" t="str">
        <f ca="1">IFERROR(__xludf.DUMMYFUNCTION("GOOGLETRANSLATE(B1632,""en"",""gd"")"),"sìneadh")</f>
        <v>sìneadh</v>
      </c>
    </row>
    <row r="1633" spans="1:9" ht="14.25" customHeight="1" x14ac:dyDescent="0.3">
      <c r="A1633" s="2">
        <v>1632</v>
      </c>
      <c r="B1633" s="3" t="s">
        <v>1640</v>
      </c>
      <c r="C1633" s="2" t="str">
        <f ca="1">IFERROR(__xludf.DUMMYFUNCTION("GOOGLETRANSLATE(B1633, ""en"",""es"")"),"declarar")</f>
        <v>declarar</v>
      </c>
      <c r="D1633" s="2" t="str">
        <f ca="1">IFERROR(__xludf.DUMMYFUNCTION("GOOGLETRANSLATE(B1633,""en"",""ig"")"),"ikwusa")</f>
        <v>ikwusa</v>
      </c>
      <c r="E1633" s="2" t="str">
        <f ca="1">IFERROR(__xludf.DUMMYFUNCTION("GOOGLETRANSLATE(B1633,""en"",""fr"")"),"déclarer")</f>
        <v>déclarer</v>
      </c>
      <c r="F1633" s="2" t="str">
        <f ca="1">IFERROR(__xludf.DUMMYFUNCTION("GOOGLETRANSLATE(B1633,""en"",""it"")"),"dichiarare")</f>
        <v>dichiarare</v>
      </c>
      <c r="G1633" s="2" t="str">
        <f ca="1">IFERROR(__xludf.DUMMYFUNCTION("GOOGLETRANSLATE(B1633,""en"",""de"")"),"erklären")</f>
        <v>erklären</v>
      </c>
      <c r="H1633" s="2" t="str">
        <f ca="1">IFERROR(__xludf.DUMMYFUNCTION("GOOGLETRANSLATE(B1633,""en"",""zh"")"),"宣布")</f>
        <v>宣布</v>
      </c>
      <c r="I1633" s="2" t="str">
        <f ca="1">IFERROR(__xludf.DUMMYFUNCTION("GOOGLETRANSLATE(B1633,""en"",""gd"")"),"cuir an cèill")</f>
        <v>cuir an cèill</v>
      </c>
    </row>
    <row r="1634" spans="1:9" ht="14.25" customHeight="1" x14ac:dyDescent="0.3">
      <c r="A1634" s="2">
        <v>1633</v>
      </c>
      <c r="B1634" s="3" t="s">
        <v>1641</v>
      </c>
      <c r="C1634" s="2" t="str">
        <f ca="1">IFERROR(__xludf.DUMMYFUNCTION("GOOGLETRANSLATE(B1634, ""en"",""es"")"),"jubilarse")</f>
        <v>jubilarse</v>
      </c>
      <c r="D1634" s="2" t="str">
        <f ca="1">IFERROR(__xludf.DUMMYFUNCTION("GOOGLETRANSLATE(B1634,""en"",""ig"")"),"ila ozuzi ike nka")</f>
        <v>ila ozuzi ike nka</v>
      </c>
      <c r="E1634" s="2" t="str">
        <f ca="1">IFERROR(__xludf.DUMMYFUNCTION("GOOGLETRANSLATE(B1634,""en"",""fr"")"),"se retirer")</f>
        <v>se retirer</v>
      </c>
      <c r="F1634" s="2" t="str">
        <f ca="1">IFERROR(__xludf.DUMMYFUNCTION("GOOGLETRANSLATE(B1634,""en"",""it"")"),"andare in pensione")</f>
        <v>andare in pensione</v>
      </c>
      <c r="G1634" s="2" t="str">
        <f ca="1">IFERROR(__xludf.DUMMYFUNCTION("GOOGLETRANSLATE(B1634,""en"",""de"")"),"ausscheiden")</f>
        <v>ausscheiden</v>
      </c>
      <c r="H1634" s="2" t="str">
        <f ca="1">IFERROR(__xludf.DUMMYFUNCTION("GOOGLETRANSLATE(B1634,""en"",""zh"")"),"退休")</f>
        <v>退休</v>
      </c>
      <c r="I1634" s="2" t="str">
        <f ca="1">IFERROR(__xludf.DUMMYFUNCTION("GOOGLETRANSLATE(B1634,""en"",""gd"")"),"leigidh e dheth a dhreuchd")</f>
        <v>leigidh e dheth a dhreuchd</v>
      </c>
    </row>
    <row r="1635" spans="1:9" ht="14.25" customHeight="1" x14ac:dyDescent="0.3">
      <c r="A1635" s="2">
        <v>1634</v>
      </c>
      <c r="B1635" s="3" t="s">
        <v>1642</v>
      </c>
      <c r="C1635" s="2" t="str">
        <f ca="1">IFERROR(__xludf.DUMMYFUNCTION("GOOGLETRANSLATE(B1635, ""en"",""es"")"),"diminuto")</f>
        <v>diminuto</v>
      </c>
      <c r="D1635" s="2" t="str">
        <f ca="1">IFERROR(__xludf.DUMMYFUNCTION("GOOGLETRANSLATE(B1635,""en"",""ig"")"),"kentakiri")</f>
        <v>kentakiri</v>
      </c>
      <c r="E1635" s="2" t="str">
        <f ca="1">IFERROR(__xludf.DUMMYFUNCTION("GOOGLETRANSLATE(B1635,""en"",""fr"")"),"minuscule")</f>
        <v>minuscule</v>
      </c>
      <c r="F1635" s="2" t="str">
        <f ca="1">IFERROR(__xludf.DUMMYFUNCTION("GOOGLETRANSLATE(B1635,""en"",""it"")"),"minuscolo")</f>
        <v>minuscolo</v>
      </c>
      <c r="G1635" s="2" t="str">
        <f ca="1">IFERROR(__xludf.DUMMYFUNCTION("GOOGLETRANSLATE(B1635,""en"",""de"")"),"winzig")</f>
        <v>winzig</v>
      </c>
      <c r="H1635" s="2" t="str">
        <f ca="1">IFERROR(__xludf.DUMMYFUNCTION("GOOGLETRANSLATE(B1635,""en"",""zh"")"),"微小的")</f>
        <v>微小的</v>
      </c>
      <c r="I1635" s="2" t="str">
        <f ca="1">IFERROR(__xludf.DUMMYFUNCTION("GOOGLETRANSLATE(B1635,""en"",""gd"")"),"Tiny")</f>
        <v>Tiny</v>
      </c>
    </row>
    <row r="1636" spans="1:9" ht="14.25" customHeight="1" x14ac:dyDescent="0.3">
      <c r="A1636" s="2">
        <v>1635</v>
      </c>
      <c r="B1636" s="3" t="s">
        <v>1643</v>
      </c>
      <c r="C1636" s="2" t="str">
        <f ca="1">IFERROR(__xludf.DUMMYFUNCTION("GOOGLETRANSLATE(B1636, ""en"",""es"")"),"cuidadoso")</f>
        <v>cuidadoso</v>
      </c>
      <c r="D1636" s="2" t="str">
        <f ca="1">IFERROR(__xludf.DUMMYFUNCTION("GOOGLETRANSLATE(B1636,""en"",""ig"")"),"ikpako onu")</f>
        <v>ikpako onu</v>
      </c>
      <c r="E1636" s="2" t="str">
        <f ca="1">IFERROR(__xludf.DUMMYFUNCTION("GOOGLETRANSLATE(B1636,""en"",""fr"")"),"prudent")</f>
        <v>prudent</v>
      </c>
      <c r="F1636" s="2" t="str">
        <f ca="1">IFERROR(__xludf.DUMMYFUNCTION("GOOGLETRANSLATE(B1636,""en"",""it"")"),"attento")</f>
        <v>attento</v>
      </c>
      <c r="G1636" s="2" t="str">
        <f ca="1">IFERROR(__xludf.DUMMYFUNCTION("GOOGLETRANSLATE(B1636,""en"",""de"")"),"vorsichtig")</f>
        <v>vorsichtig</v>
      </c>
      <c r="H1636" s="2" t="str">
        <f ca="1">IFERROR(__xludf.DUMMYFUNCTION("GOOGLETRANSLATE(B1636,""en"",""zh"")"),"小心")</f>
        <v>小心</v>
      </c>
      <c r="I1636" s="2" t="str">
        <f ca="1">IFERROR(__xludf.DUMMYFUNCTION("GOOGLETRANSLATE(B1636,""en"",""gd"")"),"faiceallach")</f>
        <v>faiceallach</v>
      </c>
    </row>
    <row r="1637" spans="1:9" ht="14.25" customHeight="1" x14ac:dyDescent="0.3">
      <c r="A1637" s="2">
        <v>1636</v>
      </c>
      <c r="B1637" s="3" t="s">
        <v>1644</v>
      </c>
      <c r="C1637" s="2" t="str">
        <f ca="1">IFERROR(__xludf.DUMMYFUNCTION("GOOGLETRANSLATE(B1637, ""en"",""es"")"),"adecuado")</f>
        <v>adecuado</v>
      </c>
      <c r="D1637" s="2" t="str">
        <f ca="1">IFERROR(__xludf.DUMMYFUNCTION("GOOGLETRANSLATE(B1637,""en"",""ig"")"),"nka dabaranu")</f>
        <v>nka dabaranu</v>
      </c>
      <c r="E1637" s="2" t="str">
        <f ca="1">IFERROR(__xludf.DUMMYFUNCTION("GOOGLETRANSLATE(B1637,""en"",""fr"")"),"approprié")</f>
        <v>approprié</v>
      </c>
      <c r="F1637" s="2" t="str">
        <f ca="1">IFERROR(__xludf.DUMMYFUNCTION("GOOGLETRANSLATE(B1637,""en"",""it"")"),"adatto")</f>
        <v>adatto</v>
      </c>
      <c r="G1637" s="2" t="str">
        <f ca="1">IFERROR(__xludf.DUMMYFUNCTION("GOOGLETRANSLATE(B1637,""en"",""de"")"),"geeignet")</f>
        <v>geeignet</v>
      </c>
      <c r="H1637" s="2" t="str">
        <f ca="1">IFERROR(__xludf.DUMMYFUNCTION("GOOGLETRANSLATE(B1637,""en"",""zh"")"),"合适的")</f>
        <v>合适的</v>
      </c>
      <c r="I1637" s="2" t="str">
        <f ca="1">IFERROR(__xludf.DUMMYFUNCTION("GOOGLETRANSLATE(B1637,""en"",""gd"")"),"freagarrach")</f>
        <v>freagarrach</v>
      </c>
    </row>
    <row r="1638" spans="1:9" ht="14.25" customHeight="1" x14ac:dyDescent="0.3">
      <c r="A1638" s="2">
        <v>1637</v>
      </c>
      <c r="B1638" s="3" t="s">
        <v>1645</v>
      </c>
      <c r="C1638" s="2" t="str">
        <f ca="1">IFERROR(__xludf.DUMMYFUNCTION("GOOGLETRANSLATE(B1638, ""en"",""es"")"),"nativo")</f>
        <v>nativo</v>
      </c>
      <c r="D1638" s="2" t="str">
        <f ca="1">IFERROR(__xludf.DUMMYFUNCTION("GOOGLETRANSLATE(B1638,""en"",""ig"")"),"nwaafo")</f>
        <v>nwaafo</v>
      </c>
      <c r="E1638" s="2" t="str">
        <f ca="1">IFERROR(__xludf.DUMMYFUNCTION("GOOGLETRANSLATE(B1638,""en"",""fr"")"),"indigène")</f>
        <v>indigène</v>
      </c>
      <c r="F1638" s="2" t="str">
        <f ca="1">IFERROR(__xludf.DUMMYFUNCTION("GOOGLETRANSLATE(B1638,""en"",""it"")"),"nativo")</f>
        <v>nativo</v>
      </c>
      <c r="G1638" s="2" t="str">
        <f ca="1">IFERROR(__xludf.DUMMYFUNCTION("GOOGLETRANSLATE(B1638,""en"",""de"")"),"einheimisch")</f>
        <v>einheimisch</v>
      </c>
      <c r="H1638" s="2" t="str">
        <f ca="1">IFERROR(__xludf.DUMMYFUNCTION("GOOGLETRANSLATE(B1638,""en"",""zh"")"),"本国的")</f>
        <v>本国的</v>
      </c>
      <c r="I1638" s="2" t="str">
        <f ca="1">IFERROR(__xludf.DUMMYFUNCTION("GOOGLETRANSLATE(B1638,""en"",""gd"")"),"Dùthchasach")</f>
        <v>Dùthchasach</v>
      </c>
    </row>
    <row r="1639" spans="1:9" ht="14.25" customHeight="1" x14ac:dyDescent="0.3">
      <c r="A1639" s="2">
        <v>1638</v>
      </c>
      <c r="B1639" s="3" t="s">
        <v>1646</v>
      </c>
      <c r="C1639" s="2" t="str">
        <f ca="1">IFERROR(__xludf.DUMMYFUNCTION("GOOGLETRANSLATE(B1639, ""en"",""es"")"),"fruta")</f>
        <v>fruta</v>
      </c>
      <c r="D1639" s="2" t="str">
        <f ca="1">IFERROR(__xludf.DUMMYFUNCTION("GOOGLETRANSLATE(B1639,""en"",""ig"")"),"mkpuru osisi")</f>
        <v>mkpuru osisi</v>
      </c>
      <c r="E1639" s="2" t="str">
        <f ca="1">IFERROR(__xludf.DUMMYFUNCTION("GOOGLETRANSLATE(B1639,""en"",""fr"")"),"fruit")</f>
        <v>fruit</v>
      </c>
      <c r="F1639" s="2" t="str">
        <f ca="1">IFERROR(__xludf.DUMMYFUNCTION("GOOGLETRANSLATE(B1639,""en"",""it"")"),"frutta")</f>
        <v>frutta</v>
      </c>
      <c r="G1639" s="2" t="str">
        <f ca="1">IFERROR(__xludf.DUMMYFUNCTION("GOOGLETRANSLATE(B1639,""en"",""de"")"),"Obst")</f>
        <v>Obst</v>
      </c>
      <c r="H1639" s="2" t="str">
        <f ca="1">IFERROR(__xludf.DUMMYFUNCTION("GOOGLETRANSLATE(B1639,""en"",""zh"")"),"水果")</f>
        <v>水果</v>
      </c>
      <c r="I1639" s="2" t="str">
        <f ca="1">IFERROR(__xludf.DUMMYFUNCTION("GOOGLETRANSLATE(B1639,""en"",""gd"")"),"measan")</f>
        <v>measan</v>
      </c>
    </row>
    <row r="1640" spans="1:9" ht="14.25" customHeight="1" x14ac:dyDescent="0.3">
      <c r="A1640" s="2">
        <v>1639</v>
      </c>
      <c r="B1640" s="3" t="s">
        <v>1647</v>
      </c>
      <c r="C1640" s="2" t="str">
        <f ca="1">IFERROR(__xludf.DUMMYFUNCTION("GOOGLETRANSLATE(B1640, ""en"",""es"")"),"analizar")</f>
        <v>analizar</v>
      </c>
      <c r="D1640" s="2" t="str">
        <f ca="1">IFERROR(__xludf.DUMMYFUNCTION("GOOGLETRANSLATE(B1640,""en"",""ig"")"),"iseke")</f>
        <v>iseke</v>
      </c>
      <c r="E1640" s="2" t="str">
        <f ca="1">IFERROR(__xludf.DUMMYFUNCTION("GOOGLETRANSLATE(B1640,""en"",""fr"")"),"analyser")</f>
        <v>analyser</v>
      </c>
      <c r="F1640" s="2" t="str">
        <f ca="1">IFERROR(__xludf.DUMMYFUNCTION("GOOGLETRANSLATE(B1640,""en"",""it"")"),"analizzare")</f>
        <v>analizzare</v>
      </c>
      <c r="G1640" s="2" t="str">
        <f ca="1">IFERROR(__xludf.DUMMYFUNCTION("GOOGLETRANSLATE(B1640,""en"",""de"")"),"analysieren")</f>
        <v>analysieren</v>
      </c>
      <c r="H1640" s="2" t="str">
        <f ca="1">IFERROR(__xludf.DUMMYFUNCTION("GOOGLETRANSLATE(B1640,""en"",""zh"")"),"分析")</f>
        <v>分析</v>
      </c>
      <c r="I1640" s="2" t="str">
        <f ca="1">IFERROR(__xludf.DUMMYFUNCTION("GOOGLETRANSLATE(B1640,""en"",""gd"")"),"Dèan mion-sgrùdadh")</f>
        <v>Dèan mion-sgrùdadh</v>
      </c>
    </row>
    <row r="1641" spans="1:9" ht="14.25" customHeight="1" x14ac:dyDescent="0.3">
      <c r="A1641" s="2">
        <v>1640</v>
      </c>
      <c r="B1641" s="3" t="s">
        <v>1648</v>
      </c>
      <c r="C1641" s="2" t="str">
        <f ca="1">IFERROR(__xludf.DUMMYFUNCTION("GOOGLETRANSLATE(B1641, ""en"",""es"")"),"testigo")</f>
        <v>testigo</v>
      </c>
      <c r="D1641" s="2" t="str">
        <f ca="1">IFERROR(__xludf.DUMMYFUNCTION("GOOGLETRANSLATE(B1641,""en"",""ig"")"),"gbaa")</f>
        <v>gbaa</v>
      </c>
      <c r="E1641" s="2" t="str">
        <f ca="1">IFERROR(__xludf.DUMMYFUNCTION("GOOGLETRANSLATE(B1641,""en"",""fr"")"),"témoin")</f>
        <v>témoin</v>
      </c>
      <c r="F1641" s="2" t="str">
        <f ca="1">IFERROR(__xludf.DUMMYFUNCTION("GOOGLETRANSLATE(B1641,""en"",""it"")"),"testimone")</f>
        <v>testimone</v>
      </c>
      <c r="G1641" s="2" t="str">
        <f ca="1">IFERROR(__xludf.DUMMYFUNCTION("GOOGLETRANSLATE(B1641,""en"",""de"")"),"Zeuge")</f>
        <v>Zeuge</v>
      </c>
      <c r="H1641" s="2" t="str">
        <f ca="1">IFERROR(__xludf.DUMMYFUNCTION("GOOGLETRANSLATE(B1641,""en"",""zh"")"),"证人")</f>
        <v>证人</v>
      </c>
      <c r="I1641" s="2" t="str">
        <f ca="1">IFERROR(__xludf.DUMMYFUNCTION("GOOGLETRANSLATE(B1641,""en"",""gd"")"),"Fianais")</f>
        <v>Fianais</v>
      </c>
    </row>
    <row r="1642" spans="1:9" ht="14.25" customHeight="1" x14ac:dyDescent="0.3">
      <c r="A1642" s="2">
        <v>1641</v>
      </c>
      <c r="B1642" s="3" t="s">
        <v>1649</v>
      </c>
      <c r="C1642" s="2" t="str">
        <f ca="1">IFERROR(__xludf.DUMMYFUNCTION("GOOGLETRANSLATE(B1642, ""en"",""es"")"),"correo")</f>
        <v>correo</v>
      </c>
      <c r="D1642" s="2" t="str">
        <f ca="1">IFERROR(__xludf.DUMMYFUNCTION("GOOGLETRANSLATE(B1642,""en"",""ig"")"),"ozi")</f>
        <v>ozi</v>
      </c>
      <c r="E1642" s="2" t="str">
        <f ca="1">IFERROR(__xludf.DUMMYFUNCTION("GOOGLETRANSLATE(B1642,""en"",""fr"")"),"mail")</f>
        <v>mail</v>
      </c>
      <c r="F1642" s="2" t="str">
        <f ca="1">IFERROR(__xludf.DUMMYFUNCTION("GOOGLETRANSLATE(B1642,""en"",""it"")"),"posta")</f>
        <v>posta</v>
      </c>
      <c r="G1642" s="2" t="str">
        <f ca="1">IFERROR(__xludf.DUMMYFUNCTION("GOOGLETRANSLATE(B1642,""en"",""de"")"),"Post")</f>
        <v>Post</v>
      </c>
      <c r="H1642" s="2" t="str">
        <f ca="1">IFERROR(__xludf.DUMMYFUNCTION("GOOGLETRANSLATE(B1642,""en"",""zh"")"),"邮件")</f>
        <v>邮件</v>
      </c>
      <c r="I1642" s="2" t="str">
        <f ca="1">IFERROR(__xludf.DUMMYFUNCTION("GOOGLETRANSLATE(B1642,""en"",""gd"")"),"post")</f>
        <v>post</v>
      </c>
    </row>
    <row r="1643" spans="1:9" ht="14.25" customHeight="1" x14ac:dyDescent="0.3">
      <c r="A1643" s="2">
        <v>1642</v>
      </c>
      <c r="B1643" s="3" t="s">
        <v>1650</v>
      </c>
      <c r="C1643" s="2" t="str">
        <f ca="1">IFERROR(__xludf.DUMMYFUNCTION("GOOGLETRANSLATE(B1643, ""en"",""es"")"),"horrible")</f>
        <v>horrible</v>
      </c>
      <c r="D1643" s="2" t="str">
        <f ca="1">IFERROR(__xludf.DUMMYFUNCTION("GOOGLETRANSLATE(B1643,""en"",""ig"")"),"kemmenyeujo")</f>
        <v>kemmenyeujo</v>
      </c>
      <c r="E1643" s="2" t="str">
        <f ca="1">IFERROR(__xludf.DUMMYFUNCTION("GOOGLETRANSLATE(B1643,""en"",""fr"")"),"terrible")</f>
        <v>terrible</v>
      </c>
      <c r="F1643" s="2" t="str">
        <f ca="1">IFERROR(__xludf.DUMMYFUNCTION("GOOGLETRANSLATE(B1643,""en"",""it"")"),"terribile")</f>
        <v>terribile</v>
      </c>
      <c r="G1643" s="2" t="str">
        <f ca="1">IFERROR(__xludf.DUMMYFUNCTION("GOOGLETRANSLATE(B1643,""en"",""de"")"),"schrecklich")</f>
        <v>schrecklich</v>
      </c>
      <c r="H1643" s="2" t="str">
        <f ca="1">IFERROR(__xludf.DUMMYFUNCTION("GOOGLETRANSLATE(B1643,""en"",""zh"")"),"糟糕的")</f>
        <v>糟糕的</v>
      </c>
      <c r="I1643" s="2" t="str">
        <f ca="1">IFERROR(__xludf.DUMMYFUNCTION("GOOGLETRANSLATE(B1643,""en"",""gd"")"),"uamhasach")</f>
        <v>uamhasach</v>
      </c>
    </row>
    <row r="1644" spans="1:9" ht="14.25" customHeight="1" x14ac:dyDescent="0.3">
      <c r="A1644" s="2">
        <v>1643</v>
      </c>
      <c r="B1644" s="3" t="s">
        <v>1651</v>
      </c>
      <c r="C1644" s="2" t="str">
        <f ca="1">IFERROR(__xludf.DUMMYFUNCTION("GOOGLETRANSLATE(B1644, ""en"",""es"")"),"investigador")</f>
        <v>investigador</v>
      </c>
      <c r="D1644" s="2" t="str">
        <f ca="1">IFERROR(__xludf.DUMMYFUNCTION("GOOGLETRANSLATE(B1644,""en"",""ig"")"),"onye nnyocha")</f>
        <v>onye nnyocha</v>
      </c>
      <c r="E1644" s="2" t="str">
        <f ca="1">IFERROR(__xludf.DUMMYFUNCTION("GOOGLETRANSLATE(B1644,""en"",""fr"")"),"chercheur")</f>
        <v>chercheur</v>
      </c>
      <c r="F1644" s="2" t="str">
        <f ca="1">IFERROR(__xludf.DUMMYFUNCTION("GOOGLETRANSLATE(B1644,""en"",""it"")"),"ricercatore")</f>
        <v>ricercatore</v>
      </c>
      <c r="G1644" s="2" t="str">
        <f ca="1">IFERROR(__xludf.DUMMYFUNCTION("GOOGLETRANSLATE(B1644,""en"",""de"")"),"Forscher")</f>
        <v>Forscher</v>
      </c>
      <c r="H1644" s="2" t="str">
        <f ca="1">IFERROR(__xludf.DUMMYFUNCTION("GOOGLETRANSLATE(B1644,""en"",""zh"")"),"研究员")</f>
        <v>研究员</v>
      </c>
      <c r="I1644" s="2" t="str">
        <f ca="1">IFERROR(__xludf.DUMMYFUNCTION("GOOGLETRANSLATE(B1644,""en"",""gd"")"),"Neach-rannsachaidh")</f>
        <v>Neach-rannsachaidh</v>
      </c>
    </row>
    <row r="1645" spans="1:9" ht="14.25" customHeight="1" x14ac:dyDescent="0.3">
      <c r="A1645" s="2">
        <v>1644</v>
      </c>
      <c r="B1645" s="3" t="s">
        <v>1652</v>
      </c>
      <c r="C1645" s="2" t="str">
        <f ca="1">IFERROR(__xludf.DUMMYFUNCTION("GOOGLETRANSLATE(B1645, ""en"",""es"")"),"común")</f>
        <v>común</v>
      </c>
      <c r="D1645" s="2" t="str">
        <f ca="1">IFERROR(__xludf.DUMMYFUNCTION("GOOGLETRANSLATE(B1645,""en"",""ig"")"),"nkiti")</f>
        <v>nkiti</v>
      </c>
      <c r="E1645" s="2" t="str">
        <f ca="1">IFERROR(__xludf.DUMMYFUNCTION("GOOGLETRANSLATE(B1645,""en"",""fr"")"),"ordinaire")</f>
        <v>ordinaire</v>
      </c>
      <c r="F1645" s="2" t="str">
        <f ca="1">IFERROR(__xludf.DUMMYFUNCTION("GOOGLETRANSLATE(B1645,""en"",""it"")"),"ordinario")</f>
        <v>ordinario</v>
      </c>
      <c r="G1645" s="2" t="str">
        <f ca="1">IFERROR(__xludf.DUMMYFUNCTION("GOOGLETRANSLATE(B1645,""en"",""de"")"),"normal")</f>
        <v>normal</v>
      </c>
      <c r="H1645" s="2" t="str">
        <f ca="1">IFERROR(__xludf.DUMMYFUNCTION("GOOGLETRANSLATE(B1645,""en"",""zh"")"),"普通的")</f>
        <v>普通的</v>
      </c>
      <c r="I1645" s="2" t="str">
        <f ca="1">IFERROR(__xludf.DUMMYFUNCTION("GOOGLETRANSLATE(B1645,""en"",""gd"")"),"àbhaisteach")</f>
        <v>àbhaisteach</v>
      </c>
    </row>
    <row r="1646" spans="1:9" ht="14.25" customHeight="1" x14ac:dyDescent="0.3">
      <c r="A1646" s="2">
        <v>1645</v>
      </c>
      <c r="B1646" s="3" t="s">
        <v>1653</v>
      </c>
      <c r="C1646" s="2" t="str">
        <f ca="1">IFERROR(__xludf.DUMMYFUNCTION("GOOGLETRANSLATE(B1646, ""en"",""es"")"),"selección")</f>
        <v>selección</v>
      </c>
      <c r="D1646" s="2" t="str">
        <f ca="1">IFERROR(__xludf.DUMMYFUNCTION("GOOGLETRANSLATE(B1646,""en"",""ig"")"),"nghoputa")</f>
        <v>nghoputa</v>
      </c>
      <c r="E1646" s="2" t="str">
        <f ca="1">IFERROR(__xludf.DUMMYFUNCTION("GOOGLETRANSLATE(B1646,""en"",""fr"")"),"sélection")</f>
        <v>sélection</v>
      </c>
      <c r="F1646" s="2" t="str">
        <f ca="1">IFERROR(__xludf.DUMMYFUNCTION("GOOGLETRANSLATE(B1646,""en"",""it"")"),"selezione")</f>
        <v>selezione</v>
      </c>
      <c r="G1646" s="2" t="str">
        <f ca="1">IFERROR(__xludf.DUMMYFUNCTION("GOOGLETRANSLATE(B1646,""en"",""de"")"),"Auswahl")</f>
        <v>Auswahl</v>
      </c>
      <c r="H1646" s="2" t="str">
        <f ca="1">IFERROR(__xludf.DUMMYFUNCTION("GOOGLETRANSLATE(B1646,""en"",""zh"")"),"选择")</f>
        <v>选择</v>
      </c>
      <c r="I1646" s="2" t="str">
        <f ca="1">IFERROR(__xludf.DUMMYFUNCTION("GOOGLETRANSLATE(B1646,""en"",""gd"")"),"Taghadh")</f>
        <v>Taghadh</v>
      </c>
    </row>
    <row r="1647" spans="1:9" ht="14.25" customHeight="1" x14ac:dyDescent="0.3">
      <c r="A1647" s="2">
        <v>1646</v>
      </c>
      <c r="B1647" s="3" t="s">
        <v>1654</v>
      </c>
      <c r="C1647" s="2" t="str">
        <f ca="1">IFERROR(__xludf.DUMMYFUNCTION("GOOGLETRANSLATE(B1647, ""en"",""es"")"),"en cualquier lugar")</f>
        <v>en cualquier lugar</v>
      </c>
      <c r="D1647" s="2" t="str">
        <f ca="1">IFERROR(__xludf.DUMMYFUNCTION("GOOGLETRANSLATE(B1647,""en"",""ig"")"),"ebe obula")</f>
        <v>ebe obula</v>
      </c>
      <c r="E1647" s="2" t="str">
        <f ca="1">IFERROR(__xludf.DUMMYFUNCTION("GOOGLETRANSLATE(B1647,""en"",""fr"")"),"n'importe où")</f>
        <v>n'importe où</v>
      </c>
      <c r="F1647" s="2" t="str">
        <f ca="1">IFERROR(__xludf.DUMMYFUNCTION("GOOGLETRANSLATE(B1647,""en"",""it"")"),"ovunque")</f>
        <v>ovunque</v>
      </c>
      <c r="G1647" s="2" t="str">
        <f ca="1">IFERROR(__xludf.DUMMYFUNCTION("GOOGLETRANSLATE(B1647,""en"",""de"")"),"überall")</f>
        <v>überall</v>
      </c>
      <c r="H1647" s="2" t="str">
        <f ca="1">IFERROR(__xludf.DUMMYFUNCTION("GOOGLETRANSLATE(B1647,""en"",""zh"")"),"任何地方")</f>
        <v>任何地方</v>
      </c>
      <c r="I1647" s="2" t="str">
        <f ca="1">IFERROR(__xludf.DUMMYFUNCTION("GOOGLETRANSLATE(B1647,""en"",""gd"")"),"àite sam bith")</f>
        <v>àite sam bith</v>
      </c>
    </row>
    <row r="1648" spans="1:9" ht="14.25" customHeight="1" x14ac:dyDescent="0.3">
      <c r="A1648" s="2">
        <v>1647</v>
      </c>
      <c r="B1648" s="3" t="s">
        <v>1655</v>
      </c>
      <c r="C1648" s="2" t="str">
        <f ca="1">IFERROR(__xludf.DUMMYFUNCTION("GOOGLETRANSLATE(B1648, ""en"",""es"")"),"mental")</f>
        <v>mental</v>
      </c>
      <c r="D1648" s="2" t="str">
        <f ca="1">IFERROR(__xludf.DUMMYFUNCTION("GOOGLETRANSLATE(B1648,""en"",""ig"")"),"keisimgbaka")</f>
        <v>keisimgbaka</v>
      </c>
      <c r="E1648" s="2" t="str">
        <f ca="1">IFERROR(__xludf.DUMMYFUNCTION("GOOGLETRANSLATE(B1648,""en"",""fr"")"),"mental")</f>
        <v>mental</v>
      </c>
      <c r="F1648" s="2" t="str">
        <f ca="1">IFERROR(__xludf.DUMMYFUNCTION("GOOGLETRANSLATE(B1648,""en"",""it"")"),"mentale")</f>
        <v>mentale</v>
      </c>
      <c r="G1648" s="2" t="str">
        <f ca="1">IFERROR(__xludf.DUMMYFUNCTION("GOOGLETRANSLATE(B1648,""en"",""de"")"),"mental")</f>
        <v>mental</v>
      </c>
      <c r="H1648" s="2" t="str">
        <f ca="1">IFERROR(__xludf.DUMMYFUNCTION("GOOGLETRANSLATE(B1648,""en"",""zh"")"),"精神的")</f>
        <v>精神的</v>
      </c>
      <c r="I1648" s="2" t="str">
        <f ca="1">IFERROR(__xludf.DUMMYFUNCTION("GOOGLETRANSLATE(B1648,""en"",""gd"")"),"inntinn")</f>
        <v>inntinn</v>
      </c>
    </row>
    <row r="1649" spans="1:9" ht="14.25" customHeight="1" x14ac:dyDescent="0.3">
      <c r="A1649" s="2">
        <v>1648</v>
      </c>
      <c r="B1649" s="3" t="s">
        <v>1656</v>
      </c>
      <c r="C1649" s="2" t="str">
        <f ca="1">IFERROR(__xludf.DUMMYFUNCTION("GOOGLETRANSLATE(B1649, ""en"",""es"")"),"partícipe")</f>
        <v>partícipe</v>
      </c>
      <c r="D1649" s="2" t="str">
        <f ca="1">IFERROR(__xludf.DUMMYFUNCTION("GOOGLETRANSLATE(B1649,""en"",""ig"")"),"nwaanyi osoibe")</f>
        <v>nwaanyi osoibe</v>
      </c>
      <c r="E1649" s="2" t="str">
        <f ca="1">IFERROR(__xludf.DUMMYFUNCTION("GOOGLETRANSLATE(B1649,""en"",""fr"")"),"participant")</f>
        <v>participant</v>
      </c>
      <c r="F1649" s="2" t="str">
        <f ca="1">IFERROR(__xludf.DUMMYFUNCTION("GOOGLETRANSLATE(B1649,""en"",""it"")"),"partecipante")</f>
        <v>partecipante</v>
      </c>
      <c r="G1649" s="2" t="str">
        <f ca="1">IFERROR(__xludf.DUMMYFUNCTION("GOOGLETRANSLATE(B1649,""en"",""de"")"),"Teilnehmer")</f>
        <v>Teilnehmer</v>
      </c>
      <c r="H1649" s="2" t="str">
        <f ca="1">IFERROR(__xludf.DUMMYFUNCTION("GOOGLETRANSLATE(B1649,""en"",""zh"")"),"参与者")</f>
        <v>参与者</v>
      </c>
      <c r="I1649" s="2" t="str">
        <f ca="1">IFERROR(__xludf.DUMMYFUNCTION("GOOGLETRANSLATE(B1649,""en"",""gd"")"),"com-pàirtiche")</f>
        <v>com-pàirtiche</v>
      </c>
    </row>
    <row r="1650" spans="1:9" ht="14.25" customHeight="1" x14ac:dyDescent="0.3">
      <c r="A1650" s="2">
        <v>1649</v>
      </c>
      <c r="B1650" s="3" t="s">
        <v>1657</v>
      </c>
      <c r="C1650" s="2" t="str">
        <f ca="1">IFERROR(__xludf.DUMMYFUNCTION("GOOGLETRANSLATE(B1650, ""en"",""es"")"),"visión")</f>
        <v>visión</v>
      </c>
      <c r="D1650" s="2" t="str">
        <f ca="1">IFERROR(__xludf.DUMMYFUNCTION("GOOGLETRANSLATE(B1650,""en"",""ig"")"),"vishion")</f>
        <v>vishion</v>
      </c>
      <c r="E1650" s="2" t="str">
        <f ca="1">IFERROR(__xludf.DUMMYFUNCTION("GOOGLETRANSLATE(B1650,""en"",""fr"")"),"vision")</f>
        <v>vision</v>
      </c>
      <c r="F1650" s="2" t="str">
        <f ca="1">IFERROR(__xludf.DUMMYFUNCTION("GOOGLETRANSLATE(B1650,""en"",""it"")"),"visione")</f>
        <v>visione</v>
      </c>
      <c r="G1650" s="2" t="str">
        <f ca="1">IFERROR(__xludf.DUMMYFUNCTION("GOOGLETRANSLATE(B1650,""en"",""de"")"),"Vision")</f>
        <v>Vision</v>
      </c>
      <c r="H1650" s="2" t="str">
        <f ca="1">IFERROR(__xludf.DUMMYFUNCTION("GOOGLETRANSLATE(B1650,""en"",""zh"")"),"想象")</f>
        <v>想象</v>
      </c>
      <c r="I1650" s="2" t="str">
        <f ca="1">IFERROR(__xludf.DUMMYFUNCTION("GOOGLETRANSLATE(B1650,""en"",""gd"")"),"Lèirsinn")</f>
        <v>Lèirsinn</v>
      </c>
    </row>
    <row r="1651" spans="1:9" ht="14.25" customHeight="1" x14ac:dyDescent="0.3">
      <c r="A1651" s="2">
        <v>1650</v>
      </c>
      <c r="B1651" s="3" t="s">
        <v>1658</v>
      </c>
      <c r="C1651" s="2" t="str">
        <f ca="1">IFERROR(__xludf.DUMMYFUNCTION("GOOGLETRANSLATE(B1651, ""en"",""es"")"),"personalidad")</f>
        <v>personalidad</v>
      </c>
      <c r="D1651" s="2" t="str">
        <f ca="1">IFERROR(__xludf.DUMMYFUNCTION("GOOGLETRANSLATE(B1651,""en"",""ig"")"),"mmadu inwe ugwu")</f>
        <v>mmadu inwe ugwu</v>
      </c>
      <c r="E1651" s="2" t="str">
        <f ca="1">IFERROR(__xludf.DUMMYFUNCTION("GOOGLETRANSLATE(B1651,""en"",""fr"")"),"personnalité")</f>
        <v>personnalité</v>
      </c>
      <c r="F1651" s="2" t="str">
        <f ca="1">IFERROR(__xludf.DUMMYFUNCTION("GOOGLETRANSLATE(B1651,""en"",""it"")"),"personalità")</f>
        <v>personalità</v>
      </c>
      <c r="G1651" s="2" t="str">
        <f ca="1">IFERROR(__xludf.DUMMYFUNCTION("GOOGLETRANSLATE(B1651,""en"",""de"")"),"Persönlichkeit")</f>
        <v>Persönlichkeit</v>
      </c>
      <c r="H1651" s="2" t="str">
        <f ca="1">IFERROR(__xludf.DUMMYFUNCTION("GOOGLETRANSLATE(B1651,""en"",""zh"")"),"性格")</f>
        <v>性格</v>
      </c>
      <c r="I1651" s="2" t="str">
        <f ca="1">IFERROR(__xludf.DUMMYFUNCTION("GOOGLETRANSLATE(B1651,""en"",""gd"")"),"Pearsa")</f>
        <v>Pearsa</v>
      </c>
    </row>
    <row r="1652" spans="1:9" ht="14.25" customHeight="1" x14ac:dyDescent="0.3">
      <c r="A1652" s="2">
        <v>1651</v>
      </c>
      <c r="B1652" s="3" t="s">
        <v>1659</v>
      </c>
      <c r="C1652" s="2" t="str">
        <f ca="1">IFERROR(__xludf.DUMMYFUNCTION("GOOGLETRANSLATE(B1652, ""en"",""es"")"),"específicamente")</f>
        <v>específicamente</v>
      </c>
      <c r="D1652" s="2" t="str">
        <f ca="1">IFERROR(__xludf.DUMMYFUNCTION("GOOGLETRANSLATE(B1652,""en"",""ig"")"),"kpọmkwem")</f>
        <v>kpọmkwem</v>
      </c>
      <c r="E1652" s="2" t="str">
        <f ca="1">IFERROR(__xludf.DUMMYFUNCTION("GOOGLETRANSLATE(B1652,""en"",""fr"")"),"spécifiquement")</f>
        <v>spécifiquement</v>
      </c>
      <c r="F1652" s="2" t="str">
        <f ca="1">IFERROR(__xludf.DUMMYFUNCTION("GOOGLETRANSLATE(B1652,""en"",""it"")"),"specificamente")</f>
        <v>specificamente</v>
      </c>
      <c r="G1652" s="2" t="str">
        <f ca="1">IFERROR(__xludf.DUMMYFUNCTION("GOOGLETRANSLATE(B1652,""en"",""de"")"),"speziell")</f>
        <v>speziell</v>
      </c>
      <c r="H1652" s="2" t="str">
        <f ca="1">IFERROR(__xludf.DUMMYFUNCTION("GOOGLETRANSLATE(B1652,""en"",""zh"")"),"具体来说")</f>
        <v>具体来说</v>
      </c>
      <c r="I1652" s="2" t="str">
        <f ca="1">IFERROR(__xludf.DUMMYFUNCTION("GOOGLETRANSLATE(B1652,""en"",""gd"")"),"Gu sònraichte")</f>
        <v>Gu sònraichte</v>
      </c>
    </row>
    <row r="1653" spans="1:9" ht="14.25" customHeight="1" x14ac:dyDescent="0.3">
      <c r="A1653" s="2">
        <v>1652</v>
      </c>
      <c r="B1653" s="3" t="s">
        <v>1660</v>
      </c>
      <c r="C1653" s="2" t="str">
        <f ca="1">IFERROR(__xludf.DUMMYFUNCTION("GOOGLETRANSLATE(B1653, ""en"",""es"")"),"gordo")</f>
        <v>gordo</v>
      </c>
      <c r="D1653" s="2" t="str">
        <f ca="1">IFERROR(__xludf.DUMMYFUNCTION("GOOGLETRANSLATE(B1653,""en"",""ig"")"),"abuba")</f>
        <v>abuba</v>
      </c>
      <c r="E1653" s="2" t="str">
        <f ca="1">IFERROR(__xludf.DUMMYFUNCTION("GOOGLETRANSLATE(B1653,""en"",""fr"")"),"graisse")</f>
        <v>graisse</v>
      </c>
      <c r="F1653" s="2" t="str">
        <f ca="1">IFERROR(__xludf.DUMMYFUNCTION("GOOGLETRANSLATE(B1653,""en"",""it"")"),"grasso")</f>
        <v>grasso</v>
      </c>
      <c r="G1653" s="2" t="str">
        <f ca="1">IFERROR(__xludf.DUMMYFUNCTION("GOOGLETRANSLATE(B1653,""en"",""de"")"),"fett")</f>
        <v>fett</v>
      </c>
      <c r="H1653" s="2" t="str">
        <f ca="1">IFERROR(__xludf.DUMMYFUNCTION("GOOGLETRANSLATE(B1653,""en"",""zh"")"),"胖的")</f>
        <v>胖的</v>
      </c>
      <c r="I1653" s="2" t="str">
        <f ca="1">IFERROR(__xludf.DUMMYFUNCTION("GOOGLETRANSLATE(B1653,""en"",""gd"")"),"geir")</f>
        <v>geir</v>
      </c>
    </row>
    <row r="1654" spans="1:9" ht="14.25" customHeight="1" x14ac:dyDescent="0.3">
      <c r="A1654" s="2">
        <v>1653</v>
      </c>
      <c r="B1654" s="3" t="s">
        <v>1661</v>
      </c>
      <c r="C1654" s="2" t="str">
        <f ca="1">IFERROR(__xludf.DUMMYFUNCTION("GOOGLETRANSLATE(B1654, ""en"",""es"")"),"entrada")</f>
        <v>entrada</v>
      </c>
      <c r="D1654" s="2" t="str">
        <f ca="1">IFERROR(__xludf.DUMMYFUNCTION("GOOGLETRANSLATE(B1654,""en"",""ig"")"),"obuba")</f>
        <v>obuba</v>
      </c>
      <c r="E1654" s="2" t="str">
        <f ca="1">IFERROR(__xludf.DUMMYFUNCTION("GOOGLETRANSLATE(B1654,""en"",""fr"")"),"entrée")</f>
        <v>entrée</v>
      </c>
      <c r="F1654" s="2" t="str">
        <f ca="1">IFERROR(__xludf.DUMMYFUNCTION("GOOGLETRANSLATE(B1654,""en"",""it"")"),"iscrizione")</f>
        <v>iscrizione</v>
      </c>
      <c r="G1654" s="2" t="str">
        <f ca="1">IFERROR(__xludf.DUMMYFUNCTION("GOOGLETRANSLATE(B1654,""en"",""de"")"),"Eintrag")</f>
        <v>Eintrag</v>
      </c>
      <c r="H1654" s="2" t="str">
        <f ca="1">IFERROR(__xludf.DUMMYFUNCTION("GOOGLETRANSLATE(B1654,""en"",""zh"")"),"入口")</f>
        <v>入口</v>
      </c>
      <c r="I1654" s="2" t="str">
        <f ca="1">IFERROR(__xludf.DUMMYFUNCTION("GOOGLETRANSLATE(B1654,""en"",""gd"")"),"Inntrigeadh")</f>
        <v>Inntrigeadh</v>
      </c>
    </row>
    <row r="1655" spans="1:9" ht="14.25" customHeight="1" x14ac:dyDescent="0.3">
      <c r="A1655" s="2">
        <v>1654</v>
      </c>
      <c r="B1655" s="3" t="s">
        <v>1662</v>
      </c>
      <c r="C1655" s="2" t="str">
        <f ca="1">IFERROR(__xludf.DUMMYFUNCTION("GOOGLETRANSLATE(B1655, ""en"",""es"")"),"compañero")</f>
        <v>compañero</v>
      </c>
      <c r="D1655" s="2" t="str">
        <f ca="1">IFERROR(__xludf.DUMMYFUNCTION("GOOGLETRANSLATE(B1655,""en"",""ig"")"),"kooke")</f>
        <v>kooke</v>
      </c>
      <c r="E1655" s="2" t="str">
        <f ca="1">IFERROR(__xludf.DUMMYFUNCTION("GOOGLETRANSLATE(B1655,""en"",""fr"")"),"compagnon")</f>
        <v>compagnon</v>
      </c>
      <c r="F1655" s="2" t="str">
        <f ca="1">IFERROR(__xludf.DUMMYFUNCTION("GOOGLETRANSLATE(B1655,""en"",""it"")"),"compagno")</f>
        <v>compagno</v>
      </c>
      <c r="G1655" s="2" t="str">
        <f ca="1">IFERROR(__xludf.DUMMYFUNCTION("GOOGLETRANSLATE(B1655,""en"",""de"")"),"Gefährte")</f>
        <v>Gefährte</v>
      </c>
      <c r="H1655" s="2" t="str">
        <f ca="1">IFERROR(__xludf.DUMMYFUNCTION("GOOGLETRANSLATE(B1655,""en"",""zh"")"),"家伙")</f>
        <v>家伙</v>
      </c>
      <c r="I1655" s="2" t="str">
        <f ca="1">IFERROR(__xludf.DUMMYFUNCTION("GOOGLETRANSLATE(B1655,""en"",""gd"")"),"fear")</f>
        <v>fear</v>
      </c>
    </row>
    <row r="1656" spans="1:9" ht="14.25" customHeight="1" x14ac:dyDescent="0.3">
      <c r="A1656" s="2">
        <v>1655</v>
      </c>
      <c r="B1656" s="3" t="s">
        <v>1663</v>
      </c>
      <c r="C1656" s="2" t="str">
        <f ca="1">IFERROR(__xludf.DUMMYFUNCTION("GOOGLETRANSLATE(B1656, ""en"",""es"")"),"químico")</f>
        <v>químico</v>
      </c>
      <c r="D1656" s="2" t="str">
        <f ca="1">IFERROR(__xludf.DUMMYFUNCTION("GOOGLETRANSLATE(B1656,""en"",""ig"")"),"kemikal")</f>
        <v>kemikal</v>
      </c>
      <c r="E1656" s="2" t="str">
        <f ca="1">IFERROR(__xludf.DUMMYFUNCTION("GOOGLETRANSLATE(B1656,""en"",""fr"")"),"chimique")</f>
        <v>chimique</v>
      </c>
      <c r="F1656" s="2" t="str">
        <f ca="1">IFERROR(__xludf.DUMMYFUNCTION("GOOGLETRANSLATE(B1656,""en"",""it"")"),"chimico")</f>
        <v>chimico</v>
      </c>
      <c r="G1656" s="2" t="str">
        <f ca="1">IFERROR(__xludf.DUMMYFUNCTION("GOOGLETRANSLATE(B1656,""en"",""de"")"),"chemisch")</f>
        <v>chemisch</v>
      </c>
      <c r="H1656" s="2" t="str">
        <f ca="1">IFERROR(__xludf.DUMMYFUNCTION("GOOGLETRANSLATE(B1656,""en"",""zh"")"),"化学")</f>
        <v>化学</v>
      </c>
      <c r="I1656" s="2" t="str">
        <f ca="1">IFERROR(__xludf.DUMMYFUNCTION("GOOGLETRANSLATE(B1656,""en"",""gd"")"),"ceimigeach")</f>
        <v>ceimigeach</v>
      </c>
    </row>
    <row r="1657" spans="1:9" ht="14.25" customHeight="1" x14ac:dyDescent="0.3">
      <c r="A1657" s="2">
        <v>1656</v>
      </c>
      <c r="B1657" s="3" t="s">
        <v>1664</v>
      </c>
      <c r="C1657" s="2" t="str">
        <f ca="1">IFERROR(__xludf.DUMMYFUNCTION("GOOGLETRANSLATE(B1657, ""en"",""es"")"),"captura")</f>
        <v>captura</v>
      </c>
      <c r="D1657" s="2" t="str">
        <f ca="1">IFERROR(__xludf.DUMMYFUNCTION("GOOGLETRANSLATE(B1657,""en"",""ig"")"),"ijido n'agha")</f>
        <v>ijido n'agha</v>
      </c>
      <c r="E1657" s="2" t="str">
        <f ca="1">IFERROR(__xludf.DUMMYFUNCTION("GOOGLETRANSLATE(B1657,""en"",""fr"")"),"capturer")</f>
        <v>capturer</v>
      </c>
      <c r="F1657" s="2" t="str">
        <f ca="1">IFERROR(__xludf.DUMMYFUNCTION("GOOGLETRANSLATE(B1657,""en"",""it"")"),"catturare")</f>
        <v>catturare</v>
      </c>
      <c r="G1657" s="2" t="str">
        <f ca="1">IFERROR(__xludf.DUMMYFUNCTION("GOOGLETRANSLATE(B1657,""en"",""de"")"),"erfassen")</f>
        <v>erfassen</v>
      </c>
      <c r="H1657" s="2" t="str">
        <f ca="1">IFERROR(__xludf.DUMMYFUNCTION("GOOGLETRANSLATE(B1657,""en"",""zh"")"),"捕获")</f>
        <v>捕获</v>
      </c>
      <c r="I1657" s="2" t="str">
        <f ca="1">IFERROR(__xludf.DUMMYFUNCTION("GOOGLETRANSLATE(B1657,""en"",""gd"")"),"glacadh")</f>
        <v>glacadh</v>
      </c>
    </row>
    <row r="1658" spans="1:9" ht="14.25" customHeight="1" x14ac:dyDescent="0.3">
      <c r="A1658" s="2">
        <v>1657</v>
      </c>
      <c r="B1658" s="3" t="s">
        <v>1665</v>
      </c>
      <c r="C1658" s="2" t="str">
        <f ca="1">IFERROR(__xludf.DUMMYFUNCTION("GOOGLETRANSLATE(B1658, ""en"",""es"")"),"consejo")</f>
        <v>consejo</v>
      </c>
      <c r="D1658" s="2" t="str">
        <f ca="1">IFERROR(__xludf.DUMMYFUNCTION("GOOGLETRANSLATE(B1658,""en"",""ig"")"),"ngaazu")</f>
        <v>ngaazu</v>
      </c>
      <c r="E1658" s="2" t="str">
        <f ca="1">IFERROR(__xludf.DUMMYFUNCTION("GOOGLETRANSLATE(B1658,""en"",""fr"")"),"conseil")</f>
        <v>conseil</v>
      </c>
      <c r="F1658" s="2" t="str">
        <f ca="1">IFERROR(__xludf.DUMMYFUNCTION("GOOGLETRANSLATE(B1658,""en"",""it"")"),"mancia")</f>
        <v>mancia</v>
      </c>
      <c r="G1658" s="2" t="str">
        <f ca="1">IFERROR(__xludf.DUMMYFUNCTION("GOOGLETRANSLATE(B1658,""en"",""de"")"),"Tipp")</f>
        <v>Tipp</v>
      </c>
      <c r="H1658" s="2" t="str">
        <f ca="1">IFERROR(__xludf.DUMMYFUNCTION("GOOGLETRANSLATE(B1658,""en"",""zh"")"),"提示")</f>
        <v>提示</v>
      </c>
      <c r="I1658" s="2" t="str">
        <f ca="1">IFERROR(__xludf.DUMMYFUNCTION("GOOGLETRANSLATE(B1658,""en"",""gd"")"),"Tip")</f>
        <v>Tip</v>
      </c>
    </row>
    <row r="1659" spans="1:9" ht="14.25" customHeight="1" x14ac:dyDescent="0.3">
      <c r="A1659" s="2">
        <v>1658</v>
      </c>
      <c r="B1659" s="3" t="s">
        <v>1666</v>
      </c>
      <c r="C1659" s="2" t="str">
        <f ca="1">IFERROR(__xludf.DUMMYFUNCTION("GOOGLETRANSLATE(B1659, ""en"",""es"")"),"descuento")</f>
        <v>descuento</v>
      </c>
      <c r="D1659" s="2" t="str">
        <f ca="1">IFERROR(__xludf.DUMMYFUNCTION("GOOGLETRANSLATE(B1659,""en"",""ig"")"),"mmezi")</f>
        <v>mmezi</v>
      </c>
      <c r="E1659" s="2" t="str">
        <f ca="1">IFERROR(__xludf.DUMMYFUNCTION("GOOGLETRANSLATE(B1659,""en"",""fr"")"),"rabais")</f>
        <v>rabais</v>
      </c>
      <c r="F1659" s="2" t="str">
        <f ca="1">IFERROR(__xludf.DUMMYFUNCTION("GOOGLETRANSLATE(B1659,""en"",""it"")"),"sconto")</f>
        <v>sconto</v>
      </c>
      <c r="G1659" s="2" t="str">
        <f ca="1">IFERROR(__xludf.DUMMYFUNCTION("GOOGLETRANSLATE(B1659,""en"",""de"")"),"Rabatt")</f>
        <v>Rabatt</v>
      </c>
      <c r="H1659" s="2" t="str">
        <f ca="1">IFERROR(__xludf.DUMMYFUNCTION("GOOGLETRANSLATE(B1659,""en"",""zh"")"),"折扣")</f>
        <v>折扣</v>
      </c>
      <c r="I1659" s="2" t="str">
        <f ca="1">IFERROR(__xludf.DUMMYFUNCTION("GOOGLETRANSLATE(B1659,""en"",""gd"")"),"Lasachadh")</f>
        <v>Lasachadh</v>
      </c>
    </row>
    <row r="1660" spans="1:9" ht="14.25" customHeight="1" x14ac:dyDescent="0.3">
      <c r="A1660" s="2">
        <v>1659</v>
      </c>
      <c r="B1660" s="3" t="s">
        <v>1667</v>
      </c>
      <c r="C1660" s="2" t="str">
        <f ca="1">IFERROR(__xludf.DUMMYFUNCTION("GOOGLETRANSLATE(B1660, ""en"",""es"")"),"cima")</f>
        <v>cima</v>
      </c>
      <c r="D1660" s="2" t="str">
        <f ca="1">IFERROR(__xludf.DUMMYFUNCTION("GOOGLETRANSLATE(B1660,""en"",""ig"")"),"nkacha elu")</f>
        <v>nkacha elu</v>
      </c>
      <c r="E1660" s="2" t="str">
        <f ca="1">IFERROR(__xludf.DUMMYFUNCTION("GOOGLETRANSLATE(B1660,""en"",""fr"")"),"culminer")</f>
        <v>culminer</v>
      </c>
      <c r="F1660" s="2" t="str">
        <f ca="1">IFERROR(__xludf.DUMMYFUNCTION("GOOGLETRANSLATE(B1660,""en"",""it"")"),"picco")</f>
        <v>picco</v>
      </c>
      <c r="G1660" s="2" t="str">
        <f ca="1">IFERROR(__xludf.DUMMYFUNCTION("GOOGLETRANSLATE(B1660,""en"",""de"")"),"Gipfel")</f>
        <v>Gipfel</v>
      </c>
      <c r="H1660" s="2" t="str">
        <f ca="1">IFERROR(__xludf.DUMMYFUNCTION("GOOGLETRANSLATE(B1660,""en"",""zh"")"),"顶峰")</f>
        <v>顶峰</v>
      </c>
      <c r="I1660" s="2" t="str">
        <f ca="1">IFERROR(__xludf.DUMMYFUNCTION("GOOGLETRANSLATE(B1660,""en"",""gd"")"),"stùc")</f>
        <v>stùc</v>
      </c>
    </row>
    <row r="1661" spans="1:9" ht="14.25" customHeight="1" x14ac:dyDescent="0.3">
      <c r="A1661" s="2">
        <v>1660</v>
      </c>
      <c r="B1661" s="3" t="s">
        <v>1668</v>
      </c>
      <c r="C1661" s="2" t="str">
        <f ca="1">IFERROR(__xludf.DUMMYFUNCTION("GOOGLETRANSLATE(B1661, ""en"",""es"")"),"presidente")</f>
        <v>presidente</v>
      </c>
      <c r="D1661" s="2" t="str">
        <f ca="1">IFERROR(__xludf.DUMMYFUNCTION("GOOGLETRANSLATE(B1661,""en"",""ig"")"),"onyeisi oche")</f>
        <v>onyeisi oche</v>
      </c>
      <c r="E1661" s="2" t="str">
        <f ca="1">IFERROR(__xludf.DUMMYFUNCTION("GOOGLETRANSLATE(B1661,""en"",""fr"")"),"président")</f>
        <v>président</v>
      </c>
      <c r="F1661" s="2" t="str">
        <f ca="1">IFERROR(__xludf.DUMMYFUNCTION("GOOGLETRANSLATE(B1661,""en"",""it"")"),"presidente")</f>
        <v>presidente</v>
      </c>
      <c r="G1661" s="2" t="str">
        <f ca="1">IFERROR(__xludf.DUMMYFUNCTION("GOOGLETRANSLATE(B1661,""en"",""de"")"),"Vorsitzende")</f>
        <v>Vorsitzende</v>
      </c>
      <c r="H1661" s="2" t="str">
        <f ca="1">IFERROR(__xludf.DUMMYFUNCTION("GOOGLETRANSLATE(B1661,""en"",""zh"")"),"主席")</f>
        <v>主席</v>
      </c>
      <c r="I1661" s="2" t="str">
        <f ca="1">IFERROR(__xludf.DUMMYFUNCTION("GOOGLETRANSLATE(B1661,""en"",""gd"")"),"cathraiche")</f>
        <v>cathraiche</v>
      </c>
    </row>
    <row r="1662" spans="1:9" ht="14.25" customHeight="1" x14ac:dyDescent="0.3">
      <c r="A1662" s="2">
        <v>1661</v>
      </c>
      <c r="B1662" s="3" t="s">
        <v>1669</v>
      </c>
      <c r="C1662" s="2" t="str">
        <f ca="1">IFERROR(__xludf.DUMMYFUNCTION("GOOGLETRANSLATE(B1662, ""en"",""es"")"),"proporción")</f>
        <v>proporción</v>
      </c>
      <c r="D1662" s="2" t="str">
        <f ca="1">IFERROR(__xludf.DUMMYFUNCTION("GOOGLETRANSLATE(B1662,""en"",""ig"")"),"nkeputa")</f>
        <v>nkeputa</v>
      </c>
      <c r="E1662" s="2" t="str">
        <f ca="1">IFERROR(__xludf.DUMMYFUNCTION("GOOGLETRANSLATE(B1662,""en"",""fr"")"),"proportion")</f>
        <v>proportion</v>
      </c>
      <c r="F1662" s="2" t="str">
        <f ca="1">IFERROR(__xludf.DUMMYFUNCTION("GOOGLETRANSLATE(B1662,""en"",""it"")"),"proporzione")</f>
        <v>proporzione</v>
      </c>
      <c r="G1662" s="2" t="str">
        <f ca="1">IFERROR(__xludf.DUMMYFUNCTION("GOOGLETRANSLATE(B1662,""en"",""de"")"),"Anteil")</f>
        <v>Anteil</v>
      </c>
      <c r="H1662" s="2" t="str">
        <f ca="1">IFERROR(__xludf.DUMMYFUNCTION("GOOGLETRANSLATE(B1662,""en"",""zh"")"),"部分")</f>
        <v>部分</v>
      </c>
      <c r="I1662" s="2" t="str">
        <f ca="1">IFERROR(__xludf.DUMMYFUNCTION("GOOGLETRANSLATE(B1662,""en"",""gd"")"),"cuibhreann")</f>
        <v>cuibhreann</v>
      </c>
    </row>
    <row r="1663" spans="1:9" ht="14.25" customHeight="1" x14ac:dyDescent="0.3">
      <c r="A1663" s="2">
        <v>1662</v>
      </c>
      <c r="B1663" s="3" t="s">
        <v>1670</v>
      </c>
      <c r="C1663" s="2" t="str">
        <f ca="1">IFERROR(__xludf.DUMMYFUNCTION("GOOGLETRANSLATE(B1663, ""en"",""es"")"),"oreja")</f>
        <v>oreja</v>
      </c>
      <c r="D1663" s="2" t="str">
        <f ca="1">IFERROR(__xludf.DUMMYFUNCTION("GOOGLETRANSLATE(B1663,""en"",""ig"")"),"nti")</f>
        <v>nti</v>
      </c>
      <c r="E1663" s="2" t="str">
        <f ca="1">IFERROR(__xludf.DUMMYFUNCTION("GOOGLETRANSLATE(B1663,""en"",""fr"")"),"oreille")</f>
        <v>oreille</v>
      </c>
      <c r="F1663" s="2" t="str">
        <f ca="1">IFERROR(__xludf.DUMMYFUNCTION("GOOGLETRANSLATE(B1663,""en"",""it"")"),"orecchio")</f>
        <v>orecchio</v>
      </c>
      <c r="G1663" s="2" t="str">
        <f ca="1">IFERROR(__xludf.DUMMYFUNCTION("GOOGLETRANSLATE(B1663,""en"",""de"")"),"Ohr")</f>
        <v>Ohr</v>
      </c>
      <c r="H1663" s="2" t="str">
        <f ca="1">IFERROR(__xludf.DUMMYFUNCTION("GOOGLETRANSLATE(B1663,""en"",""zh"")"),"耳朵")</f>
        <v>耳朵</v>
      </c>
      <c r="I1663" s="2" t="str">
        <f ca="1">IFERROR(__xludf.DUMMYFUNCTION("GOOGLETRANSLATE(B1663,""en"",""gd"")"),"Cluas")</f>
        <v>Cluas</v>
      </c>
    </row>
    <row r="1664" spans="1:9" ht="14.25" customHeight="1" x14ac:dyDescent="0.3">
      <c r="A1664" s="2">
        <v>1663</v>
      </c>
      <c r="B1664" s="3" t="s">
        <v>1671</v>
      </c>
      <c r="C1664" s="2" t="str">
        <f ca="1">IFERROR(__xludf.DUMMYFUNCTION("GOOGLETRANSLATE(B1664, ""en"",""es"")"),"desaparecer")</f>
        <v>desaparecer</v>
      </c>
      <c r="D1664" s="2" t="str">
        <f ca="1">IFERROR(__xludf.DUMMYFUNCTION("GOOGLETRANSLATE(B1664,""en"",""ig"")"),"ifu efu")</f>
        <v>ifu efu</v>
      </c>
      <c r="E1664" s="2" t="str">
        <f ca="1">IFERROR(__xludf.DUMMYFUNCTION("GOOGLETRANSLATE(B1664,""en"",""fr"")"),"disparaître")</f>
        <v>disparaître</v>
      </c>
      <c r="F1664" s="2" t="str">
        <f ca="1">IFERROR(__xludf.DUMMYFUNCTION("GOOGLETRANSLATE(B1664,""en"",""it"")"),"scomparire")</f>
        <v>scomparire</v>
      </c>
      <c r="G1664" s="2" t="str">
        <f ca="1">IFERROR(__xludf.DUMMYFUNCTION("GOOGLETRANSLATE(B1664,""en"",""de"")"),"verschwinden")</f>
        <v>verschwinden</v>
      </c>
      <c r="H1664" s="2" t="str">
        <f ca="1">IFERROR(__xludf.DUMMYFUNCTION("GOOGLETRANSLATE(B1664,""en"",""zh"")"),"消失")</f>
        <v>消失</v>
      </c>
      <c r="I1664" s="2" t="str">
        <f ca="1">IFERROR(__xludf.DUMMYFUNCTION("GOOGLETRANSLATE(B1664,""en"",""gd"")"),"a 'dol à sealladh")</f>
        <v>a 'dol à sealladh</v>
      </c>
    </row>
    <row r="1665" spans="1:9" ht="14.25" customHeight="1" x14ac:dyDescent="0.3">
      <c r="A1665" s="2">
        <v>1664</v>
      </c>
      <c r="B1665" s="3" t="s">
        <v>1672</v>
      </c>
      <c r="C1665" s="2" t="str">
        <f ca="1">IFERROR(__xludf.DUMMYFUNCTION("GOOGLETRANSLATE(B1665, ""en"",""es"")"),"gritar")</f>
        <v>gritar</v>
      </c>
      <c r="D1665" s="2" t="str">
        <f ca="1">IFERROR(__xludf.DUMMYFUNCTION("GOOGLETRANSLATE(B1665,""en"",""ig"")"),"itimkpu")</f>
        <v>itimkpu</v>
      </c>
      <c r="E1665" s="2" t="str">
        <f ca="1">IFERROR(__xludf.DUMMYFUNCTION("GOOGLETRANSLATE(B1665,""en"",""fr"")"),"crier")</f>
        <v>crier</v>
      </c>
      <c r="F1665" s="2" t="str">
        <f ca="1">IFERROR(__xludf.DUMMYFUNCTION("GOOGLETRANSLATE(B1665,""en"",""it"")"),"gridare")</f>
        <v>gridare</v>
      </c>
      <c r="G1665" s="2" t="str">
        <f ca="1">IFERROR(__xludf.DUMMYFUNCTION("GOOGLETRANSLATE(B1665,""en"",""de"")"),"schreien")</f>
        <v>schreien</v>
      </c>
      <c r="H1665" s="2" t="str">
        <f ca="1">IFERROR(__xludf.DUMMYFUNCTION("GOOGLETRANSLATE(B1665,""en"",""zh"")"),"喊")</f>
        <v>喊</v>
      </c>
      <c r="I1665" s="2" t="str">
        <f ca="1">IFERROR(__xludf.DUMMYFUNCTION("GOOGLETRANSLATE(B1665,""en"",""gd"")"),"èigheachd")</f>
        <v>èigheachd</v>
      </c>
    </row>
    <row r="1666" spans="1:9" ht="14.25" customHeight="1" x14ac:dyDescent="0.3">
      <c r="A1666" s="2">
        <v>1665</v>
      </c>
      <c r="B1666" s="3" t="s">
        <v>1673</v>
      </c>
      <c r="C1666" s="2" t="str">
        <f ca="1">IFERROR(__xludf.DUMMYFUNCTION("GOOGLETRANSLATE(B1666, ""en"",""es"")"),"patio")</f>
        <v>patio</v>
      </c>
      <c r="D1666" s="2" t="str">
        <f ca="1">IFERROR(__xludf.DUMMYFUNCTION("GOOGLETRANSLATE(B1666,""en"",""ig"")"),"yad")</f>
        <v>yad</v>
      </c>
      <c r="E1666" s="2" t="str">
        <f ca="1">IFERROR(__xludf.DUMMYFUNCTION("GOOGLETRANSLATE(B1666,""en"",""fr"")"),"cour")</f>
        <v>cour</v>
      </c>
      <c r="F1666" s="2" t="str">
        <f ca="1">IFERROR(__xludf.DUMMYFUNCTION("GOOGLETRANSLATE(B1666,""en"",""it"")"),"cortile")</f>
        <v>cortile</v>
      </c>
      <c r="G1666" s="2" t="str">
        <f ca="1">IFERROR(__xludf.DUMMYFUNCTION("GOOGLETRANSLATE(B1666,""en"",""de"")"),"Hof")</f>
        <v>Hof</v>
      </c>
      <c r="H1666" s="2" t="str">
        <f ca="1">IFERROR(__xludf.DUMMYFUNCTION("GOOGLETRANSLATE(B1666,""en"",""zh"")"),"院子")</f>
        <v>院子</v>
      </c>
      <c r="I1666" s="2" t="str">
        <f ca="1">IFERROR(__xludf.DUMMYFUNCTION("GOOGLETRANSLATE(B1666,""en"",""gd"")"),"gàrradh")</f>
        <v>gàrradh</v>
      </c>
    </row>
    <row r="1667" spans="1:9" ht="14.25" customHeight="1" x14ac:dyDescent="0.3">
      <c r="A1667" s="2">
        <v>1666</v>
      </c>
      <c r="B1667" s="3" t="s">
        <v>1674</v>
      </c>
      <c r="C1667" s="2" t="str">
        <f ca="1">IFERROR(__xludf.DUMMYFUNCTION("GOOGLETRANSLATE(B1667, ""en"",""es"")"),"constante")</f>
        <v>constante</v>
      </c>
      <c r="D1667" s="2" t="str">
        <f ca="1">IFERROR(__xludf.DUMMYFUNCTION("GOOGLETRANSLATE(B1667,""en"",""ig"")"),"keechejighi")</f>
        <v>keechejighi</v>
      </c>
      <c r="E1667" s="2" t="str">
        <f ca="1">IFERROR(__xludf.DUMMYFUNCTION("GOOGLETRANSLATE(B1667,""en"",""fr"")"),"constante")</f>
        <v>constante</v>
      </c>
      <c r="F1667" s="2" t="str">
        <f ca="1">IFERROR(__xludf.DUMMYFUNCTION("GOOGLETRANSLATE(B1667,""en"",""it"")"),"costante")</f>
        <v>costante</v>
      </c>
      <c r="G1667" s="2" t="str">
        <f ca="1">IFERROR(__xludf.DUMMYFUNCTION("GOOGLETRANSLATE(B1667,""en"",""de"")"),"Konstante")</f>
        <v>Konstante</v>
      </c>
      <c r="H1667" s="2" t="str">
        <f ca="1">IFERROR(__xludf.DUMMYFUNCTION("GOOGLETRANSLATE(B1667,""en"",""zh"")"),"持续的")</f>
        <v>持续的</v>
      </c>
      <c r="I1667" s="2" t="str">
        <f ca="1">IFERROR(__xludf.DUMMYFUNCTION("GOOGLETRANSLATE(B1667,""en"",""gd"")"),"seasmhach")</f>
        <v>seasmhach</v>
      </c>
    </row>
    <row r="1668" spans="1:9" ht="14.25" customHeight="1" x14ac:dyDescent="0.3">
      <c r="A1668" s="2">
        <v>1667</v>
      </c>
      <c r="B1668" s="3" t="s">
        <v>1675</v>
      </c>
      <c r="C1668" s="2" t="str">
        <f ca="1">IFERROR(__xludf.DUMMYFUNCTION("GOOGLETRANSLATE(B1668, ""en"",""es"")"),"significativamente")</f>
        <v>significativamente</v>
      </c>
      <c r="D1668" s="2" t="str">
        <f ca="1">IFERROR(__xludf.DUMMYFUNCTION("GOOGLETRANSLATE(B1668,""en"",""ig"")"),"nke otutu")</f>
        <v>nke otutu</v>
      </c>
      <c r="E1668" s="2" t="str">
        <f ca="1">IFERROR(__xludf.DUMMYFUNCTION("GOOGLETRANSLATE(B1668,""en"",""fr"")"),"significativement")</f>
        <v>significativement</v>
      </c>
      <c r="F1668" s="2" t="str">
        <f ca="1">IFERROR(__xludf.DUMMYFUNCTION("GOOGLETRANSLATE(B1668,""en"",""it"")"),"in modo significativo")</f>
        <v>in modo significativo</v>
      </c>
      <c r="G1668" s="2" t="str">
        <f ca="1">IFERROR(__xludf.DUMMYFUNCTION("GOOGLETRANSLATE(B1668,""en"",""de"")"),"bedeutend")</f>
        <v>bedeutend</v>
      </c>
      <c r="H1668" s="2" t="str">
        <f ca="1">IFERROR(__xludf.DUMMYFUNCTION("GOOGLETRANSLATE(B1668,""en"",""zh"")"),"显著地")</f>
        <v>显著地</v>
      </c>
      <c r="I1668" s="2" t="str">
        <f ca="1">IFERROR(__xludf.DUMMYFUNCTION("GOOGLETRANSLATE(B1668,""en"",""gd"")"),"gu math")</f>
        <v>gu math</v>
      </c>
    </row>
    <row r="1669" spans="1:9" ht="14.25" customHeight="1" x14ac:dyDescent="0.3">
      <c r="A1669" s="2">
        <v>1668</v>
      </c>
      <c r="B1669" s="3" t="s">
        <v>1676</v>
      </c>
      <c r="C1669" s="2" t="str">
        <f ca="1">IFERROR(__xludf.DUMMYFUNCTION("GOOGLETRANSLATE(B1669, ""en"",""es"")"),"colina")</f>
        <v>colina</v>
      </c>
      <c r="D1669" s="2" t="str">
        <f ca="1">IFERROR(__xludf.DUMMYFUNCTION("GOOGLETRANSLATE(B1669,""en"",""ig"")"),"ugwu")</f>
        <v>ugwu</v>
      </c>
      <c r="E1669" s="2" t="str">
        <f ca="1">IFERROR(__xludf.DUMMYFUNCTION("GOOGLETRANSLATE(B1669,""en"",""fr"")"),"colline")</f>
        <v>colline</v>
      </c>
      <c r="F1669" s="2" t="str">
        <f ca="1">IFERROR(__xludf.DUMMYFUNCTION("GOOGLETRANSLATE(B1669,""en"",""it"")"),"collina")</f>
        <v>collina</v>
      </c>
      <c r="G1669" s="2" t="str">
        <f ca="1">IFERROR(__xludf.DUMMYFUNCTION("GOOGLETRANSLATE(B1669,""en"",""de"")"),"hügel")</f>
        <v>hügel</v>
      </c>
      <c r="H1669" s="2" t="str">
        <f ca="1">IFERROR(__xludf.DUMMYFUNCTION("GOOGLETRANSLATE(B1669,""en"",""zh"")"),"爬坡道")</f>
        <v>爬坡道</v>
      </c>
      <c r="I1669" s="2" t="str">
        <f ca="1">IFERROR(__xludf.DUMMYFUNCTION("GOOGLETRANSLATE(B1669,""en"",""gd"")"),"Cnoc")</f>
        <v>Cnoc</v>
      </c>
    </row>
    <row r="1670" spans="1:9" ht="14.25" customHeight="1" x14ac:dyDescent="0.3">
      <c r="A1670" s="2">
        <v>1669</v>
      </c>
      <c r="B1670" s="3" t="s">
        <v>1677</v>
      </c>
      <c r="C1670" s="2" t="str">
        <f ca="1">IFERROR(__xludf.DUMMYFUNCTION("GOOGLETRANSLATE(B1670, ""en"",""es"")"),"considerable")</f>
        <v>considerable</v>
      </c>
      <c r="D1670" s="2" t="str">
        <f ca="1">IFERROR(__xludf.DUMMYFUNCTION("GOOGLETRANSLATE(B1670,""en"",""ig"")"),"kennukwu")</f>
        <v>kennukwu</v>
      </c>
      <c r="E1670" s="2" t="str">
        <f ca="1">IFERROR(__xludf.DUMMYFUNCTION("GOOGLETRANSLATE(B1670,""en"",""fr"")"),"considérable")</f>
        <v>considérable</v>
      </c>
      <c r="F1670" s="2" t="str">
        <f ca="1">IFERROR(__xludf.DUMMYFUNCTION("GOOGLETRANSLATE(B1670,""en"",""it"")"),"considerevole")</f>
        <v>considerevole</v>
      </c>
      <c r="G1670" s="2" t="str">
        <f ca="1">IFERROR(__xludf.DUMMYFUNCTION("GOOGLETRANSLATE(B1670,""en"",""de"")"),"beträchtlich")</f>
        <v>beträchtlich</v>
      </c>
      <c r="H1670" s="2" t="str">
        <f ca="1">IFERROR(__xludf.DUMMYFUNCTION("GOOGLETRANSLATE(B1670,""en"",""zh"")"),"大量")</f>
        <v>大量</v>
      </c>
      <c r="I1670" s="2" t="str">
        <f ca="1">IFERROR(__xludf.DUMMYFUNCTION("GOOGLETRANSLATE(B1670,""en"",""gd"")"),"glè bheag")</f>
        <v>glè bheag</v>
      </c>
    </row>
    <row r="1671" spans="1:9" ht="14.25" customHeight="1" x14ac:dyDescent="0.3">
      <c r="A1671" s="2">
        <v>1670</v>
      </c>
      <c r="B1671" s="3" t="s">
        <v>1678</v>
      </c>
      <c r="C1671" s="2" t="str">
        <f ca="1">IFERROR(__xludf.DUMMYFUNCTION("GOOGLETRANSLATE(B1671, ""en"",""es"")"),"instrucción")</f>
        <v>instrucción</v>
      </c>
      <c r="D1671" s="2" t="str">
        <f ca="1">IFERROR(__xludf.DUMMYFUNCTION("GOOGLETRANSLATE(B1671,""en"",""ig"")"),"nkuzi")</f>
        <v>nkuzi</v>
      </c>
      <c r="E1671" s="2" t="str">
        <f ca="1">IFERROR(__xludf.DUMMYFUNCTION("GOOGLETRANSLATE(B1671,""en"",""fr"")"),"instruction")</f>
        <v>instruction</v>
      </c>
      <c r="F1671" s="2" t="str">
        <f ca="1">IFERROR(__xludf.DUMMYFUNCTION("GOOGLETRANSLATE(B1671,""en"",""it"")"),"istruzione")</f>
        <v>istruzione</v>
      </c>
      <c r="G1671" s="2" t="str">
        <f ca="1">IFERROR(__xludf.DUMMYFUNCTION("GOOGLETRANSLATE(B1671,""en"",""de"")"),"Anweisung")</f>
        <v>Anweisung</v>
      </c>
      <c r="H1671" s="2" t="str">
        <f ca="1">IFERROR(__xludf.DUMMYFUNCTION("GOOGLETRANSLATE(B1671,""en"",""zh"")"),"操作说明")</f>
        <v>操作说明</v>
      </c>
      <c r="I1671" s="2" t="str">
        <f ca="1">IFERROR(__xludf.DUMMYFUNCTION("GOOGLETRANSLATE(B1671,""en"",""gd"")"),"stiùireadh")</f>
        <v>stiùireadh</v>
      </c>
    </row>
    <row r="1672" spans="1:9" ht="14.25" customHeight="1" x14ac:dyDescent="0.3">
      <c r="A1672" s="2">
        <v>1671</v>
      </c>
      <c r="B1672" s="3" t="s">
        <v>1679</v>
      </c>
      <c r="C1672" s="2" t="str">
        <f ca="1">IFERROR(__xludf.DUMMYFUNCTION("GOOGLETRANSLATE(B1672, ""en"",""es"")"),"inteligencia")</f>
        <v>inteligencia</v>
      </c>
      <c r="D1672" s="2" t="str">
        <f ca="1">IFERROR(__xludf.DUMMYFUNCTION("GOOGLETRANSLATE(B1672,""en"",""ig"")"),"amamiihe")</f>
        <v>amamiihe</v>
      </c>
      <c r="E1672" s="2" t="str">
        <f ca="1">IFERROR(__xludf.DUMMYFUNCTION("GOOGLETRANSLATE(B1672,""en"",""fr"")"),"intelligence")</f>
        <v>intelligence</v>
      </c>
      <c r="F1672" s="2" t="str">
        <f ca="1">IFERROR(__xludf.DUMMYFUNCTION("GOOGLETRANSLATE(B1672,""en"",""it"")"),"intelligenza")</f>
        <v>intelligenza</v>
      </c>
      <c r="G1672" s="2" t="str">
        <f ca="1">IFERROR(__xludf.DUMMYFUNCTION("GOOGLETRANSLATE(B1672,""en"",""de"")"),"Intelligenz")</f>
        <v>Intelligenz</v>
      </c>
      <c r="H1672" s="2" t="str">
        <f ca="1">IFERROR(__xludf.DUMMYFUNCTION("GOOGLETRANSLATE(B1672,""en"",""zh"")"),"智力")</f>
        <v>智力</v>
      </c>
      <c r="I1672" s="2" t="str">
        <f ca="1">IFERROR(__xludf.DUMMYFUNCTION("GOOGLETRANSLATE(B1672,""en"",""gd"")"),"inntleachd")</f>
        <v>inntleachd</v>
      </c>
    </row>
    <row r="1673" spans="1:9" ht="14.25" customHeight="1" x14ac:dyDescent="0.3">
      <c r="A1673" s="2">
        <v>1672</v>
      </c>
      <c r="B1673" s="3" t="s">
        <v>1680</v>
      </c>
      <c r="C1673" s="2" t="str">
        <f ca="1">IFERROR(__xludf.DUMMYFUNCTION("GOOGLETRANSLATE(B1673, ""en"",""es"")"),"ideal")</f>
        <v>ideal</v>
      </c>
      <c r="D1673" s="2" t="str">
        <f ca="1">IFERROR(__xludf.DUMMYFUNCTION("GOOGLETRANSLATE(B1673,""en"",""ig"")"),"enweghiatu")</f>
        <v>enweghiatu</v>
      </c>
      <c r="E1673" s="2" t="str">
        <f ca="1">IFERROR(__xludf.DUMMYFUNCTION("GOOGLETRANSLATE(B1673,""en"",""fr"")"),"idéal")</f>
        <v>idéal</v>
      </c>
      <c r="F1673" s="2" t="str">
        <f ca="1">IFERROR(__xludf.DUMMYFUNCTION("GOOGLETRANSLATE(B1673,""en"",""it"")"),"ideale")</f>
        <v>ideale</v>
      </c>
      <c r="G1673" s="2" t="str">
        <f ca="1">IFERROR(__xludf.DUMMYFUNCTION("GOOGLETRANSLATE(B1673,""en"",""de"")"),"Ideal")</f>
        <v>Ideal</v>
      </c>
      <c r="H1673" s="2" t="str">
        <f ca="1">IFERROR(__xludf.DUMMYFUNCTION("GOOGLETRANSLATE(B1673,""en"",""zh"")"),"理想的")</f>
        <v>理想的</v>
      </c>
      <c r="I1673" s="2" t="str">
        <f ca="1">IFERROR(__xludf.DUMMYFUNCTION("GOOGLETRANSLATE(B1673,""en"",""gd"")"),"Fìor mhath")</f>
        <v>Fìor mhath</v>
      </c>
    </row>
    <row r="1674" spans="1:9" ht="14.25" customHeight="1" x14ac:dyDescent="0.3">
      <c r="A1674" s="2">
        <v>1673</v>
      </c>
      <c r="B1674" s="3" t="s">
        <v>1681</v>
      </c>
      <c r="C1674" s="2" t="str">
        <f ca="1">IFERROR(__xludf.DUMMYFUNCTION("GOOGLETRANSLATE(B1674, ""en"",""es"")"),"gente")</f>
        <v>gente</v>
      </c>
      <c r="D1674" s="2" t="str">
        <f ca="1">IFERROR(__xludf.DUMMYFUNCTION("GOOGLETRANSLATE(B1674,""en"",""ig"")"),"ndiife")</f>
        <v>ndiife</v>
      </c>
      <c r="E1674" s="2" t="str">
        <f ca="1">IFERROR(__xludf.DUMMYFUNCTION("GOOGLETRANSLATE(B1674,""en"",""fr"")"),"populaire")</f>
        <v>populaire</v>
      </c>
      <c r="F1674" s="2" t="str">
        <f ca="1">IFERROR(__xludf.DUMMYFUNCTION("GOOGLETRANSLATE(B1674,""en"",""it"")"),"Folk")</f>
        <v>Folk</v>
      </c>
      <c r="G1674" s="2" t="str">
        <f ca="1">IFERROR(__xludf.DUMMYFUNCTION("GOOGLETRANSLATE(B1674,""en"",""de"")"),"Volk")</f>
        <v>Volk</v>
      </c>
      <c r="H1674" s="2" t="str">
        <f ca="1">IFERROR(__xludf.DUMMYFUNCTION("GOOGLETRANSLATE(B1674,""en"",""zh"")"),"民间")</f>
        <v>民间</v>
      </c>
      <c r="I1674" s="2" t="str">
        <f ca="1">IFERROR(__xludf.DUMMYFUNCTION("GOOGLETRANSLATE(B1674,""en"",""gd"")"),"Folk")</f>
        <v>Folk</v>
      </c>
    </row>
    <row r="1675" spans="1:9" ht="14.25" customHeight="1" x14ac:dyDescent="0.3">
      <c r="A1675" s="2">
        <v>1674</v>
      </c>
      <c r="B1675" s="3" t="s">
        <v>1682</v>
      </c>
      <c r="C1675" s="2" t="str">
        <f ca="1">IFERROR(__xludf.DUMMYFUNCTION("GOOGLETRANSLATE(B1675, ""en"",""es"")"),"seguramente")</f>
        <v>seguramente</v>
      </c>
      <c r="D1675" s="2" t="str">
        <f ca="1">IFERROR(__xludf.DUMMYFUNCTION("GOOGLETRANSLATE(B1675,""en"",""ig"")"),"n'ezie")</f>
        <v>n'ezie</v>
      </c>
      <c r="E1675" s="2" t="str">
        <f ca="1">IFERROR(__xludf.DUMMYFUNCTION("GOOGLETRANSLATE(B1675,""en"",""fr"")"),"sûrement")</f>
        <v>sûrement</v>
      </c>
      <c r="F1675" s="2" t="str">
        <f ca="1">IFERROR(__xludf.DUMMYFUNCTION("GOOGLETRANSLATE(B1675,""en"",""it"")"),"certamente")</f>
        <v>certamente</v>
      </c>
      <c r="G1675" s="2" t="str">
        <f ca="1">IFERROR(__xludf.DUMMYFUNCTION("GOOGLETRANSLATE(B1675,""en"",""de"")"),"sicherlich")</f>
        <v>sicherlich</v>
      </c>
      <c r="H1675" s="2" t="str">
        <f ca="1">IFERROR(__xludf.DUMMYFUNCTION("GOOGLETRANSLATE(B1675,""en"",""zh"")"),"一定")</f>
        <v>一定</v>
      </c>
      <c r="I1675" s="2" t="str">
        <f ca="1">IFERROR(__xludf.DUMMYFUNCTION("GOOGLETRANSLATE(B1675,""en"",""gd"")"),"gu cinnteach")</f>
        <v>gu cinnteach</v>
      </c>
    </row>
    <row r="1676" spans="1:9" ht="14.25" customHeight="1" x14ac:dyDescent="0.3">
      <c r="A1676" s="2">
        <v>1675</v>
      </c>
      <c r="B1676" s="3" t="s">
        <v>1683</v>
      </c>
      <c r="C1676" s="2" t="str">
        <f ca="1">IFERROR(__xludf.DUMMYFUNCTION("GOOGLETRANSLATE(B1676, ""en"",""es"")"),"guardia")</f>
        <v>guardia</v>
      </c>
      <c r="D1676" s="2" t="str">
        <f ca="1">IFERROR(__xludf.DUMMYFUNCTION("GOOGLETRANSLATE(B1676,""en"",""ig"")"),"uzo nchedo")</f>
        <v>uzo nchedo</v>
      </c>
      <c r="E1676" s="2" t="str">
        <f ca="1">IFERROR(__xludf.DUMMYFUNCTION("GOOGLETRANSLATE(B1676,""en"",""fr"")"),"garde")</f>
        <v>garde</v>
      </c>
      <c r="F1676" s="2" t="str">
        <f ca="1">IFERROR(__xludf.DUMMYFUNCTION("GOOGLETRANSLATE(B1676,""en"",""it"")"),"guardia")</f>
        <v>guardia</v>
      </c>
      <c r="G1676" s="2" t="str">
        <f ca="1">IFERROR(__xludf.DUMMYFUNCTION("GOOGLETRANSLATE(B1676,""en"",""de"")"),"bewachen")</f>
        <v>bewachen</v>
      </c>
      <c r="H1676" s="2" t="str">
        <f ca="1">IFERROR(__xludf.DUMMYFUNCTION("GOOGLETRANSLATE(B1676,""en"",""zh"")"),"警卫")</f>
        <v>警卫</v>
      </c>
      <c r="I1676" s="2" t="str">
        <f ca="1">IFERROR(__xludf.DUMMYFUNCTION("GOOGLETRANSLATE(B1676,""en"",""gd"")"),"geàrd")</f>
        <v>geàrd</v>
      </c>
    </row>
    <row r="1677" spans="1:9" ht="14.25" customHeight="1" x14ac:dyDescent="0.3">
      <c r="A1677" s="2">
        <v>1676</v>
      </c>
      <c r="B1677" s="3" t="s">
        <v>1684</v>
      </c>
      <c r="C1677" s="2" t="str">
        <f ca="1">IFERROR(__xludf.DUMMYFUNCTION("GOOGLETRANSLATE(B1677, ""en"",""es"")"),"gato")</f>
        <v>gato</v>
      </c>
      <c r="D1677" s="2" t="str">
        <f ca="1">IFERROR(__xludf.DUMMYFUNCTION("GOOGLETRANSLATE(B1677,""en"",""ig"")"),"pusi")</f>
        <v>pusi</v>
      </c>
      <c r="E1677" s="2" t="str">
        <f ca="1">IFERROR(__xludf.DUMMYFUNCTION("GOOGLETRANSLATE(B1677,""en"",""fr"")"),"chat")</f>
        <v>chat</v>
      </c>
      <c r="F1677" s="2" t="str">
        <f ca="1">IFERROR(__xludf.DUMMYFUNCTION("GOOGLETRANSLATE(B1677,""en"",""it"")"),"gatto")</f>
        <v>gatto</v>
      </c>
      <c r="G1677" s="2" t="str">
        <f ca="1">IFERROR(__xludf.DUMMYFUNCTION("GOOGLETRANSLATE(B1677,""en"",""de"")"),"Katze")</f>
        <v>Katze</v>
      </c>
      <c r="H1677" s="2" t="str">
        <f ca="1">IFERROR(__xludf.DUMMYFUNCTION("GOOGLETRANSLATE(B1677,""en"",""zh"")"),"猫")</f>
        <v>猫</v>
      </c>
      <c r="I1677" s="2" t="str">
        <f ca="1">IFERROR(__xludf.DUMMYFUNCTION("GOOGLETRANSLATE(B1677,""en"",""gd"")"),"cat")</f>
        <v>cat</v>
      </c>
    </row>
    <row r="1678" spans="1:9" ht="14.25" customHeight="1" x14ac:dyDescent="0.3">
      <c r="A1678" s="2">
        <v>1677</v>
      </c>
      <c r="B1678" s="3" t="s">
        <v>1685</v>
      </c>
      <c r="C1678" s="2" t="str">
        <f ca="1">IFERROR(__xludf.DUMMYFUNCTION("GOOGLETRANSLATE(B1678, ""en"",""es"")"),"un poco")</f>
        <v>un poco</v>
      </c>
      <c r="D1678" s="2" t="str">
        <f ca="1">IFERROR(__xludf.DUMMYFUNCTION("GOOGLETRANSLATE(B1678,""en"",""ig"")"),"dikafodu")</f>
        <v>dikafodu</v>
      </c>
      <c r="E1678" s="2" t="str">
        <f ca="1">IFERROR(__xludf.DUMMYFUNCTION("GOOGLETRANSLATE(B1678,""en"",""fr"")"),"quelque peu")</f>
        <v>quelque peu</v>
      </c>
      <c r="F1678" s="2" t="str">
        <f ca="1">IFERROR(__xludf.DUMMYFUNCTION("GOOGLETRANSLATE(B1678,""en"",""it"")"),"un po '")</f>
        <v>un po '</v>
      </c>
      <c r="G1678" s="2" t="str">
        <f ca="1">IFERROR(__xludf.DUMMYFUNCTION("GOOGLETRANSLATE(B1678,""en"",""de"")"),"etwas")</f>
        <v>etwas</v>
      </c>
      <c r="H1678" s="2" t="str">
        <f ca="1">IFERROR(__xludf.DUMMYFUNCTION("GOOGLETRANSLATE(B1678,""en"",""zh"")"),"有些")</f>
        <v>有些</v>
      </c>
      <c r="I1678" s="2" t="str">
        <f ca="1">IFERROR(__xludf.DUMMYFUNCTION("GOOGLETRANSLATE(B1678,""en"",""gd"")"),"rudeigin")</f>
        <v>rudeigin</v>
      </c>
    </row>
    <row r="1679" spans="1:9" ht="14.25" customHeight="1" x14ac:dyDescent="0.3">
      <c r="A1679" s="2">
        <v>1678</v>
      </c>
      <c r="B1679" s="3" t="s">
        <v>1686</v>
      </c>
      <c r="C1679" s="2" t="str">
        <f ca="1">IFERROR(__xludf.DUMMYFUNCTION("GOOGLETRANSLATE(B1679, ""en"",""es"")"),"beso")</f>
        <v>beso</v>
      </c>
      <c r="D1679" s="2" t="str">
        <f ca="1">IFERROR(__xludf.DUMMYFUNCTION("GOOGLETRANSLATE(B1679,""en"",""ig"")"),"imi onu")</f>
        <v>imi onu</v>
      </c>
      <c r="E1679" s="2" t="str">
        <f ca="1">IFERROR(__xludf.DUMMYFUNCTION("GOOGLETRANSLATE(B1679,""en"",""fr"")"),"baiser")</f>
        <v>baiser</v>
      </c>
      <c r="F1679" s="2" t="str">
        <f ca="1">IFERROR(__xludf.DUMMYFUNCTION("GOOGLETRANSLATE(B1679,""en"",""it"")"),"bacio")</f>
        <v>bacio</v>
      </c>
      <c r="G1679" s="2" t="str">
        <f ca="1">IFERROR(__xludf.DUMMYFUNCTION("GOOGLETRANSLATE(B1679,""en"",""de"")"),"Kuss")</f>
        <v>Kuss</v>
      </c>
      <c r="H1679" s="2" t="str">
        <f ca="1">IFERROR(__xludf.DUMMYFUNCTION("GOOGLETRANSLATE(B1679,""en"",""zh"")"),"吻")</f>
        <v>吻</v>
      </c>
      <c r="I1679" s="2" t="str">
        <f ca="1">IFERROR(__xludf.DUMMYFUNCTION("GOOGLETRANSLATE(B1679,""en"",""gd"")"),"pòg")</f>
        <v>pòg</v>
      </c>
    </row>
    <row r="1680" spans="1:9" ht="14.25" customHeight="1" x14ac:dyDescent="0.3">
      <c r="A1680" s="2">
        <v>1679</v>
      </c>
      <c r="B1680" s="3" t="s">
        <v>1687</v>
      </c>
      <c r="C1680" s="2" t="str">
        <f ca="1">IFERROR(__xludf.DUMMYFUNCTION("GOOGLETRANSLATE(B1680, ""en"",""es"")"),"presentación")</f>
        <v>presentación</v>
      </c>
      <c r="D1680" s="2" t="str">
        <f ca="1">IFERROR(__xludf.DUMMYFUNCTION("GOOGLETRANSLATE(B1680,""en"",""ig"")"),"inye onyinye")</f>
        <v>inye onyinye</v>
      </c>
      <c r="E1680" s="2" t="str">
        <f ca="1">IFERROR(__xludf.DUMMYFUNCTION("GOOGLETRANSLATE(B1680,""en"",""fr"")"),"présentation")</f>
        <v>présentation</v>
      </c>
      <c r="F1680" s="2" t="str">
        <f ca="1">IFERROR(__xludf.DUMMYFUNCTION("GOOGLETRANSLATE(B1680,""en"",""it"")"),"presentazione")</f>
        <v>presentazione</v>
      </c>
      <c r="G1680" s="2" t="str">
        <f ca="1">IFERROR(__xludf.DUMMYFUNCTION("GOOGLETRANSLATE(B1680,""en"",""de"")"),"Präsentation")</f>
        <v>Präsentation</v>
      </c>
      <c r="H1680" s="2" t="str">
        <f ca="1">IFERROR(__xludf.DUMMYFUNCTION("GOOGLETRANSLATE(B1680,""en"",""zh"")"),"推介会")</f>
        <v>推介会</v>
      </c>
      <c r="I1680" s="2" t="str">
        <f ca="1">IFERROR(__xludf.DUMMYFUNCTION("GOOGLETRANSLATE(B1680,""en"",""gd"")"),"Taisbeanadh")</f>
        <v>Taisbeanadh</v>
      </c>
    </row>
    <row r="1681" spans="1:9" ht="14.25" customHeight="1" x14ac:dyDescent="0.3">
      <c r="A1681" s="2">
        <v>1680</v>
      </c>
      <c r="B1681" s="3" t="s">
        <v>1688</v>
      </c>
      <c r="C1681" s="2" t="str">
        <f ca="1">IFERROR(__xludf.DUMMYFUNCTION("GOOGLETRANSLATE(B1681, ""en"",""es"")"),"articulación")</f>
        <v>articulación</v>
      </c>
      <c r="D1681" s="2" t="str">
        <f ca="1">IFERROR(__xludf.DUMMYFUNCTION("GOOGLETRANSLATE(B1681,""en"",""ig"")"),"okukpu")</f>
        <v>okukpu</v>
      </c>
      <c r="E1681" s="2" t="str">
        <f ca="1">IFERROR(__xludf.DUMMYFUNCTION("GOOGLETRANSLATE(B1681,""en"",""fr"")"),"articulation")</f>
        <v>articulation</v>
      </c>
      <c r="F1681" s="2" t="str">
        <f ca="1">IFERROR(__xludf.DUMMYFUNCTION("GOOGLETRANSLATE(B1681,""en"",""it"")"),"giunto")</f>
        <v>giunto</v>
      </c>
      <c r="G1681" s="2" t="str">
        <f ca="1">IFERROR(__xludf.DUMMYFUNCTION("GOOGLETRANSLATE(B1681,""en"",""de"")"),"gemeinsam")</f>
        <v>gemeinsam</v>
      </c>
      <c r="H1681" s="2" t="str">
        <f ca="1">IFERROR(__xludf.DUMMYFUNCTION("GOOGLETRANSLATE(B1681,""en"",""zh"")"),"联合的")</f>
        <v>联合的</v>
      </c>
      <c r="I1681" s="2" t="str">
        <f ca="1">IFERROR(__xludf.DUMMYFUNCTION("GOOGLETRANSLATE(B1681,""en"",""gd"")"),"co-phàirteach")</f>
        <v>co-phàirteach</v>
      </c>
    </row>
    <row r="1682" spans="1:9" ht="14.25" customHeight="1" x14ac:dyDescent="0.3">
      <c r="A1682" s="2">
        <v>1681</v>
      </c>
      <c r="B1682" s="3" t="s">
        <v>1689</v>
      </c>
      <c r="C1682" s="2" t="str">
        <f ca="1">IFERROR(__xludf.DUMMYFUNCTION("GOOGLETRANSLATE(B1682, ""en"",""es"")"),"competir")</f>
        <v>competir</v>
      </c>
      <c r="D1682" s="2" t="str">
        <f ca="1">IFERROR(__xludf.DUMMYFUNCTION("GOOGLETRANSLATE(B1682,""en"",""ig"")"),"isompi")</f>
        <v>isompi</v>
      </c>
      <c r="E1682" s="2" t="str">
        <f ca="1">IFERROR(__xludf.DUMMYFUNCTION("GOOGLETRANSLATE(B1682,""en"",""fr"")"),"rivaliser")</f>
        <v>rivaliser</v>
      </c>
      <c r="F1682" s="2" t="str">
        <f ca="1">IFERROR(__xludf.DUMMYFUNCTION("GOOGLETRANSLATE(B1682,""en"",""it"")"),"competere")</f>
        <v>competere</v>
      </c>
      <c r="G1682" s="2" t="str">
        <f ca="1">IFERROR(__xludf.DUMMYFUNCTION("GOOGLETRANSLATE(B1682,""en"",""de"")"),"wetteifern")</f>
        <v>wetteifern</v>
      </c>
      <c r="H1682" s="2" t="str">
        <f ca="1">IFERROR(__xludf.DUMMYFUNCTION("GOOGLETRANSLATE(B1682,""en"",""zh"")"),"竞争")</f>
        <v>竞争</v>
      </c>
      <c r="I1682" s="2" t="str">
        <f ca="1">IFERROR(__xludf.DUMMYFUNCTION("GOOGLETRANSLATE(B1682,""en"",""gd"")"),"farpais")</f>
        <v>farpais</v>
      </c>
    </row>
    <row r="1683" spans="1:9" ht="14.25" customHeight="1" x14ac:dyDescent="0.3">
      <c r="A1683" s="2">
        <v>1682</v>
      </c>
      <c r="B1683" s="3" t="s">
        <v>1690</v>
      </c>
      <c r="C1683" s="2" t="str">
        <f ca="1">IFERROR(__xludf.DUMMYFUNCTION("GOOGLETRANSLATE(B1683, ""en"",""es"")"),"encuesta")</f>
        <v>encuesta</v>
      </c>
      <c r="D1683" s="2" t="str">
        <f ca="1">IFERROR(__xludf.DUMMYFUNCTION("GOOGLETRANSLATE(B1683,""en"",""ig"")"),"nghoputa")</f>
        <v>nghoputa</v>
      </c>
      <c r="E1683" s="2" t="str">
        <f ca="1">IFERROR(__xludf.DUMMYFUNCTION("GOOGLETRANSLATE(B1683,""en"",""fr"")"),"sondage")</f>
        <v>sondage</v>
      </c>
      <c r="F1683" s="2" t="str">
        <f ca="1">IFERROR(__xludf.DUMMYFUNCTION("GOOGLETRANSLATE(B1683,""en"",""it"")"),"sondaggio")</f>
        <v>sondaggio</v>
      </c>
      <c r="G1683" s="2" t="str">
        <f ca="1">IFERROR(__xludf.DUMMYFUNCTION("GOOGLETRANSLATE(B1683,""en"",""de"")"),"Umfrage")</f>
        <v>Umfrage</v>
      </c>
      <c r="H1683" s="2" t="str">
        <f ca="1">IFERROR(__xludf.DUMMYFUNCTION("GOOGLETRANSLATE(B1683,""en"",""zh"")"),"轮询")</f>
        <v>轮询</v>
      </c>
      <c r="I1683" s="2" t="str">
        <f ca="1">IFERROR(__xludf.DUMMYFUNCTION("GOOGLETRANSLATE(B1683,""en"",""gd"")"),"Poll")</f>
        <v>Poll</v>
      </c>
    </row>
    <row r="1684" spans="1:9" ht="14.25" customHeight="1" x14ac:dyDescent="0.3">
      <c r="A1684" s="2">
        <v>1683</v>
      </c>
      <c r="B1684" s="3" t="s">
        <v>1691</v>
      </c>
      <c r="C1684" s="2" t="str">
        <f ca="1">IFERROR(__xludf.DUMMYFUNCTION("GOOGLETRANSLATE(B1684, ""en"",""es"")"),"débil")</f>
        <v>débil</v>
      </c>
      <c r="D1684" s="2" t="str">
        <f ca="1">IFERROR(__xludf.DUMMYFUNCTION("GOOGLETRANSLATE(B1684,""en"",""ig"")"),"adighi ike")</f>
        <v>adighi ike</v>
      </c>
      <c r="E1684" s="2" t="str">
        <f ca="1">IFERROR(__xludf.DUMMYFUNCTION("GOOGLETRANSLATE(B1684,""en"",""fr"")"),"faible")</f>
        <v>faible</v>
      </c>
      <c r="F1684" s="2" t="str">
        <f ca="1">IFERROR(__xludf.DUMMYFUNCTION("GOOGLETRANSLATE(B1684,""en"",""it"")"),"Debole")</f>
        <v>Debole</v>
      </c>
      <c r="G1684" s="2" t="str">
        <f ca="1">IFERROR(__xludf.DUMMYFUNCTION("GOOGLETRANSLATE(B1684,""en"",""de"")"),"schwach")</f>
        <v>schwach</v>
      </c>
      <c r="H1684" s="2" t="str">
        <f ca="1">IFERROR(__xludf.DUMMYFUNCTION("GOOGLETRANSLATE(B1684,""en"",""zh"")"),"虚弱的")</f>
        <v>虚弱的</v>
      </c>
      <c r="I1684" s="2" t="str">
        <f ca="1">IFERROR(__xludf.DUMMYFUNCTION("GOOGLETRANSLATE(B1684,""en"",""gd"")"),"lag")</f>
        <v>lag</v>
      </c>
    </row>
    <row r="1685" spans="1:9" ht="14.25" customHeight="1" x14ac:dyDescent="0.3">
      <c r="A1685" s="2">
        <v>1684</v>
      </c>
      <c r="B1685" s="3" t="s">
        <v>1692</v>
      </c>
      <c r="C1685" s="2" t="str">
        <f ca="1">IFERROR(__xludf.DUMMYFUNCTION("GOOGLETRANSLATE(B1685, ""en"",""es"")"),"fe")</f>
        <v>fe</v>
      </c>
      <c r="D1685" s="2" t="str">
        <f ca="1">IFERROR(__xludf.DUMMYFUNCTION("GOOGLETRANSLATE(B1685,""en"",""ig"")"),"okwukwe")</f>
        <v>okwukwe</v>
      </c>
      <c r="E1685" s="2" t="str">
        <f ca="1">IFERROR(__xludf.DUMMYFUNCTION("GOOGLETRANSLATE(B1685,""en"",""fr"")"),"foi")</f>
        <v>foi</v>
      </c>
      <c r="F1685" s="2" t="str">
        <f ca="1">IFERROR(__xludf.DUMMYFUNCTION("GOOGLETRANSLATE(B1685,""en"",""it"")"),"fede")</f>
        <v>fede</v>
      </c>
      <c r="G1685" s="2" t="str">
        <f ca="1">IFERROR(__xludf.DUMMYFUNCTION("GOOGLETRANSLATE(B1685,""en"",""de"")"),"Glaube")</f>
        <v>Glaube</v>
      </c>
      <c r="H1685" s="2" t="str">
        <f ca="1">IFERROR(__xludf.DUMMYFUNCTION("GOOGLETRANSLATE(B1685,""en"",""zh"")"),"信仰")</f>
        <v>信仰</v>
      </c>
      <c r="I1685" s="2" t="str">
        <f ca="1">IFERROR(__xludf.DUMMYFUNCTION("GOOGLETRANSLATE(B1685,""en"",""gd"")"),"creideamh")</f>
        <v>creideamh</v>
      </c>
    </row>
    <row r="1686" spans="1:9" ht="14.25" customHeight="1" x14ac:dyDescent="0.3">
      <c r="A1686" s="2">
        <v>1685</v>
      </c>
      <c r="B1686" s="3" t="s">
        <v>1693</v>
      </c>
      <c r="C1686" s="2" t="str">
        <f ca="1">IFERROR(__xludf.DUMMYFUNCTION("GOOGLETRANSLATE(B1686, ""en"",""es"")"),"reducción")</f>
        <v>reducción</v>
      </c>
      <c r="D1686" s="2" t="str">
        <f ca="1">IFERROR(__xludf.DUMMYFUNCTION("GOOGLETRANSLATE(B1686,""en"",""ig"")"),"mmedata")</f>
        <v>mmedata</v>
      </c>
      <c r="E1686" s="2" t="str">
        <f ca="1">IFERROR(__xludf.DUMMYFUNCTION("GOOGLETRANSLATE(B1686,""en"",""fr"")"),"réduction")</f>
        <v>réduction</v>
      </c>
      <c r="F1686" s="2" t="str">
        <f ca="1">IFERROR(__xludf.DUMMYFUNCTION("GOOGLETRANSLATE(B1686,""en"",""it"")"),"riduzione")</f>
        <v>riduzione</v>
      </c>
      <c r="G1686" s="2" t="str">
        <f ca="1">IFERROR(__xludf.DUMMYFUNCTION("GOOGLETRANSLATE(B1686,""en"",""de"")"),"die Ermäßigung")</f>
        <v>die Ermäßigung</v>
      </c>
      <c r="H1686" s="2" t="str">
        <f ca="1">IFERROR(__xludf.DUMMYFUNCTION("GOOGLETRANSLATE(B1686,""en"",""zh"")"),"减少")</f>
        <v>减少</v>
      </c>
      <c r="I1686" s="2" t="str">
        <f ca="1">IFERROR(__xludf.DUMMYFUNCTION("GOOGLETRANSLATE(B1686,""en"",""gd"")"),"Lùghdachadh")</f>
        <v>Lùghdachadh</v>
      </c>
    </row>
    <row r="1687" spans="1:9" ht="14.25" customHeight="1" x14ac:dyDescent="0.3">
      <c r="A1687" s="2">
        <v>1686</v>
      </c>
      <c r="B1687" s="3" t="s">
        <v>1694</v>
      </c>
      <c r="C1687" s="2" t="str">
        <f ca="1">IFERROR(__xludf.DUMMYFUNCTION("GOOGLETRANSLATE(B1687, ""en"",""es"")"),"reservar")</f>
        <v>reservar</v>
      </c>
      <c r="D1687" s="2" t="str">
        <f ca="1">IFERROR(__xludf.DUMMYFUNCTION("GOOGLETRANSLATE(B1687,""en"",""ig"")"),"idobere")</f>
        <v>idobere</v>
      </c>
      <c r="E1687" s="2" t="str">
        <f ca="1">IFERROR(__xludf.DUMMYFUNCTION("GOOGLETRANSLATE(B1687,""en"",""fr"")"),"réserve")</f>
        <v>réserve</v>
      </c>
      <c r="F1687" s="2" t="str">
        <f ca="1">IFERROR(__xludf.DUMMYFUNCTION("GOOGLETRANSLATE(B1687,""en"",""it"")"),"Riserva")</f>
        <v>Riserva</v>
      </c>
      <c r="G1687" s="2" t="str">
        <f ca="1">IFERROR(__xludf.DUMMYFUNCTION("GOOGLETRANSLATE(B1687,""en"",""de"")"),"Reservieren")</f>
        <v>Reservieren</v>
      </c>
      <c r="H1687" s="2" t="str">
        <f ca="1">IFERROR(__xludf.DUMMYFUNCTION("GOOGLETRANSLATE(B1687,""en"",""zh"")"),"预订")</f>
        <v>预订</v>
      </c>
      <c r="I1687" s="2" t="str">
        <f ca="1">IFERROR(__xludf.DUMMYFUNCTION("GOOGLETRANSLATE(B1687,""en"",""gd"")"),"Tèarmann")</f>
        <v>Tèarmann</v>
      </c>
    </row>
    <row r="1688" spans="1:9" ht="14.25" customHeight="1" x14ac:dyDescent="0.3">
      <c r="A1688" s="2">
        <v>1687</v>
      </c>
      <c r="B1688" s="3" t="s">
        <v>1695</v>
      </c>
      <c r="C1688" s="2" t="str">
        <f ca="1">IFERROR(__xludf.DUMMYFUNCTION("GOOGLETRANSLATE(B1688, ""en"",""es"")"),"queja")</f>
        <v>queja</v>
      </c>
      <c r="D1688" s="2" t="str">
        <f ca="1">IFERROR(__xludf.DUMMYFUNCTION("GOOGLETRANSLATE(B1688,""en"",""ig"")"),"mkpesa")</f>
        <v>mkpesa</v>
      </c>
      <c r="E1688" s="2" t="str">
        <f ca="1">IFERROR(__xludf.DUMMYFUNCTION("GOOGLETRANSLATE(B1688,""en"",""fr"")"),"plainte")</f>
        <v>plainte</v>
      </c>
      <c r="F1688" s="2" t="str">
        <f ca="1">IFERROR(__xludf.DUMMYFUNCTION("GOOGLETRANSLATE(B1688,""en"",""it"")"),"rimostranza")</f>
        <v>rimostranza</v>
      </c>
      <c r="G1688" s="2" t="str">
        <f ca="1">IFERROR(__xludf.DUMMYFUNCTION("GOOGLETRANSLATE(B1688,""en"",""de"")"),"Beschwerde")</f>
        <v>Beschwerde</v>
      </c>
      <c r="H1688" s="2" t="str">
        <f ca="1">IFERROR(__xludf.DUMMYFUNCTION("GOOGLETRANSLATE(B1688,""en"",""zh"")"),"抱怨")</f>
        <v>抱怨</v>
      </c>
      <c r="I1688" s="2" t="str">
        <f ca="1">IFERROR(__xludf.DUMMYFUNCTION("GOOGLETRANSLATE(B1688,""en"",""gd"")"),"Gearan")</f>
        <v>Gearan</v>
      </c>
    </row>
    <row r="1689" spans="1:9" ht="14.25" customHeight="1" x14ac:dyDescent="0.3">
      <c r="A1689" s="2">
        <v>1688</v>
      </c>
      <c r="B1689" s="3" t="s">
        <v>1696</v>
      </c>
      <c r="C1689" s="2" t="str">
        <f ca="1">IFERROR(__xludf.DUMMYFUNCTION("GOOGLETRANSLATE(B1689, ""en"",""es"")"),"aburrir")</f>
        <v>aburrir</v>
      </c>
      <c r="D1689" s="2" t="str">
        <f ca="1">IFERROR(__xludf.DUMMYFUNCTION("GOOGLETRANSLATE(B1689,""en"",""ig"")"),"igwu onu")</f>
        <v>igwu onu</v>
      </c>
      <c r="E1689" s="2" t="str">
        <f ca="1">IFERROR(__xludf.DUMMYFUNCTION("GOOGLETRANSLATE(B1689,""en"",""fr"")"),"alésage")</f>
        <v>alésage</v>
      </c>
      <c r="F1689" s="2" t="str">
        <f ca="1">IFERROR(__xludf.DUMMYFUNCTION("GOOGLETRANSLATE(B1689,""en"",""it"")"),"foro")</f>
        <v>foro</v>
      </c>
      <c r="G1689" s="2" t="str">
        <f ca="1">IFERROR(__xludf.DUMMYFUNCTION("GOOGLETRANSLATE(B1689,""en"",""de"")"),"Bohrung")</f>
        <v>Bohrung</v>
      </c>
      <c r="H1689" s="2" t="str">
        <f ca="1">IFERROR(__xludf.DUMMYFUNCTION("GOOGLETRANSLATE(B1689,""en"",""zh"")"),"孔")</f>
        <v>孔</v>
      </c>
      <c r="I1689" s="2" t="str">
        <f ca="1">IFERROR(__xludf.DUMMYFUNCTION("GOOGLETRANSLATE(B1689,""en"",""gd"")"),"Bore")</f>
        <v>Bore</v>
      </c>
    </row>
    <row r="1690" spans="1:9" ht="14.25" customHeight="1" x14ac:dyDescent="0.3">
      <c r="A1690" s="2">
        <v>1689</v>
      </c>
      <c r="B1690" s="3" t="s">
        <v>1697</v>
      </c>
      <c r="C1690" s="2" t="str">
        <f ca="1">IFERROR(__xludf.DUMMYFUNCTION("GOOGLETRANSLATE(B1690, ""en"",""es"")"),"misión")</f>
        <v>misión</v>
      </c>
      <c r="D1690" s="2" t="str">
        <f ca="1">IFERROR(__xludf.DUMMYFUNCTION("GOOGLETRANSLATE(B1690,""en"",""ig"")"),"ozi")</f>
        <v>ozi</v>
      </c>
      <c r="E1690" s="2" t="str">
        <f ca="1">IFERROR(__xludf.DUMMYFUNCTION("GOOGLETRANSLATE(B1690,""en"",""fr"")"),"mission")</f>
        <v>mission</v>
      </c>
      <c r="F1690" s="2" t="str">
        <f ca="1">IFERROR(__xludf.DUMMYFUNCTION("GOOGLETRANSLATE(B1690,""en"",""it"")"),"missione")</f>
        <v>missione</v>
      </c>
      <c r="G1690" s="2" t="str">
        <f ca="1">IFERROR(__xludf.DUMMYFUNCTION("GOOGLETRANSLATE(B1690,""en"",""de"")"),"Mission")</f>
        <v>Mission</v>
      </c>
      <c r="H1690" s="2" t="str">
        <f ca="1">IFERROR(__xludf.DUMMYFUNCTION("GOOGLETRANSLATE(B1690,""en"",""zh"")"),"使命")</f>
        <v>使命</v>
      </c>
      <c r="I1690" s="2" t="str">
        <f ca="1">IFERROR(__xludf.DUMMYFUNCTION("GOOGLETRANSLATE(B1690,""en"",""gd"")"),"Misean")</f>
        <v>Misean</v>
      </c>
    </row>
    <row r="1691" spans="1:9" ht="14.25" customHeight="1" x14ac:dyDescent="0.3">
      <c r="A1691" s="2">
        <v>1690</v>
      </c>
      <c r="B1691" s="3" t="s">
        <v>1698</v>
      </c>
      <c r="C1691" s="2" t="str">
        <f ca="1">IFERROR(__xludf.DUMMYFUNCTION("GOOGLETRANSLATE(B1691, ""en"",""es"")"),"de alguna manera")</f>
        <v>de alguna manera</v>
      </c>
      <c r="D1691" s="2" t="str">
        <f ca="1">IFERROR(__xludf.DUMMYFUNCTION("GOOGLETRANSLATE(B1691,""en"",""ig"")"),"otuodila")</f>
        <v>otuodila</v>
      </c>
      <c r="E1691" s="2" t="str">
        <f ca="1">IFERROR(__xludf.DUMMYFUNCTION("GOOGLETRANSLATE(B1691,""en"",""fr"")"),"d'une manière ou d'une autre")</f>
        <v>d'une manière ou d'une autre</v>
      </c>
      <c r="F1691" s="2" t="str">
        <f ca="1">IFERROR(__xludf.DUMMYFUNCTION("GOOGLETRANSLATE(B1691,""en"",""it"")"),"in qualche modo")</f>
        <v>in qualche modo</v>
      </c>
      <c r="G1691" s="2" t="str">
        <f ca="1">IFERROR(__xludf.DUMMYFUNCTION("GOOGLETRANSLATE(B1691,""en"",""de"")"),"irgendwie")</f>
        <v>irgendwie</v>
      </c>
      <c r="H1691" s="2" t="str">
        <f ca="1">IFERROR(__xludf.DUMMYFUNCTION("GOOGLETRANSLATE(B1691,""en"",""zh"")"),"不知何故")</f>
        <v>不知何故</v>
      </c>
      <c r="I1691" s="2" t="str">
        <f ca="1">IFERROR(__xludf.DUMMYFUNCTION("GOOGLETRANSLATE(B1691,""en"",""gd"")"),"dòigh air choireigin")</f>
        <v>dòigh air choireigin</v>
      </c>
    </row>
    <row r="1692" spans="1:9" ht="14.25" customHeight="1" x14ac:dyDescent="0.3">
      <c r="A1692" s="2">
        <v>1691</v>
      </c>
      <c r="B1692" s="3" t="s">
        <v>1699</v>
      </c>
      <c r="C1692" s="2" t="str">
        <f ca="1">IFERROR(__xludf.DUMMYFUNCTION("GOOGLETRANSLATE(B1692, ""en"",""es"")"),"tono")</f>
        <v>tono</v>
      </c>
      <c r="D1692" s="2" t="str">
        <f ca="1">IFERROR(__xludf.DUMMYFUNCTION("GOOGLETRANSLATE(B1692,""en"",""ig"")"),"udaolu")</f>
        <v>udaolu</v>
      </c>
      <c r="E1692" s="2" t="str">
        <f ca="1">IFERROR(__xludf.DUMMYFUNCTION("GOOGLETRANSLATE(B1692,""en"",""fr"")"),"Ton")</f>
        <v>Ton</v>
      </c>
      <c r="F1692" s="2" t="str">
        <f ca="1">IFERROR(__xludf.DUMMYFUNCTION("GOOGLETRANSLATE(B1692,""en"",""it"")"),"tono")</f>
        <v>tono</v>
      </c>
      <c r="G1692" s="2" t="str">
        <f ca="1">IFERROR(__xludf.DUMMYFUNCTION("GOOGLETRANSLATE(B1692,""en"",""de"")"),"Ton")</f>
        <v>Ton</v>
      </c>
      <c r="H1692" s="2" t="str">
        <f ca="1">IFERROR(__xludf.DUMMYFUNCTION("GOOGLETRANSLATE(B1692,""en"",""zh"")"),"语气")</f>
        <v>语气</v>
      </c>
      <c r="I1692" s="2" t="str">
        <f ca="1">IFERROR(__xludf.DUMMYFUNCTION("GOOGLETRANSLATE(B1692,""en"",""gd"")"),"tòn")</f>
        <v>tòn</v>
      </c>
    </row>
    <row r="1693" spans="1:9" ht="14.25" customHeight="1" x14ac:dyDescent="0.3">
      <c r="A1693" s="2">
        <v>1692</v>
      </c>
      <c r="B1693" s="3" t="s">
        <v>1700</v>
      </c>
      <c r="C1693" s="2" t="str">
        <f ca="1">IFERROR(__xludf.DUMMYFUNCTION("GOOGLETRANSLATE(B1693, ""en"",""es"")"),"vecindario")</f>
        <v>vecindario</v>
      </c>
      <c r="D1693" s="2" t="str">
        <f ca="1">IFERROR(__xludf.DUMMYFUNCTION("GOOGLETRANSLATE(B1693,""en"",""ig"")"),"agbataobi")</f>
        <v>agbataobi</v>
      </c>
      <c r="E1693" s="2" t="str">
        <f ca="1">IFERROR(__xludf.DUMMYFUNCTION("GOOGLETRANSLATE(B1693,""en"",""fr"")"),"quartier")</f>
        <v>quartier</v>
      </c>
      <c r="F1693" s="2" t="str">
        <f ca="1">IFERROR(__xludf.DUMMYFUNCTION("GOOGLETRANSLATE(B1693,""en"",""it"")"),"quartiere")</f>
        <v>quartiere</v>
      </c>
      <c r="G1693" s="2" t="str">
        <f ca="1">IFERROR(__xludf.DUMMYFUNCTION("GOOGLETRANSLATE(B1693,""en"",""de"")"),"Nachbarschaft")</f>
        <v>Nachbarschaft</v>
      </c>
      <c r="H1693" s="2" t="str">
        <f ca="1">IFERROR(__xludf.DUMMYFUNCTION("GOOGLETRANSLATE(B1693,""en"",""zh"")"),"邻里")</f>
        <v>邻里</v>
      </c>
      <c r="I1693" s="2" t="str">
        <f ca="1">IFERROR(__xludf.DUMMYFUNCTION("GOOGLETRANSLATE(B1693,""en"",""gd"")"),"nàbachd")</f>
        <v>nàbachd</v>
      </c>
    </row>
    <row r="1694" spans="1:9" ht="14.25" customHeight="1" x14ac:dyDescent="0.3">
      <c r="A1694" s="2">
        <v>1693</v>
      </c>
      <c r="B1694" s="3" t="s">
        <v>1701</v>
      </c>
      <c r="C1694" s="2" t="str">
        <f ca="1">IFERROR(__xludf.DUMMYFUNCTION("GOOGLETRANSLATE(B1694, ""en"",""es"")"),"pasajero")</f>
        <v>pasajero</v>
      </c>
      <c r="D1694" s="2" t="str">
        <f ca="1">IFERROR(__xludf.DUMMYFUNCTION("GOOGLETRANSLATE(B1694,""en"",""ig"")"),"onyeije nwoke")</f>
        <v>onyeije nwoke</v>
      </c>
      <c r="E1694" s="2" t="str">
        <f ca="1">IFERROR(__xludf.DUMMYFUNCTION("GOOGLETRANSLATE(B1694,""en"",""fr"")"),"passager")</f>
        <v>passager</v>
      </c>
      <c r="F1694" s="2" t="str">
        <f ca="1">IFERROR(__xludf.DUMMYFUNCTION("GOOGLETRANSLATE(B1694,""en"",""it"")"),"passeggeri")</f>
        <v>passeggeri</v>
      </c>
      <c r="G1694" s="2" t="str">
        <f ca="1">IFERROR(__xludf.DUMMYFUNCTION("GOOGLETRANSLATE(B1694,""en"",""de"")"),"Passagier")</f>
        <v>Passagier</v>
      </c>
      <c r="H1694" s="2" t="str">
        <f ca="1">IFERROR(__xludf.DUMMYFUNCTION("GOOGLETRANSLATE(B1694,""en"",""zh"")"),"乘客")</f>
        <v>乘客</v>
      </c>
      <c r="I1694" s="2" t="str">
        <f ca="1">IFERROR(__xludf.DUMMYFUNCTION("GOOGLETRANSLATE(B1694,""en"",""gd"")"),"neach-siubhail")</f>
        <v>neach-siubhail</v>
      </c>
    </row>
    <row r="1695" spans="1:9" ht="14.25" customHeight="1" x14ac:dyDescent="0.3">
      <c r="A1695" s="2">
        <v>1694</v>
      </c>
      <c r="B1695" s="3" t="s">
        <v>1702</v>
      </c>
      <c r="C1695" s="2" t="str">
        <f ca="1">IFERROR(__xludf.DUMMYFUNCTION("GOOGLETRANSLATE(B1695, ""en"",""es"")"),"justicia")</f>
        <v>justicia</v>
      </c>
      <c r="D1695" s="2" t="str">
        <f ca="1">IFERROR(__xludf.DUMMYFUNCTION("GOOGLETRANSLATE(B1695,""en"",""ig"")"),"mkpezi")</f>
        <v>mkpezi</v>
      </c>
      <c r="E1695" s="2" t="str">
        <f ca="1">IFERROR(__xludf.DUMMYFUNCTION("GOOGLETRANSLATE(B1695,""en"",""fr"")"),"justice")</f>
        <v>justice</v>
      </c>
      <c r="F1695" s="2" t="str">
        <f ca="1">IFERROR(__xludf.DUMMYFUNCTION("GOOGLETRANSLATE(B1695,""en"",""it"")"),"giustizia")</f>
        <v>giustizia</v>
      </c>
      <c r="G1695" s="2" t="str">
        <f ca="1">IFERROR(__xludf.DUMMYFUNCTION("GOOGLETRANSLATE(B1695,""en"",""de"")"),"Gerechtigkeit")</f>
        <v>Gerechtigkeit</v>
      </c>
      <c r="H1695" s="2" t="str">
        <f ca="1">IFERROR(__xludf.DUMMYFUNCTION("GOOGLETRANSLATE(B1695,""en"",""zh"")"),"正义")</f>
        <v>正义</v>
      </c>
      <c r="I1695" s="2" t="str">
        <f ca="1">IFERROR(__xludf.DUMMYFUNCTION("GOOGLETRANSLATE(B1695,""en"",""gd"")"),"Ceartas")</f>
        <v>Ceartas</v>
      </c>
    </row>
    <row r="1696" spans="1:9" ht="14.25" customHeight="1" x14ac:dyDescent="0.3">
      <c r="A1696" s="2">
        <v>1695</v>
      </c>
      <c r="B1696" s="3" t="s">
        <v>1703</v>
      </c>
      <c r="C1696" s="2" t="str">
        <f ca="1">IFERROR(__xludf.DUMMYFUNCTION("GOOGLETRANSLATE(B1696, ""en"",""es"")"),"fase")</f>
        <v>fase</v>
      </c>
      <c r="D1696" s="2" t="str">
        <f ca="1">IFERROR(__xludf.DUMMYFUNCTION("GOOGLETRANSLATE(B1696,""en"",""ig"")"),"frasi")</f>
        <v>frasi</v>
      </c>
      <c r="E1696" s="2" t="str">
        <f ca="1">IFERROR(__xludf.DUMMYFUNCTION("GOOGLETRANSLATE(B1696,""en"",""fr"")"),"phase")</f>
        <v>phase</v>
      </c>
      <c r="F1696" s="2" t="str">
        <f ca="1">IFERROR(__xludf.DUMMYFUNCTION("GOOGLETRANSLATE(B1696,""en"",""it"")"),"fase")</f>
        <v>fase</v>
      </c>
      <c r="G1696" s="2" t="str">
        <f ca="1">IFERROR(__xludf.DUMMYFUNCTION("GOOGLETRANSLATE(B1696,""en"",""de"")"),"Phase")</f>
        <v>Phase</v>
      </c>
      <c r="H1696" s="2" t="str">
        <f ca="1">IFERROR(__xludf.DUMMYFUNCTION("GOOGLETRANSLATE(B1696,""en"",""zh"")"),"阶段")</f>
        <v>阶段</v>
      </c>
      <c r="I1696" s="2" t="str">
        <f ca="1">IFERROR(__xludf.DUMMYFUNCTION("GOOGLETRANSLATE(B1696,""en"",""gd"")"),"ìre")</f>
        <v>ìre</v>
      </c>
    </row>
    <row r="1697" spans="1:9" ht="14.25" customHeight="1" x14ac:dyDescent="0.3">
      <c r="A1697" s="2">
        <v>1696</v>
      </c>
      <c r="B1697" s="3" t="s">
        <v>1704</v>
      </c>
      <c r="C1697" s="2" t="str">
        <f ca="1">IFERROR(__xludf.DUMMYFUNCTION("GOOGLETRANSLATE(B1697, ""en"",""es"")"),"delgado")</f>
        <v>delgado</v>
      </c>
      <c r="D1697" s="2" t="str">
        <f ca="1">IFERROR(__xludf.DUMMYFUNCTION("GOOGLETRANSLATE(B1697,""en"",""ig"")"),"girigiri")</f>
        <v>girigiri</v>
      </c>
      <c r="E1697" s="2" t="str">
        <f ca="1">IFERROR(__xludf.DUMMYFUNCTION("GOOGLETRANSLATE(B1697,""en"",""fr"")"),"mince")</f>
        <v>mince</v>
      </c>
      <c r="F1697" s="2" t="str">
        <f ca="1">IFERROR(__xludf.DUMMYFUNCTION("GOOGLETRANSLATE(B1697,""en"",""it"")"),"magro")</f>
        <v>magro</v>
      </c>
      <c r="G1697" s="2" t="str">
        <f ca="1">IFERROR(__xludf.DUMMYFUNCTION("GOOGLETRANSLATE(B1697,""en"",""de"")"),"dünn")</f>
        <v>dünn</v>
      </c>
      <c r="H1697" s="2" t="str">
        <f ca="1">IFERROR(__xludf.DUMMYFUNCTION("GOOGLETRANSLATE(B1697,""en"",""zh"")"),"薄的")</f>
        <v>薄的</v>
      </c>
      <c r="I1697" s="2" t="str">
        <f ca="1">IFERROR(__xludf.DUMMYFUNCTION("GOOGLETRANSLATE(B1697,""en"",""gd"")"),"tana")</f>
        <v>tana</v>
      </c>
    </row>
    <row r="1698" spans="1:9" ht="14.25" customHeight="1" x14ac:dyDescent="0.3">
      <c r="A1698" s="2">
        <v>1697</v>
      </c>
      <c r="B1698" s="3" t="s">
        <v>1705</v>
      </c>
      <c r="C1698" s="2" t="str">
        <f ca="1">IFERROR(__xludf.DUMMYFUNCTION("GOOGLETRANSLATE(B1698, ""en"",""es"")"),"correr")</f>
        <v>correr</v>
      </c>
      <c r="D1698" s="2" t="str">
        <f ca="1">IFERROR(__xludf.DUMMYFUNCTION("GOOGLETRANSLATE(B1698,""en"",""ig"")"),"rosh")</f>
        <v>rosh</v>
      </c>
      <c r="E1698" s="2" t="str">
        <f ca="1">IFERROR(__xludf.DUMMYFUNCTION("GOOGLETRANSLATE(B1698,""en"",""fr"")"),"se précipiter")</f>
        <v>se précipiter</v>
      </c>
      <c r="F1698" s="2" t="str">
        <f ca="1">IFERROR(__xludf.DUMMYFUNCTION("GOOGLETRANSLATE(B1698,""en"",""it"")"),"fretta")</f>
        <v>fretta</v>
      </c>
      <c r="G1698" s="2" t="str">
        <f ca="1">IFERROR(__xludf.DUMMYFUNCTION("GOOGLETRANSLATE(B1698,""en"",""de"")"),"eilen")</f>
        <v>eilen</v>
      </c>
      <c r="H1698" s="2" t="str">
        <f ca="1">IFERROR(__xludf.DUMMYFUNCTION("GOOGLETRANSLATE(B1698,""en"",""zh"")"),"匆忙")</f>
        <v>匆忙</v>
      </c>
      <c r="I1698" s="2" t="str">
        <f ca="1">IFERROR(__xludf.DUMMYFUNCTION("GOOGLETRANSLATE(B1698,""en"",""gd"")"),"Rush")</f>
        <v>Rush</v>
      </c>
    </row>
    <row r="1699" spans="1:9" ht="14.25" customHeight="1" x14ac:dyDescent="0.3">
      <c r="A1699" s="2">
        <v>1698</v>
      </c>
      <c r="B1699" s="3" t="s">
        <v>1706</v>
      </c>
      <c r="C1699" s="2" t="str">
        <f ca="1">IFERROR(__xludf.DUMMYFUNCTION("GOOGLETRANSLATE(B1699, ""en"",""es"")"),"formal")</f>
        <v>formal</v>
      </c>
      <c r="D1699" s="2" t="str">
        <f ca="1">IFERROR(__xludf.DUMMYFUNCTION("GOOGLETRANSLATE(B1699,""en"",""ig"")"),"kendi")</f>
        <v>kendi</v>
      </c>
      <c r="E1699" s="2" t="str">
        <f ca="1">IFERROR(__xludf.DUMMYFUNCTION("GOOGLETRANSLATE(B1699,""en"",""fr"")"),"officiel")</f>
        <v>officiel</v>
      </c>
      <c r="F1699" s="2" t="str">
        <f ca="1">IFERROR(__xludf.DUMMYFUNCTION("GOOGLETRANSLATE(B1699,""en"",""it"")"),"formale")</f>
        <v>formale</v>
      </c>
      <c r="G1699" s="2" t="str">
        <f ca="1">IFERROR(__xludf.DUMMYFUNCTION("GOOGLETRANSLATE(B1699,""en"",""de"")"),"formell")</f>
        <v>formell</v>
      </c>
      <c r="H1699" s="2" t="str">
        <f ca="1">IFERROR(__xludf.DUMMYFUNCTION("GOOGLETRANSLATE(B1699,""en"",""zh"")"),"正式的")</f>
        <v>正式的</v>
      </c>
      <c r="I1699" s="2" t="str">
        <f ca="1">IFERROR(__xludf.DUMMYFUNCTION("GOOGLETRANSLATE(B1699,""en"",""gd"")"),"foirmeil")</f>
        <v>foirmeil</v>
      </c>
    </row>
    <row r="1700" spans="1:9" ht="14.25" customHeight="1" x14ac:dyDescent="0.3">
      <c r="A1700" s="2">
        <v>1699</v>
      </c>
      <c r="B1700" s="3" t="s">
        <v>1707</v>
      </c>
      <c r="C1700" s="2" t="str">
        <f ca="1">IFERROR(__xludf.DUMMYFUNCTION("GOOGLETRANSLATE(B1700, ""en"",""es"")"),"religión")</f>
        <v>religión</v>
      </c>
      <c r="D1700" s="2" t="str">
        <f ca="1">IFERROR(__xludf.DUMMYFUNCTION("GOOGLETRANSLATE(B1700,""en"",""ig"")"),"mkerechi")</f>
        <v>mkerechi</v>
      </c>
      <c r="E1700" s="2" t="str">
        <f ca="1">IFERROR(__xludf.DUMMYFUNCTION("GOOGLETRANSLATE(B1700,""en"",""fr"")"),"religion")</f>
        <v>religion</v>
      </c>
      <c r="F1700" s="2" t="str">
        <f ca="1">IFERROR(__xludf.DUMMYFUNCTION("GOOGLETRANSLATE(B1700,""en"",""it"")"),"religione")</f>
        <v>religione</v>
      </c>
      <c r="G1700" s="2" t="str">
        <f ca="1">IFERROR(__xludf.DUMMYFUNCTION("GOOGLETRANSLATE(B1700,""en"",""de"")"),"Religion")</f>
        <v>Religion</v>
      </c>
      <c r="H1700" s="2" t="str">
        <f ca="1">IFERROR(__xludf.DUMMYFUNCTION("GOOGLETRANSLATE(B1700,""en"",""zh"")"),"宗教")</f>
        <v>宗教</v>
      </c>
      <c r="I1700" s="2" t="str">
        <f ca="1">IFERROR(__xludf.DUMMYFUNCTION("GOOGLETRANSLATE(B1700,""en"",""gd"")"),"Creideamh")</f>
        <v>Creideamh</v>
      </c>
    </row>
    <row r="1701" spans="1:9" ht="14.25" customHeight="1" x14ac:dyDescent="0.3">
      <c r="A1701" s="2">
        <v>1700</v>
      </c>
      <c r="B1701" s="3" t="s">
        <v>1708</v>
      </c>
      <c r="C1701" s="2" t="str">
        <f ca="1">IFERROR(__xludf.DUMMYFUNCTION("GOOGLETRANSLATE(B1701, ""en"",""es"")"),"empleador")</f>
        <v>empleador</v>
      </c>
      <c r="D1701" s="2" t="str">
        <f ca="1">IFERROR(__xludf.DUMMYFUNCTION("GOOGLETRANSLATE(B1701,""en"",""ig"")"),"onye oru")</f>
        <v>onye oru</v>
      </c>
      <c r="E1701" s="2" t="str">
        <f ca="1">IFERROR(__xludf.DUMMYFUNCTION("GOOGLETRANSLATE(B1701,""en"",""fr"")"),"employeur")</f>
        <v>employeur</v>
      </c>
      <c r="F1701" s="2" t="str">
        <f ca="1">IFERROR(__xludf.DUMMYFUNCTION("GOOGLETRANSLATE(B1701,""en"",""it"")"),"datore di lavoro")</f>
        <v>datore di lavoro</v>
      </c>
      <c r="G1701" s="2" t="str">
        <f ca="1">IFERROR(__xludf.DUMMYFUNCTION("GOOGLETRANSLATE(B1701,""en"",""de"")"),"Arbeitgeber")</f>
        <v>Arbeitgeber</v>
      </c>
      <c r="H1701" s="2" t="str">
        <f ca="1">IFERROR(__xludf.DUMMYFUNCTION("GOOGLETRANSLATE(B1701,""en"",""zh"")"),"雇主")</f>
        <v>雇主</v>
      </c>
      <c r="I1701" s="2" t="str">
        <f ca="1">IFERROR(__xludf.DUMMYFUNCTION("GOOGLETRANSLATE(B1701,""en"",""gd"")"),"fastaiche")</f>
        <v>fastaiche</v>
      </c>
    </row>
    <row r="1702" spans="1:9" ht="14.25" customHeight="1" x14ac:dyDescent="0.3">
      <c r="A1702" s="2">
        <v>1701</v>
      </c>
      <c r="B1702" s="3" t="s">
        <v>1709</v>
      </c>
      <c r="C1702" s="2" t="str">
        <f ca="1">IFERROR(__xludf.DUMMYFUNCTION("GOOGLETRANSLATE(B1702, ""en"",""es"")"),"rechazar")</f>
        <v>rechazar</v>
      </c>
      <c r="D1702" s="2" t="str">
        <f ca="1">IFERROR(__xludf.DUMMYFUNCTION("GOOGLETRANSLATE(B1702,""en"",""ig"")"),"iju")</f>
        <v>iju</v>
      </c>
      <c r="E1702" s="2" t="str">
        <f ca="1">IFERROR(__xludf.DUMMYFUNCTION("GOOGLETRANSLATE(B1702,""en"",""fr"")"),"rejeter")</f>
        <v>rejeter</v>
      </c>
      <c r="F1702" s="2" t="str">
        <f ca="1">IFERROR(__xludf.DUMMYFUNCTION("GOOGLETRANSLATE(B1702,""en"",""it"")"),"rifiutare")</f>
        <v>rifiutare</v>
      </c>
      <c r="G1702" s="2" t="str">
        <f ca="1">IFERROR(__xludf.DUMMYFUNCTION("GOOGLETRANSLATE(B1702,""en"",""de"")"),"ablehnen")</f>
        <v>ablehnen</v>
      </c>
      <c r="H1702" s="2" t="str">
        <f ca="1">IFERROR(__xludf.DUMMYFUNCTION("GOOGLETRANSLATE(B1702,""en"",""zh"")"),"拒绝")</f>
        <v>拒绝</v>
      </c>
      <c r="I1702" s="2" t="str">
        <f ca="1">IFERROR(__xludf.DUMMYFUNCTION("GOOGLETRANSLATE(B1702,""en"",""gd"")"),"diùltadh")</f>
        <v>diùltadh</v>
      </c>
    </row>
    <row r="1703" spans="1:9" ht="14.25" customHeight="1" x14ac:dyDescent="0.3">
      <c r="A1703" s="2">
        <v>1702</v>
      </c>
      <c r="B1703" s="3" t="s">
        <v>1710</v>
      </c>
      <c r="C1703" s="2" t="str">
        <f ca="1">IFERROR(__xludf.DUMMYFUNCTION("GOOGLETRANSLATE(B1703, ""en"",""es"")"),"último")</f>
        <v>último</v>
      </c>
      <c r="D1703" s="2" t="str">
        <f ca="1">IFERROR(__xludf.DUMMYFUNCTION("GOOGLETRANSLATE(B1703,""en"",""ig"")"),"nke azu")</f>
        <v>nke azu</v>
      </c>
      <c r="E1703" s="2" t="str">
        <f ca="1">IFERROR(__xludf.DUMMYFUNCTION("GOOGLETRANSLATE(B1703,""en"",""fr"")"),"dernier")</f>
        <v>dernier</v>
      </c>
      <c r="F1703" s="2" t="str">
        <f ca="1">IFERROR(__xludf.DUMMYFUNCTION("GOOGLETRANSLATE(B1703,""en"",""it"")"),"più recente")</f>
        <v>più recente</v>
      </c>
      <c r="G1703" s="2" t="str">
        <f ca="1">IFERROR(__xludf.DUMMYFUNCTION("GOOGLETRANSLATE(B1703,""en"",""de"")"),"letztere")</f>
        <v>letztere</v>
      </c>
      <c r="H1703" s="2" t="str">
        <f ca="1">IFERROR(__xludf.DUMMYFUNCTION("GOOGLETRANSLATE(B1703,""en"",""zh"")"),"后者")</f>
        <v>后者</v>
      </c>
      <c r="I1703" s="2" t="str">
        <f ca="1">IFERROR(__xludf.DUMMYFUNCTION("GOOGLETRANSLATE(B1703,""en"",""gd"")"),"mu dheireadh")</f>
        <v>mu dheireadh</v>
      </c>
    </row>
    <row r="1704" spans="1:9" ht="14.25" customHeight="1" x14ac:dyDescent="0.3">
      <c r="A1704" s="2">
        <v>1703</v>
      </c>
      <c r="B1704" s="3" t="s">
        <v>1711</v>
      </c>
      <c r="C1704" s="2" t="str">
        <f ca="1">IFERROR(__xludf.DUMMYFUNCTION("GOOGLETRANSLATE(B1704, ""en"",""es"")"),"lámina")</f>
        <v>lámina</v>
      </c>
      <c r="D1704" s="2" t="str">
        <f ca="1">IFERROR(__xludf.DUMMYFUNCTION("GOOGLETRANSLATE(B1704,""en"",""ig"")"),"efere")</f>
        <v>efere</v>
      </c>
      <c r="E1704" s="2" t="str">
        <f ca="1">IFERROR(__xludf.DUMMYFUNCTION("GOOGLETRANSLATE(B1704,""en"",""fr"")"),"plaque")</f>
        <v>plaque</v>
      </c>
      <c r="F1704" s="2" t="str">
        <f ca="1">IFERROR(__xludf.DUMMYFUNCTION("GOOGLETRANSLATE(B1704,""en"",""it"")"),"piatto")</f>
        <v>piatto</v>
      </c>
      <c r="G1704" s="2" t="str">
        <f ca="1">IFERROR(__xludf.DUMMYFUNCTION("GOOGLETRANSLATE(B1704,""en"",""de"")"),"Platte")</f>
        <v>Platte</v>
      </c>
      <c r="H1704" s="2" t="str">
        <f ca="1">IFERROR(__xludf.DUMMYFUNCTION("GOOGLETRANSLATE(B1704,""en"",""zh"")"),"盘子")</f>
        <v>盘子</v>
      </c>
      <c r="I1704" s="2" t="str">
        <f ca="1">IFERROR(__xludf.DUMMYFUNCTION("GOOGLETRANSLATE(B1704,""en"",""gd"")"),"Pleit")</f>
        <v>Pleit</v>
      </c>
    </row>
    <row r="1705" spans="1:9" ht="14.25" customHeight="1" x14ac:dyDescent="0.3">
      <c r="A1705" s="2">
        <v>1704</v>
      </c>
      <c r="B1705" s="3" t="s">
        <v>1712</v>
      </c>
      <c r="C1705" s="2" t="str">
        <f ca="1">IFERROR(__xludf.DUMMYFUNCTION("GOOGLETRANSLATE(B1705, ""en"",""es"")"),"prohibición")</f>
        <v>prohibición</v>
      </c>
      <c r="D1705" s="2" t="str">
        <f ca="1">IFERROR(__xludf.DUMMYFUNCTION("GOOGLETRANSLATE(B1705,""en"",""ig"")"),"igbochi")</f>
        <v>igbochi</v>
      </c>
      <c r="E1705" s="2" t="str">
        <f ca="1">IFERROR(__xludf.DUMMYFUNCTION("GOOGLETRANSLATE(B1705,""en"",""fr"")"),"interdire")</f>
        <v>interdire</v>
      </c>
      <c r="F1705" s="2" t="str">
        <f ca="1">IFERROR(__xludf.DUMMYFUNCTION("GOOGLETRANSLATE(B1705,""en"",""it"")"),"bandire")</f>
        <v>bandire</v>
      </c>
      <c r="G1705" s="2" t="str">
        <f ca="1">IFERROR(__xludf.DUMMYFUNCTION("GOOGLETRANSLATE(B1705,""en"",""de"")"),"Verbot")</f>
        <v>Verbot</v>
      </c>
      <c r="H1705" s="2" t="str">
        <f ca="1">IFERROR(__xludf.DUMMYFUNCTION("GOOGLETRANSLATE(B1705,""en"",""zh"")"),"禁止")</f>
        <v>禁止</v>
      </c>
      <c r="I1705" s="2" t="str">
        <f ca="1">IFERROR(__xludf.DUMMYFUNCTION("GOOGLETRANSLATE(B1705,""en"",""gd"")"),"Ban")</f>
        <v>Ban</v>
      </c>
    </row>
    <row r="1706" spans="1:9" ht="14.25" customHeight="1" x14ac:dyDescent="0.3">
      <c r="A1706" s="2">
        <v>1705</v>
      </c>
      <c r="B1706" s="3" t="s">
        <v>1713</v>
      </c>
      <c r="C1706" s="2" t="str">
        <f ca="1">IFERROR(__xludf.DUMMYFUNCTION("GOOGLETRANSLATE(B1706, ""en"",""es"")"),"robar")</f>
        <v>robar</v>
      </c>
      <c r="D1706" s="2" t="str">
        <f ca="1">IFERROR(__xludf.DUMMYFUNCTION("GOOGLETRANSLATE(B1706,""en"",""ig"")"),"izu")</f>
        <v>izu</v>
      </c>
      <c r="E1706" s="2" t="str">
        <f ca="1">IFERROR(__xludf.DUMMYFUNCTION("GOOGLETRANSLATE(B1706,""en"",""fr"")"),"voler")</f>
        <v>voler</v>
      </c>
      <c r="F1706" s="2" t="str">
        <f ca="1">IFERROR(__xludf.DUMMYFUNCTION("GOOGLETRANSLATE(B1706,""en"",""it"")"),"rubare")</f>
        <v>rubare</v>
      </c>
      <c r="G1706" s="2" t="str">
        <f ca="1">IFERROR(__xludf.DUMMYFUNCTION("GOOGLETRANSLATE(B1706,""en"",""de"")"),"stehlen")</f>
        <v>stehlen</v>
      </c>
      <c r="H1706" s="2" t="str">
        <f ca="1">IFERROR(__xludf.DUMMYFUNCTION("GOOGLETRANSLATE(B1706,""en"",""zh"")"),"偷")</f>
        <v>偷</v>
      </c>
      <c r="I1706" s="2" t="str">
        <f ca="1">IFERROR(__xludf.DUMMYFUNCTION("GOOGLETRANSLATE(B1706,""en"",""gd"")"),"goid")</f>
        <v>goid</v>
      </c>
    </row>
    <row r="1707" spans="1:9" ht="14.25" customHeight="1" x14ac:dyDescent="0.3">
      <c r="A1707" s="2">
        <v>1706</v>
      </c>
      <c r="B1707" s="3" t="s">
        <v>1714</v>
      </c>
      <c r="C1707" s="2" t="str">
        <f ca="1">IFERROR(__xludf.DUMMYFUNCTION("GOOGLETRANSLATE(B1707, ""en"",""es"")"),"protesta")</f>
        <v>protesta</v>
      </c>
      <c r="D1707" s="2" t="str">
        <f ca="1">IFERROR(__xludf.DUMMYFUNCTION("GOOGLETRANSLATE(B1707,""en"",""ig"")"),"nkwugide")</f>
        <v>nkwugide</v>
      </c>
      <c r="E1707" s="2" t="str">
        <f ca="1">IFERROR(__xludf.DUMMYFUNCTION("GOOGLETRANSLATE(B1707,""en"",""fr"")"),"manifestation")</f>
        <v>manifestation</v>
      </c>
      <c r="F1707" s="2" t="str">
        <f ca="1">IFERROR(__xludf.DUMMYFUNCTION("GOOGLETRANSLATE(B1707,""en"",""it"")"),"protesta")</f>
        <v>protesta</v>
      </c>
      <c r="G1707" s="2" t="str">
        <f ca="1">IFERROR(__xludf.DUMMYFUNCTION("GOOGLETRANSLATE(B1707,""en"",""de"")"),"Protest")</f>
        <v>Protest</v>
      </c>
      <c r="H1707" s="2" t="str">
        <f ca="1">IFERROR(__xludf.DUMMYFUNCTION("GOOGLETRANSLATE(B1707,""en"",""zh"")"),"反对")</f>
        <v>反对</v>
      </c>
      <c r="I1707" s="2" t="str">
        <f ca="1">IFERROR(__xludf.DUMMYFUNCTION("GOOGLETRANSLATE(B1707,""en"",""gd"")"),"gearan")</f>
        <v>gearan</v>
      </c>
    </row>
    <row r="1708" spans="1:9" ht="14.25" customHeight="1" x14ac:dyDescent="0.3">
      <c r="A1708" s="2">
        <v>1707</v>
      </c>
      <c r="B1708" s="3" t="s">
        <v>1715</v>
      </c>
      <c r="C1708" s="2" t="str">
        <f ca="1">IFERROR(__xludf.DUMMYFUNCTION("GOOGLETRANSLATE(B1708, ""en"",""es"")"),"índice")</f>
        <v>índice</v>
      </c>
      <c r="D1708" s="2" t="str">
        <f ca="1">IFERROR(__xludf.DUMMYFUNCTION("GOOGLETRANSLATE(B1708,""en"",""ig"")"),"ndeksi")</f>
        <v>ndeksi</v>
      </c>
      <c r="E1708" s="2" t="str">
        <f ca="1">IFERROR(__xludf.DUMMYFUNCTION("GOOGLETRANSLATE(B1708,""en"",""fr"")"),"indice")</f>
        <v>indice</v>
      </c>
      <c r="F1708" s="2" t="str">
        <f ca="1">IFERROR(__xludf.DUMMYFUNCTION("GOOGLETRANSLATE(B1708,""en"",""it"")"),"indice")</f>
        <v>indice</v>
      </c>
      <c r="G1708" s="2" t="str">
        <f ca="1">IFERROR(__xludf.DUMMYFUNCTION("GOOGLETRANSLATE(B1708,""en"",""de"")"),"Index")</f>
        <v>Index</v>
      </c>
      <c r="H1708" s="2" t="str">
        <f ca="1">IFERROR(__xludf.DUMMYFUNCTION("GOOGLETRANSLATE(B1708,""en"",""zh"")"),"指数")</f>
        <v>指数</v>
      </c>
      <c r="I1708" s="2" t="str">
        <f ca="1">IFERROR(__xludf.DUMMYFUNCTION("GOOGLETRANSLATE(B1708,""en"",""gd"")"),"Clàr-amais")</f>
        <v>Clàr-amais</v>
      </c>
    </row>
    <row r="1709" spans="1:9" ht="14.25" customHeight="1" x14ac:dyDescent="0.3">
      <c r="A1709" s="2">
        <v>1708</v>
      </c>
      <c r="B1709" s="3" t="s">
        <v>1716</v>
      </c>
      <c r="C1709" s="2" t="str">
        <f ca="1">IFERROR(__xludf.DUMMYFUNCTION("GOOGLETRANSLATE(B1709, ""en"",""es"")"),"triste")</f>
        <v>triste</v>
      </c>
      <c r="D1709" s="2" t="str">
        <f ca="1">IFERROR(__xludf.DUMMYFUNCTION("GOOGLETRANSLATE(B1709,""en"",""ig"")"),"nke mmute")</f>
        <v>nke mmute</v>
      </c>
      <c r="E1709" s="2" t="str">
        <f ca="1">IFERROR(__xludf.DUMMYFUNCTION("GOOGLETRANSLATE(B1709,""en"",""fr"")"),"triste")</f>
        <v>triste</v>
      </c>
      <c r="F1709" s="2" t="str">
        <f ca="1">IFERROR(__xludf.DUMMYFUNCTION("GOOGLETRANSLATE(B1709,""en"",""it"")"),"triste")</f>
        <v>triste</v>
      </c>
      <c r="G1709" s="2" t="str">
        <f ca="1">IFERROR(__xludf.DUMMYFUNCTION("GOOGLETRANSLATE(B1709,""en"",""de"")"),"traurig")</f>
        <v>traurig</v>
      </c>
      <c r="H1709" s="2" t="str">
        <f ca="1">IFERROR(__xludf.DUMMYFUNCTION("GOOGLETRANSLATE(B1709,""en"",""zh"")"),"伤心")</f>
        <v>伤心</v>
      </c>
      <c r="I1709" s="2" t="str">
        <f ca="1">IFERROR(__xludf.DUMMYFUNCTION("GOOGLETRANSLATE(B1709,""en"",""gd"")"),"brònach")</f>
        <v>brònach</v>
      </c>
    </row>
    <row r="1710" spans="1:9" ht="14.25" customHeight="1" x14ac:dyDescent="0.3">
      <c r="A1710" s="2">
        <v>1709</v>
      </c>
      <c r="B1710" s="3" t="s">
        <v>1717</v>
      </c>
      <c r="C1710" s="2" t="str">
        <f ca="1">IFERROR(__xludf.DUMMYFUNCTION("GOOGLETRANSLATE(B1710, ""en"",""es"")"),"frecuentemente")</f>
        <v>frecuentemente</v>
      </c>
      <c r="D1710" s="2" t="str">
        <f ca="1">IFERROR(__xludf.DUMMYFUNCTION("GOOGLETRANSLATE(B1710,""en"",""ig"")"),"kemgbe na mgbe")</f>
        <v>kemgbe na mgbe</v>
      </c>
      <c r="E1710" s="2" t="str">
        <f ca="1">IFERROR(__xludf.DUMMYFUNCTION("GOOGLETRANSLATE(B1710,""en"",""fr"")"),"fréquemment")</f>
        <v>fréquemment</v>
      </c>
      <c r="F1710" s="2" t="str">
        <f ca="1">IFERROR(__xludf.DUMMYFUNCTION("GOOGLETRANSLATE(B1710,""en"",""it"")"),"frequentemente")</f>
        <v>frequentemente</v>
      </c>
      <c r="G1710" s="2" t="str">
        <f ca="1">IFERROR(__xludf.DUMMYFUNCTION("GOOGLETRANSLATE(B1710,""en"",""de"")"),"häufig")</f>
        <v>häufig</v>
      </c>
      <c r="H1710" s="2" t="str">
        <f ca="1">IFERROR(__xludf.DUMMYFUNCTION("GOOGLETRANSLATE(B1710,""en"",""zh"")"),"频繁地")</f>
        <v>频繁地</v>
      </c>
      <c r="I1710" s="2" t="str">
        <f ca="1">IFERROR(__xludf.DUMMYFUNCTION("GOOGLETRANSLATE(B1710,""en"",""gd"")"),"gu tric")</f>
        <v>gu tric</v>
      </c>
    </row>
    <row r="1711" spans="1:9" ht="14.25" customHeight="1" x14ac:dyDescent="0.3">
      <c r="A1711" s="2">
        <v>1710</v>
      </c>
      <c r="B1711" s="3" t="s">
        <v>1718</v>
      </c>
      <c r="C1711" s="2" t="str">
        <f ca="1">IFERROR(__xludf.DUMMYFUNCTION("GOOGLETRANSLATE(B1711, ""en"",""es"")"),"círculo")</f>
        <v>círculo</v>
      </c>
      <c r="D1711" s="2" t="str">
        <f ca="1">IFERROR(__xludf.DUMMYFUNCTION("GOOGLETRANSLATE(B1711,""en"",""ig"")"),"gburugburu")</f>
        <v>gburugburu</v>
      </c>
      <c r="E1711" s="2" t="str">
        <f ca="1">IFERROR(__xludf.DUMMYFUNCTION("GOOGLETRANSLATE(B1711,""en"",""fr"")"),"cercle")</f>
        <v>cercle</v>
      </c>
      <c r="F1711" s="2" t="str">
        <f ca="1">IFERROR(__xludf.DUMMYFUNCTION("GOOGLETRANSLATE(B1711,""en"",""it"")"),"cerchio")</f>
        <v>cerchio</v>
      </c>
      <c r="G1711" s="2" t="str">
        <f ca="1">IFERROR(__xludf.DUMMYFUNCTION("GOOGLETRANSLATE(B1711,""en"",""de"")"),"Kreis")</f>
        <v>Kreis</v>
      </c>
      <c r="H1711" s="2" t="str">
        <f ca="1">IFERROR(__xludf.DUMMYFUNCTION("GOOGLETRANSLATE(B1711,""en"",""zh"")"),"圆圈")</f>
        <v>圆圈</v>
      </c>
      <c r="I1711" s="2" t="str">
        <f ca="1">IFERROR(__xludf.DUMMYFUNCTION("GOOGLETRANSLATE(B1711,""en"",""gd"")"),"Cearcall")</f>
        <v>Cearcall</v>
      </c>
    </row>
    <row r="1712" spans="1:9" ht="14.25" customHeight="1" x14ac:dyDescent="0.3">
      <c r="A1712" s="2">
        <v>1711</v>
      </c>
      <c r="B1712" s="3" t="s">
        <v>1719</v>
      </c>
      <c r="C1712" s="2" t="str">
        <f ca="1">IFERROR(__xludf.DUMMYFUNCTION("GOOGLETRANSLATE(B1712, ""en"",""es"")"),"útil")</f>
        <v>útil</v>
      </c>
      <c r="D1712" s="2" t="str">
        <f ca="1">IFERROR(__xludf.DUMMYFUNCTION("GOOGLETRANSLATE(B1712,""en"",""ig"")"),"keenweghi enyemaka")</f>
        <v>keenweghi enyemaka</v>
      </c>
      <c r="E1712" s="2" t="str">
        <f ca="1">IFERROR(__xludf.DUMMYFUNCTION("GOOGLETRANSLATE(B1712,""en"",""fr"")"),"utile")</f>
        <v>utile</v>
      </c>
      <c r="F1712" s="2" t="str">
        <f ca="1">IFERROR(__xludf.DUMMYFUNCTION("GOOGLETRANSLATE(B1712,""en"",""it"")"),"utile")</f>
        <v>utile</v>
      </c>
      <c r="G1712" s="2" t="str">
        <f ca="1">IFERROR(__xludf.DUMMYFUNCTION("GOOGLETRANSLATE(B1712,""en"",""de"")"),"hilfreich")</f>
        <v>hilfreich</v>
      </c>
      <c r="H1712" s="2" t="str">
        <f ca="1">IFERROR(__xludf.DUMMYFUNCTION("GOOGLETRANSLATE(B1712,""en"",""zh"")"),"有帮助")</f>
        <v>有帮助</v>
      </c>
      <c r="I1712" s="2" t="str">
        <f ca="1">IFERROR(__xludf.DUMMYFUNCTION("GOOGLETRANSLATE(B1712,""en"",""gd"")"),"cuideachail")</f>
        <v>cuideachail</v>
      </c>
    </row>
    <row r="1713" spans="1:9" ht="14.25" customHeight="1" x14ac:dyDescent="0.3">
      <c r="A1713" s="2">
        <v>1712</v>
      </c>
      <c r="B1713" s="3" t="s">
        <v>1720</v>
      </c>
      <c r="C1713" s="2" t="str">
        <f ca="1">IFERROR(__xludf.DUMMYFUNCTION("GOOGLETRANSLATE(B1713, ""en"",""es"")"),"dominio")</f>
        <v>dominio</v>
      </c>
      <c r="D1713" s="2" t="str">
        <f ca="1">IFERROR(__xludf.DUMMYFUNCTION("GOOGLETRANSLATE(B1713,""en"",""ig"")"),"komandi")</f>
        <v>komandi</v>
      </c>
      <c r="E1713" s="2" t="str">
        <f ca="1">IFERROR(__xludf.DUMMYFUNCTION("GOOGLETRANSLATE(B1713,""en"",""fr"")"),"commande")</f>
        <v>commande</v>
      </c>
      <c r="F1713" s="2" t="str">
        <f ca="1">IFERROR(__xludf.DUMMYFUNCTION("GOOGLETRANSLATE(B1713,""en"",""it"")"),"comando")</f>
        <v>comando</v>
      </c>
      <c r="G1713" s="2" t="str">
        <f ca="1">IFERROR(__xludf.DUMMYFUNCTION("GOOGLETRANSLATE(B1713,""en"",""de"")"),"Befehl")</f>
        <v>Befehl</v>
      </c>
      <c r="H1713" s="2" t="str">
        <f ca="1">IFERROR(__xludf.DUMMYFUNCTION("GOOGLETRANSLATE(B1713,""en"",""zh"")"),"命令")</f>
        <v>命令</v>
      </c>
      <c r="I1713" s="2" t="str">
        <f ca="1">IFERROR(__xludf.DUMMYFUNCTION("GOOGLETRANSLATE(B1713,""en"",""gd"")"),"àithne")</f>
        <v>àithne</v>
      </c>
    </row>
    <row r="1714" spans="1:9" ht="14.25" customHeight="1" x14ac:dyDescent="0.3">
      <c r="A1714" s="2">
        <v>1713</v>
      </c>
      <c r="B1714" s="3" t="s">
        <v>1721</v>
      </c>
      <c r="C1714" s="2" t="str">
        <f ca="1">IFERROR(__xludf.DUMMYFUNCTION("GOOGLETRANSLATE(B1714, ""en"",""es"")"),"atractivo")</f>
        <v>atractivo</v>
      </c>
      <c r="D1714" s="2" t="str">
        <f ca="1">IFERROR(__xludf.DUMMYFUNCTION("GOOGLETRANSLATE(B1714,""en"",""ig"")"),"kemma")</f>
        <v>kemma</v>
      </c>
      <c r="E1714" s="2" t="str">
        <f ca="1">IFERROR(__xludf.DUMMYFUNCTION("GOOGLETRANSLATE(B1714,""en"",""fr"")"),"attractif")</f>
        <v>attractif</v>
      </c>
      <c r="F1714" s="2" t="str">
        <f ca="1">IFERROR(__xludf.DUMMYFUNCTION("GOOGLETRANSLATE(B1714,""en"",""it"")"),"attraente")</f>
        <v>attraente</v>
      </c>
      <c r="G1714" s="2" t="str">
        <f ca="1">IFERROR(__xludf.DUMMYFUNCTION("GOOGLETRANSLATE(B1714,""en"",""de"")"),"attraktiv")</f>
        <v>attraktiv</v>
      </c>
      <c r="H1714" s="2" t="str">
        <f ca="1">IFERROR(__xludf.DUMMYFUNCTION("GOOGLETRANSLATE(B1714,""en"",""zh"")"),"吸引人的")</f>
        <v>吸引人的</v>
      </c>
      <c r="I1714" s="2" t="str">
        <f ca="1">IFERROR(__xludf.DUMMYFUNCTION("GOOGLETRANSLATE(B1714,""en"",""gd"")"),"tarraingeach")</f>
        <v>tarraingeach</v>
      </c>
    </row>
    <row r="1715" spans="1:9" ht="14.25" customHeight="1" x14ac:dyDescent="0.3">
      <c r="A1715" s="2">
        <v>1714</v>
      </c>
      <c r="B1715" s="3" t="s">
        <v>1722</v>
      </c>
      <c r="C1715" s="2" t="str">
        <f ca="1">IFERROR(__xludf.DUMMYFUNCTION("GOOGLETRANSLATE(B1715, ""en"",""es"")"),"enfermo")</f>
        <v>enfermo</v>
      </c>
      <c r="D1715" s="2" t="str">
        <f ca="1">IFERROR(__xludf.DUMMYFUNCTION("GOOGLETRANSLATE(B1715,""en"",""ig"")"),"nke ahuesighiike")</f>
        <v>nke ahuesighiike</v>
      </c>
      <c r="E1715" s="2" t="str">
        <f ca="1">IFERROR(__xludf.DUMMYFUNCTION("GOOGLETRANSLATE(B1715,""en"",""fr"")"),"malade")</f>
        <v>malade</v>
      </c>
      <c r="F1715" s="2" t="str">
        <f ca="1">IFERROR(__xludf.DUMMYFUNCTION("GOOGLETRANSLATE(B1715,""en"",""it"")"),"malato")</f>
        <v>malato</v>
      </c>
      <c r="G1715" s="2" t="str">
        <f ca="1">IFERROR(__xludf.DUMMYFUNCTION("GOOGLETRANSLATE(B1715,""en"",""de"")"),"krank")</f>
        <v>krank</v>
      </c>
      <c r="H1715" s="2" t="str">
        <f ca="1">IFERROR(__xludf.DUMMYFUNCTION("GOOGLETRANSLATE(B1715,""en"",""zh"")"),"生病的")</f>
        <v>生病的</v>
      </c>
      <c r="I1715" s="2" t="str">
        <f ca="1">IFERROR(__xludf.DUMMYFUNCTION("GOOGLETRANSLATE(B1715,""en"",""gd"")"),"tinn")</f>
        <v>tinn</v>
      </c>
    </row>
    <row r="1716" spans="1:9" ht="14.25" customHeight="1" x14ac:dyDescent="0.3">
      <c r="A1716" s="2">
        <v>1715</v>
      </c>
      <c r="B1716" s="3" t="s">
        <v>1723</v>
      </c>
      <c r="C1716" s="2" t="str">
        <f ca="1">IFERROR(__xludf.DUMMYFUNCTION("GOOGLETRANSLATE(B1716, ""en"",""es"")"),"impresión")</f>
        <v>impresión</v>
      </c>
      <c r="D1716" s="2" t="str">
        <f ca="1">IFERROR(__xludf.DUMMYFUNCTION("GOOGLETRANSLATE(B1716,""en"",""ig"")"),"echiche")</f>
        <v>echiche</v>
      </c>
      <c r="E1716" s="2" t="str">
        <f ca="1">IFERROR(__xludf.DUMMYFUNCTION("GOOGLETRANSLATE(B1716,""en"",""fr"")"),"impression")</f>
        <v>impression</v>
      </c>
      <c r="F1716" s="2" t="str">
        <f ca="1">IFERROR(__xludf.DUMMYFUNCTION("GOOGLETRANSLATE(B1716,""en"",""it"")"),"impressione")</f>
        <v>impressione</v>
      </c>
      <c r="G1716" s="2" t="str">
        <f ca="1">IFERROR(__xludf.DUMMYFUNCTION("GOOGLETRANSLATE(B1716,""en"",""de"")"),"Eindruck")</f>
        <v>Eindruck</v>
      </c>
      <c r="H1716" s="2" t="str">
        <f ca="1">IFERROR(__xludf.DUMMYFUNCTION("GOOGLETRANSLATE(B1716,""en"",""zh"")"),"印象")</f>
        <v>印象</v>
      </c>
      <c r="I1716" s="2" t="str">
        <f ca="1">IFERROR(__xludf.DUMMYFUNCTION("GOOGLETRANSLATE(B1716,""en"",""gd"")"),"beachd")</f>
        <v>beachd</v>
      </c>
    </row>
    <row r="1717" spans="1:9" ht="14.25" customHeight="1" x14ac:dyDescent="0.3">
      <c r="A1717" s="2">
        <v>1716</v>
      </c>
      <c r="B1717" s="3" t="s">
        <v>1724</v>
      </c>
      <c r="C1717" s="2" t="str">
        <f ca="1">IFERROR(__xludf.DUMMYFUNCTION("GOOGLETRANSLATE(B1717, ""en"",""es"")"),"incapaz")</f>
        <v>incapaz</v>
      </c>
      <c r="D1717" s="2" t="str">
        <f ca="1">IFERROR(__xludf.DUMMYFUNCTION("GOOGLETRANSLATE(B1717,""en"",""ig"")"),"enweghi ike")</f>
        <v>enweghi ike</v>
      </c>
      <c r="E1717" s="2" t="str">
        <f ca="1">IFERROR(__xludf.DUMMYFUNCTION("GOOGLETRANSLATE(B1717,""en"",""fr"")"),"incapable")</f>
        <v>incapable</v>
      </c>
      <c r="F1717" s="2" t="str">
        <f ca="1">IFERROR(__xludf.DUMMYFUNCTION("GOOGLETRANSLATE(B1717,""en"",""it"")"),"incapace")</f>
        <v>incapace</v>
      </c>
      <c r="G1717" s="2" t="str">
        <f ca="1">IFERROR(__xludf.DUMMYFUNCTION("GOOGLETRANSLATE(B1717,""en"",""de"")"),"unfähig")</f>
        <v>unfähig</v>
      </c>
      <c r="H1717" s="2" t="str">
        <f ca="1">IFERROR(__xludf.DUMMYFUNCTION("GOOGLETRANSLATE(B1717,""en"",""zh"")"),"无法")</f>
        <v>无法</v>
      </c>
      <c r="I1717" s="2" t="str">
        <f ca="1">IFERROR(__xludf.DUMMYFUNCTION("GOOGLETRANSLATE(B1717,""en"",""gd"")"),"comasach")</f>
        <v>comasach</v>
      </c>
    </row>
    <row r="1718" spans="1:9" ht="14.25" customHeight="1" x14ac:dyDescent="0.3">
      <c r="A1718" s="2">
        <v>1717</v>
      </c>
      <c r="B1718" s="3" t="s">
        <v>1725</v>
      </c>
      <c r="C1718" s="2" t="str">
        <f ca="1">IFERROR(__xludf.DUMMYFUNCTION("GOOGLETRANSLATE(B1718, ""en"",""es"")"),"broma")</f>
        <v>broma</v>
      </c>
      <c r="D1718" s="2" t="str">
        <f ca="1">IFERROR(__xludf.DUMMYFUNCTION("GOOGLETRANSLATE(B1718,""en"",""ig"")"),"egwuregwu")</f>
        <v>egwuregwu</v>
      </c>
      <c r="E1718" s="2" t="str">
        <f ca="1">IFERROR(__xludf.DUMMYFUNCTION("GOOGLETRANSLATE(B1718,""en"",""fr"")"),"blague")</f>
        <v>blague</v>
      </c>
      <c r="F1718" s="2" t="str">
        <f ca="1">IFERROR(__xludf.DUMMYFUNCTION("GOOGLETRANSLATE(B1718,""en"",""it"")"),"scherzo")</f>
        <v>scherzo</v>
      </c>
      <c r="G1718" s="2" t="str">
        <f ca="1">IFERROR(__xludf.DUMMYFUNCTION("GOOGLETRANSLATE(B1718,""en"",""de"")"),"Witz")</f>
        <v>Witz</v>
      </c>
      <c r="H1718" s="2" t="str">
        <f ca="1">IFERROR(__xludf.DUMMYFUNCTION("GOOGLETRANSLATE(B1718,""en"",""zh"")"),"玩笑")</f>
        <v>玩笑</v>
      </c>
      <c r="I1718" s="2" t="str">
        <f ca="1">IFERROR(__xludf.DUMMYFUNCTION("GOOGLETRANSLATE(B1718,""en"",""gd"")"),"fealla-dhà")</f>
        <v>fealla-dhà</v>
      </c>
    </row>
    <row r="1719" spans="1:9" ht="14.25" customHeight="1" x14ac:dyDescent="0.3">
      <c r="A1719" s="2">
        <v>1718</v>
      </c>
      <c r="B1719" s="3" t="s">
        <v>1726</v>
      </c>
      <c r="C1719" s="2" t="str">
        <f ca="1">IFERROR(__xludf.DUMMYFUNCTION("GOOGLETRANSLATE(B1719, ""en"",""es"")"),"cielo")</f>
        <v>cielo</v>
      </c>
      <c r="D1719" s="2" t="str">
        <f ca="1">IFERROR(__xludf.DUMMYFUNCTION("GOOGLETRANSLATE(B1719,""en"",""ig"")"),"eluigwe")</f>
        <v>eluigwe</v>
      </c>
      <c r="E1719" s="2" t="str">
        <f ca="1">IFERROR(__xludf.DUMMYFUNCTION("GOOGLETRANSLATE(B1719,""en"",""fr"")"),"ciel")</f>
        <v>ciel</v>
      </c>
      <c r="F1719" s="2" t="str">
        <f ca="1">IFERROR(__xludf.DUMMYFUNCTION("GOOGLETRANSLATE(B1719,""en"",""it"")"),"cielo")</f>
        <v>cielo</v>
      </c>
      <c r="G1719" s="2" t="str">
        <f ca="1">IFERROR(__xludf.DUMMYFUNCTION("GOOGLETRANSLATE(B1719,""en"",""de"")"),"Himmel")</f>
        <v>Himmel</v>
      </c>
      <c r="H1719" s="2" t="str">
        <f ca="1">IFERROR(__xludf.DUMMYFUNCTION("GOOGLETRANSLATE(B1719,""en"",""zh"")"),"天空")</f>
        <v>天空</v>
      </c>
      <c r="I1719" s="2" t="str">
        <f ca="1">IFERROR(__xludf.DUMMYFUNCTION("GOOGLETRANSLATE(B1719,""en"",""gd"")"),"speur")</f>
        <v>speur</v>
      </c>
    </row>
    <row r="1720" spans="1:9" ht="14.25" customHeight="1" x14ac:dyDescent="0.3">
      <c r="A1720" s="2">
        <v>1719</v>
      </c>
      <c r="B1720" s="3" t="s">
        <v>1727</v>
      </c>
      <c r="C1720" s="2" t="str">
        <f ca="1">IFERROR(__xludf.DUMMYFUNCTION("GOOGLETRANSLATE(B1720, ""en"",""es"")"),"columna")</f>
        <v>columna</v>
      </c>
      <c r="D1720" s="2" t="str">
        <f ca="1">IFERROR(__xludf.DUMMYFUNCTION("GOOGLETRANSLATE(B1720,""en"",""ig"")"),"nkwadoulo")</f>
        <v>nkwadoulo</v>
      </c>
      <c r="E1720" s="2" t="str">
        <f ca="1">IFERROR(__xludf.DUMMYFUNCTION("GOOGLETRANSLATE(B1720,""en"",""fr"")"),"colonne")</f>
        <v>colonne</v>
      </c>
      <c r="F1720" s="2" t="str">
        <f ca="1">IFERROR(__xludf.DUMMYFUNCTION("GOOGLETRANSLATE(B1720,""en"",""it"")"),"colonna")</f>
        <v>colonna</v>
      </c>
      <c r="G1720" s="2" t="str">
        <f ca="1">IFERROR(__xludf.DUMMYFUNCTION("GOOGLETRANSLATE(B1720,""en"",""de"")"),"Spalte")</f>
        <v>Spalte</v>
      </c>
      <c r="H1720" s="2" t="str">
        <f ca="1">IFERROR(__xludf.DUMMYFUNCTION("GOOGLETRANSLATE(B1720,""en"",""zh"")"),"柱子")</f>
        <v>柱子</v>
      </c>
      <c r="I1720" s="2" t="str">
        <f ca="1">IFERROR(__xludf.DUMMYFUNCTION("GOOGLETRANSLATE(B1720,""en"",""gd"")"),"colbh")</f>
        <v>colbh</v>
      </c>
    </row>
    <row r="1721" spans="1:9" ht="14.25" customHeight="1" x14ac:dyDescent="0.3">
      <c r="A1721" s="2">
        <v>1720</v>
      </c>
      <c r="B1721" s="3" t="s">
        <v>1728</v>
      </c>
      <c r="C1721" s="2" t="str">
        <f ca="1">IFERROR(__xludf.DUMMYFUNCTION("GOOGLETRANSLATE(B1721, ""en"",""es"")"),"electrónico")</f>
        <v>electrónico</v>
      </c>
      <c r="D1721" s="2" t="str">
        <f ca="1">IFERROR(__xludf.DUMMYFUNCTION("GOOGLETRANSLATE(B1721,""en"",""ig"")"),"elektrọniki")</f>
        <v>elektrọniki</v>
      </c>
      <c r="E1721" s="2" t="str">
        <f ca="1">IFERROR(__xludf.DUMMYFUNCTION("GOOGLETRANSLATE(B1721,""en"",""fr"")"),"électronique")</f>
        <v>électronique</v>
      </c>
      <c r="F1721" s="2" t="str">
        <f ca="1">IFERROR(__xludf.DUMMYFUNCTION("GOOGLETRANSLATE(B1721,""en"",""it"")"),"elettronico")</f>
        <v>elettronico</v>
      </c>
      <c r="G1721" s="2" t="str">
        <f ca="1">IFERROR(__xludf.DUMMYFUNCTION("GOOGLETRANSLATE(B1721,""en"",""de"")"),"elektronisch")</f>
        <v>elektronisch</v>
      </c>
      <c r="H1721" s="2" t="str">
        <f ca="1">IFERROR(__xludf.DUMMYFUNCTION("GOOGLETRANSLATE(B1721,""en"",""zh"")"),"电子的")</f>
        <v>电子的</v>
      </c>
      <c r="I1721" s="2" t="str">
        <f ca="1">IFERROR(__xludf.DUMMYFUNCTION("GOOGLETRANSLATE(B1721,""en"",""gd"")"),"dealanach")</f>
        <v>dealanach</v>
      </c>
    </row>
    <row r="1722" spans="1:9" ht="14.25" customHeight="1" x14ac:dyDescent="0.3">
      <c r="A1722" s="2">
        <v>1721</v>
      </c>
      <c r="B1722" s="3" t="s">
        <v>1729</v>
      </c>
      <c r="C1722" s="2" t="str">
        <f ca="1">IFERROR(__xludf.DUMMYFUNCTION("GOOGLETRANSLATE(B1722, ""en"",""es"")"),"imponer")</f>
        <v>imponer</v>
      </c>
      <c r="D1722" s="2" t="str">
        <f ca="1">IFERROR(__xludf.DUMMYFUNCTION("GOOGLETRANSLATE(B1722,""en"",""ig"")"),"maari")</f>
        <v>maari</v>
      </c>
      <c r="E1722" s="2" t="str">
        <f ca="1">IFERROR(__xludf.DUMMYFUNCTION("GOOGLETRANSLATE(B1722,""en"",""fr"")"),"imposer")</f>
        <v>imposer</v>
      </c>
      <c r="F1722" s="2" t="str">
        <f ca="1">IFERROR(__xludf.DUMMYFUNCTION("GOOGLETRANSLATE(B1722,""en"",""it"")"),"imporre")</f>
        <v>imporre</v>
      </c>
      <c r="G1722" s="2" t="str">
        <f ca="1">IFERROR(__xludf.DUMMYFUNCTION("GOOGLETRANSLATE(B1722,""en"",""de"")"),"auferlegen")</f>
        <v>auferlegen</v>
      </c>
      <c r="H1722" s="2" t="str">
        <f ca="1">IFERROR(__xludf.DUMMYFUNCTION("GOOGLETRANSLATE(B1722,""en"",""zh"")"),"强加")</f>
        <v>强加</v>
      </c>
      <c r="I1722" s="2" t="str">
        <f ca="1">IFERROR(__xludf.DUMMYFUNCTION("GOOGLETRANSLATE(B1722,""en"",""gd"")"),"cuir a-steach")</f>
        <v>cuir a-steach</v>
      </c>
    </row>
    <row r="1723" spans="1:9" ht="14.25" customHeight="1" x14ac:dyDescent="0.3">
      <c r="A1723" s="2">
        <v>1722</v>
      </c>
      <c r="B1723" s="3" t="s">
        <v>1730</v>
      </c>
      <c r="C1723" s="2" t="str">
        <f ca="1">IFERROR(__xludf.DUMMYFUNCTION("GOOGLETRANSLATE(B1723, ""en"",""es"")"),"delincuente")</f>
        <v>delincuente</v>
      </c>
      <c r="D1723" s="2" t="str">
        <f ca="1">IFERROR(__xludf.DUMMYFUNCTION("GOOGLETRANSLATE(B1723,""en"",""ig"")"),"onye mere mpu")</f>
        <v>onye mere mpu</v>
      </c>
      <c r="E1723" s="2" t="str">
        <f ca="1">IFERROR(__xludf.DUMMYFUNCTION("GOOGLETRANSLATE(B1723,""en"",""fr"")"),"criminel")</f>
        <v>criminel</v>
      </c>
      <c r="F1723" s="2" t="str">
        <f ca="1">IFERROR(__xludf.DUMMYFUNCTION("GOOGLETRANSLATE(B1723,""en"",""it"")"),"penale")</f>
        <v>penale</v>
      </c>
      <c r="G1723" s="2" t="str">
        <f ca="1">IFERROR(__xludf.DUMMYFUNCTION("GOOGLETRANSLATE(B1723,""en"",""de"")"),"kriminell")</f>
        <v>kriminell</v>
      </c>
      <c r="H1723" s="2" t="str">
        <f ca="1">IFERROR(__xludf.DUMMYFUNCTION("GOOGLETRANSLATE(B1723,""en"",""zh"")"),"刑事")</f>
        <v>刑事</v>
      </c>
      <c r="I1723" s="2" t="str">
        <f ca="1">IFERROR(__xludf.DUMMYFUNCTION("GOOGLETRANSLATE(B1723,""en"",""gd"")"),"eucorach")</f>
        <v>eucorach</v>
      </c>
    </row>
    <row r="1724" spans="1:9" ht="14.25" customHeight="1" x14ac:dyDescent="0.3">
      <c r="A1724" s="2">
        <v>1723</v>
      </c>
      <c r="B1724" s="3" t="s">
        <v>1731</v>
      </c>
      <c r="C1724" s="2" t="str">
        <f ca="1">IFERROR(__xludf.DUMMYFUNCTION("GOOGLETRANSLATE(B1724, ""en"",""es"")"),"además")</f>
        <v>además</v>
      </c>
      <c r="D1724" s="2" t="str">
        <f ca="1">IFERROR(__xludf.DUMMYFUNCTION("GOOGLETRANSLATE(B1724,""en"",""ig"")"),"ewepu")</f>
        <v>ewepu</v>
      </c>
      <c r="E1724" s="2" t="str">
        <f ca="1">IFERROR(__xludf.DUMMYFUNCTION("GOOGLETRANSLATE(B1724,""en"",""fr"")"),"en plus")</f>
        <v>en plus</v>
      </c>
      <c r="F1724" s="2" t="str">
        <f ca="1">IFERROR(__xludf.DUMMYFUNCTION("GOOGLETRANSLATE(B1724,""en"",""it"")"),"Oltretutto")</f>
        <v>Oltretutto</v>
      </c>
      <c r="G1724" s="2" t="str">
        <f ca="1">IFERROR(__xludf.DUMMYFUNCTION("GOOGLETRANSLATE(B1724,""en"",""de"")"),"außerdem")</f>
        <v>außerdem</v>
      </c>
      <c r="H1724" s="2" t="str">
        <f ca="1">IFERROR(__xludf.DUMMYFUNCTION("GOOGLETRANSLATE(B1724,""en"",""zh"")"),"除了")</f>
        <v>除了</v>
      </c>
      <c r="I1724" s="2" t="str">
        <f ca="1">IFERROR(__xludf.DUMMYFUNCTION("GOOGLETRANSLATE(B1724,""en"",""gd"")"),"A bharrachd air")</f>
        <v>A bharrachd air</v>
      </c>
    </row>
    <row r="1725" spans="1:9" ht="14.25" customHeight="1" x14ac:dyDescent="0.3">
      <c r="A1725" s="2">
        <v>1724</v>
      </c>
      <c r="B1725" s="3" t="s">
        <v>1732</v>
      </c>
      <c r="C1725" s="2" t="str">
        <f ca="1">IFERROR(__xludf.DUMMYFUNCTION("GOOGLETRANSLATE(B1725, ""en"",""es"")"),"adecuadamente")</f>
        <v>adecuadamente</v>
      </c>
      <c r="D1725" s="2" t="str">
        <f ca="1">IFERROR(__xludf.DUMMYFUNCTION("GOOGLETRANSLATE(B1725,""en"",""ig"")"),"nke ọma")</f>
        <v>nke ọma</v>
      </c>
      <c r="E1725" s="2" t="str">
        <f ca="1">IFERROR(__xludf.DUMMYFUNCTION("GOOGLETRANSLATE(B1725,""en"",""fr"")"),"correctement")</f>
        <v>correctement</v>
      </c>
      <c r="F1725" s="2" t="str">
        <f ca="1">IFERROR(__xludf.DUMMYFUNCTION("GOOGLETRANSLATE(B1725,""en"",""it"")"),"correttamente")</f>
        <v>correttamente</v>
      </c>
      <c r="G1725" s="2" t="str">
        <f ca="1">IFERROR(__xludf.DUMMYFUNCTION("GOOGLETRANSLATE(B1725,""en"",""de"")"),"richtig")</f>
        <v>richtig</v>
      </c>
      <c r="H1725" s="2" t="str">
        <f ca="1">IFERROR(__xludf.DUMMYFUNCTION("GOOGLETRANSLATE(B1725,""en"",""zh"")"),"适当地")</f>
        <v>适当地</v>
      </c>
      <c r="I1725" s="2" t="str">
        <f ca="1">IFERROR(__xludf.DUMMYFUNCTION("GOOGLETRANSLATE(B1725,""en"",""gd"")"),"gu ceart")</f>
        <v>gu ceart</v>
      </c>
    </row>
    <row r="1726" spans="1:9" ht="14.25" customHeight="1" x14ac:dyDescent="0.3">
      <c r="A1726" s="2">
        <v>1725</v>
      </c>
      <c r="B1726" s="3" t="s">
        <v>1733</v>
      </c>
      <c r="C1726" s="2" t="str">
        <f ca="1">IFERROR(__xludf.DUMMYFUNCTION("GOOGLETRANSLATE(B1726, ""en"",""es"")"),"antiguo")</f>
        <v>antiguo</v>
      </c>
      <c r="D1726" s="2" t="str">
        <f ca="1">IFERROR(__xludf.DUMMYFUNCTION("GOOGLETRANSLATE(B1726,""en"",""ig"")"),"kegboo")</f>
        <v>kegboo</v>
      </c>
      <c r="E1726" s="2" t="str">
        <f ca="1">IFERROR(__xludf.DUMMYFUNCTION("GOOGLETRANSLATE(B1726,""en"",""fr"")"),"ancien")</f>
        <v>ancien</v>
      </c>
      <c r="F1726" s="2" t="str">
        <f ca="1">IFERROR(__xludf.DUMMYFUNCTION("GOOGLETRANSLATE(B1726,""en"",""it"")"),"antico")</f>
        <v>antico</v>
      </c>
      <c r="G1726" s="2" t="str">
        <f ca="1">IFERROR(__xludf.DUMMYFUNCTION("GOOGLETRANSLATE(B1726,""en"",""de"")"),"uralt")</f>
        <v>uralt</v>
      </c>
      <c r="H1726" s="2" t="str">
        <f ca="1">IFERROR(__xludf.DUMMYFUNCTION("GOOGLETRANSLATE(B1726,""en"",""zh"")"),"古老的")</f>
        <v>古老的</v>
      </c>
      <c r="I1726" s="2" t="str">
        <f ca="1">IFERROR(__xludf.DUMMYFUNCTION("GOOGLETRANSLATE(B1726,""en"",""gd"")"),"àrs")</f>
        <v>àrs</v>
      </c>
    </row>
    <row r="1727" spans="1:9" ht="14.25" customHeight="1" x14ac:dyDescent="0.3">
      <c r="A1727" s="2">
        <v>1726</v>
      </c>
      <c r="B1727" s="3" t="s">
        <v>1734</v>
      </c>
      <c r="C1727" s="2" t="str">
        <f ca="1">IFERROR(__xludf.DUMMYFUNCTION("GOOGLETRANSLATE(B1727, ""en"",""es"")"),"costa")</f>
        <v>costa</v>
      </c>
      <c r="D1727" s="2" t="str">
        <f ca="1">IFERROR(__xludf.DUMMYFUNCTION("GOOGLETRANSLATE(B1727,""en"",""ig"")"),"akuku mmiri")</f>
        <v>akuku mmiri</v>
      </c>
      <c r="E1727" s="2" t="str">
        <f ca="1">IFERROR(__xludf.DUMMYFUNCTION("GOOGLETRANSLATE(B1727,""en"",""fr"")"),"côte")</f>
        <v>côte</v>
      </c>
      <c r="F1727" s="2" t="str">
        <f ca="1">IFERROR(__xludf.DUMMYFUNCTION("GOOGLETRANSLATE(B1727,""en"",""it"")"),"costa")</f>
        <v>costa</v>
      </c>
      <c r="G1727" s="2" t="str">
        <f ca="1">IFERROR(__xludf.DUMMYFUNCTION("GOOGLETRANSLATE(B1727,""en"",""de"")"),"Küste")</f>
        <v>Küste</v>
      </c>
      <c r="H1727" s="2" t="str">
        <f ca="1">IFERROR(__xludf.DUMMYFUNCTION("GOOGLETRANSLATE(B1727,""en"",""zh"")"),"海岸")</f>
        <v>海岸</v>
      </c>
      <c r="I1727" s="2" t="str">
        <f ca="1">IFERROR(__xludf.DUMMYFUNCTION("GOOGLETRANSLATE(B1727,""en"",""gd"")"),"Oirthir")</f>
        <v>Oirthir</v>
      </c>
    </row>
    <row r="1728" spans="1:9" ht="14.25" customHeight="1" x14ac:dyDescent="0.3">
      <c r="A1728" s="2">
        <v>1727</v>
      </c>
      <c r="B1728" s="3" t="s">
        <v>1735</v>
      </c>
      <c r="C1728" s="2" t="str">
        <f ca="1">IFERROR(__xludf.DUMMYFUNCTION("GOOGLETRANSLATE(B1728, ""en"",""es"")"),"enfermo")</f>
        <v>enfermo</v>
      </c>
      <c r="D1728" s="2" t="str">
        <f ca="1">IFERROR(__xludf.DUMMYFUNCTION("GOOGLETRANSLATE(B1728,""en"",""ig"")"),"keoria")</f>
        <v>keoria</v>
      </c>
      <c r="E1728" s="2" t="str">
        <f ca="1">IFERROR(__xludf.DUMMYFUNCTION("GOOGLETRANSLATE(B1728,""en"",""fr"")"),"je vais")</f>
        <v>je vais</v>
      </c>
      <c r="F1728" s="2" t="str">
        <f ca="1">IFERROR(__xludf.DUMMYFUNCTION("GOOGLETRANSLATE(B1728,""en"",""it"")"),"malato")</f>
        <v>malato</v>
      </c>
      <c r="G1728" s="2" t="str">
        <f ca="1">IFERROR(__xludf.DUMMYFUNCTION("GOOGLETRANSLATE(B1728,""en"",""de"")"),"krank")</f>
        <v>krank</v>
      </c>
      <c r="H1728" s="2" t="str">
        <f ca="1">IFERROR(__xludf.DUMMYFUNCTION("GOOGLETRANSLATE(B1728,""en"",""zh"")"),"患病的")</f>
        <v>患病的</v>
      </c>
      <c r="I1728" s="2" t="str">
        <f ca="1">IFERROR(__xludf.DUMMYFUNCTION("GOOGLETRANSLATE(B1728,""en"",""gd"")"),"tinn")</f>
        <v>tinn</v>
      </c>
    </row>
    <row r="1729" spans="1:9" ht="14.25" customHeight="1" x14ac:dyDescent="0.3">
      <c r="A1729" s="2">
        <v>1728</v>
      </c>
      <c r="B1729" s="3" t="s">
        <v>1736</v>
      </c>
      <c r="C1729" s="2" t="str">
        <f ca="1">IFERROR(__xludf.DUMMYFUNCTION("GOOGLETRANSLATE(B1729, ""en"",""es"")"),"patada")</f>
        <v>patada</v>
      </c>
      <c r="D1729" s="2" t="str">
        <f ca="1">IFERROR(__xludf.DUMMYFUNCTION("GOOGLETRANSLATE(B1729,""en"",""ig"")"),"mgbanye")</f>
        <v>mgbanye</v>
      </c>
      <c r="E1729" s="2" t="str">
        <f ca="1">IFERROR(__xludf.DUMMYFUNCTION("GOOGLETRANSLATE(B1729,""en"",""fr"")"),"coup")</f>
        <v>coup</v>
      </c>
      <c r="F1729" s="2" t="str">
        <f ca="1">IFERROR(__xludf.DUMMYFUNCTION("GOOGLETRANSLATE(B1729,""en"",""it"")"),"calcio")</f>
        <v>calcio</v>
      </c>
      <c r="G1729" s="2" t="str">
        <f ca="1">IFERROR(__xludf.DUMMYFUNCTION("GOOGLETRANSLATE(B1729,""en"",""de"")"),"trete")</f>
        <v>trete</v>
      </c>
      <c r="H1729" s="2" t="str">
        <f ca="1">IFERROR(__xludf.DUMMYFUNCTION("GOOGLETRANSLATE(B1729,""en"",""zh"")"),"踢")</f>
        <v>踢</v>
      </c>
      <c r="I1729" s="2" t="str">
        <f ca="1">IFERROR(__xludf.DUMMYFUNCTION("GOOGLETRANSLATE(B1729,""en"",""gd"")"),"breab")</f>
        <v>breab</v>
      </c>
    </row>
    <row r="1730" spans="1:9" ht="14.25" customHeight="1" x14ac:dyDescent="0.3">
      <c r="A1730" s="2">
        <v>1729</v>
      </c>
      <c r="B1730" s="3" t="s">
        <v>1737</v>
      </c>
      <c r="C1730" s="2" t="str">
        <f ca="1">IFERROR(__xludf.DUMMYFUNCTION("GOOGLETRANSLATE(B1730, ""en"",""es"")"),"cercanamente")</f>
        <v>cercanamente</v>
      </c>
      <c r="D1730" s="2" t="str">
        <f ca="1">IFERROR(__xludf.DUMMYFUNCTION("GOOGLETRANSLATE(B1730,""en"",""ig"")"),"noorinso")</f>
        <v>noorinso</v>
      </c>
      <c r="E1730" s="2" t="str">
        <f ca="1">IFERROR(__xludf.DUMMYFUNCTION("GOOGLETRANSLATE(B1730,""en"",""fr"")"),"étroitement")</f>
        <v>étroitement</v>
      </c>
      <c r="F1730" s="2" t="str">
        <f ca="1">IFERROR(__xludf.DUMMYFUNCTION("GOOGLETRANSLATE(B1730,""en"",""it"")"),"da vicino")</f>
        <v>da vicino</v>
      </c>
      <c r="G1730" s="2" t="str">
        <f ca="1">IFERROR(__xludf.DUMMYFUNCTION("GOOGLETRANSLATE(B1730,""en"",""de"")"),"eng")</f>
        <v>eng</v>
      </c>
      <c r="H1730" s="2" t="str">
        <f ca="1">IFERROR(__xludf.DUMMYFUNCTION("GOOGLETRANSLATE(B1730,""en"",""zh"")"),"密切")</f>
        <v>密切</v>
      </c>
      <c r="I1730" s="2" t="str">
        <f ca="1">IFERROR(__xludf.DUMMYFUNCTION("GOOGLETRANSLATE(B1730,""en"",""gd"")"),"gu dlùth")</f>
        <v>gu dlùth</v>
      </c>
    </row>
    <row r="1731" spans="1:9" ht="14.25" customHeight="1" x14ac:dyDescent="0.3">
      <c r="A1731" s="2">
        <v>1730</v>
      </c>
      <c r="B1731" s="3" t="s">
        <v>1738</v>
      </c>
      <c r="C1731" s="2" t="str">
        <f ca="1">IFERROR(__xludf.DUMMYFUNCTION("GOOGLETRANSLATE(B1731, ""en"",""es"")"),"múltiple")</f>
        <v>múltiple</v>
      </c>
      <c r="D1731" s="2" t="str">
        <f ca="1">IFERROR(__xludf.DUMMYFUNCTION("GOOGLETRANSLATE(B1731,""en"",""ig"")"),"otutu")</f>
        <v>otutu</v>
      </c>
      <c r="E1731" s="2" t="str">
        <f ca="1">IFERROR(__xludf.DUMMYFUNCTION("GOOGLETRANSLATE(B1731,""en"",""fr"")"),"plusieurs")</f>
        <v>plusieurs</v>
      </c>
      <c r="F1731" s="2" t="str">
        <f ca="1">IFERROR(__xludf.DUMMYFUNCTION("GOOGLETRANSLATE(B1731,""en"",""it"")"),"multiplo")</f>
        <v>multiplo</v>
      </c>
      <c r="G1731" s="2" t="str">
        <f ca="1">IFERROR(__xludf.DUMMYFUNCTION("GOOGLETRANSLATE(B1731,""en"",""de"")"),"mehrere")</f>
        <v>mehrere</v>
      </c>
      <c r="H1731" s="2" t="str">
        <f ca="1">IFERROR(__xludf.DUMMYFUNCTION("GOOGLETRANSLATE(B1731,""en"",""zh"")"),"多种的")</f>
        <v>多种的</v>
      </c>
      <c r="I1731" s="2" t="str">
        <f ca="1">IFERROR(__xludf.DUMMYFUNCTION("GOOGLETRANSLATE(B1731,""en"",""gd"")"),"iomadach")</f>
        <v>iomadach</v>
      </c>
    </row>
    <row r="1732" spans="1:9" ht="14.25" customHeight="1" x14ac:dyDescent="0.3">
      <c r="A1732" s="2">
        <v>1731</v>
      </c>
      <c r="B1732" s="3" t="s">
        <v>1739</v>
      </c>
      <c r="C1732" s="2" t="str">
        <f ca="1">IFERROR(__xludf.DUMMYFUNCTION("GOOGLETRANSLATE(B1732, ""en"",""es"")"),"producir")</f>
        <v>producir</v>
      </c>
      <c r="D1732" s="2" t="str">
        <f ca="1">IFERROR(__xludf.DUMMYFUNCTION("GOOGLETRANSLATE(B1732,""en"",""ig"")"),"Mmụba")</f>
        <v>Mmụba</v>
      </c>
      <c r="E1732" s="2" t="str">
        <f ca="1">IFERROR(__xludf.DUMMYFUNCTION("GOOGLETRANSLATE(B1732,""en"",""fr"")"),"rendement")</f>
        <v>rendement</v>
      </c>
      <c r="F1732" s="2" t="str">
        <f ca="1">IFERROR(__xludf.DUMMYFUNCTION("GOOGLETRANSLATE(B1732,""en"",""it"")"),"prodotto")</f>
        <v>prodotto</v>
      </c>
      <c r="G1732" s="2" t="str">
        <f ca="1">IFERROR(__xludf.DUMMYFUNCTION("GOOGLETRANSLATE(B1732,""en"",""de"")"),"Ertrag")</f>
        <v>Ertrag</v>
      </c>
      <c r="H1732" s="2" t="str">
        <f ca="1">IFERROR(__xludf.DUMMYFUNCTION("GOOGLETRANSLATE(B1732,""en"",""zh"")"),"屈服")</f>
        <v>屈服</v>
      </c>
      <c r="I1732" s="2" t="str">
        <f ca="1">IFERROR(__xludf.DUMMYFUNCTION("GOOGLETRANSLATE(B1732,""en"",""gd"")"),"toradh")</f>
        <v>toradh</v>
      </c>
    </row>
    <row r="1733" spans="1:9" ht="14.25" customHeight="1" x14ac:dyDescent="0.3">
      <c r="A1733" s="2">
        <v>1732</v>
      </c>
      <c r="B1733" s="3" t="s">
        <v>1740</v>
      </c>
      <c r="C1733" s="2" t="str">
        <f ca="1">IFERROR(__xludf.DUMMYFUNCTION("GOOGLETRANSLATE(B1733, ""en"",""es"")"),"a través de")</f>
        <v>a través de</v>
      </c>
      <c r="D1733" s="2" t="str">
        <f ca="1">IFERROR(__xludf.DUMMYFUNCTION("GOOGLETRANSLATE(B1733,""en"",""ig"")"),"site")</f>
        <v>site</v>
      </c>
      <c r="E1733" s="2" t="str">
        <f ca="1">IFERROR(__xludf.DUMMYFUNCTION("GOOGLETRANSLATE(B1733,""en"",""fr"")"),"via")</f>
        <v>via</v>
      </c>
      <c r="F1733" s="2" t="str">
        <f ca="1">IFERROR(__xludf.DUMMYFUNCTION("GOOGLETRANSLATE(B1733,""en"",""it"")"),"attraverso")</f>
        <v>attraverso</v>
      </c>
      <c r="G1733" s="2" t="str">
        <f ca="1">IFERROR(__xludf.DUMMYFUNCTION("GOOGLETRANSLATE(B1733,""en"",""de"")"),"über")</f>
        <v>über</v>
      </c>
      <c r="H1733" s="2" t="str">
        <f ca="1">IFERROR(__xludf.DUMMYFUNCTION("GOOGLETRANSLATE(B1733,""en"",""zh"")"),"通过")</f>
        <v>通过</v>
      </c>
      <c r="I1733" s="2" t="str">
        <f ca="1">IFERROR(__xludf.DUMMYFUNCTION("GOOGLETRANSLATE(B1733,""en"",""gd"")"),"VIA")</f>
        <v>VIA</v>
      </c>
    </row>
    <row r="1734" spans="1:9" ht="14.25" customHeight="1" x14ac:dyDescent="0.3">
      <c r="A1734" s="2">
        <v>1733</v>
      </c>
      <c r="B1734" s="3" t="s">
        <v>1741</v>
      </c>
      <c r="C1734" s="2" t="str">
        <f ca="1">IFERROR(__xludf.DUMMYFUNCTION("GOOGLETRANSLATE(B1734, ""en"",""es"")"),"legislación")</f>
        <v>legislación</v>
      </c>
      <c r="D1734" s="2" t="str">
        <f ca="1">IFERROR(__xludf.DUMMYFUNCTION("GOOGLETRANSLATE(B1734,""en"",""ig"")"),"iwu")</f>
        <v>iwu</v>
      </c>
      <c r="E1734" s="2" t="str">
        <f ca="1">IFERROR(__xludf.DUMMYFUNCTION("GOOGLETRANSLATE(B1734,""en"",""fr"")"),"législation")</f>
        <v>législation</v>
      </c>
      <c r="F1734" s="2" t="str">
        <f ca="1">IFERROR(__xludf.DUMMYFUNCTION("GOOGLETRANSLATE(B1734,""en"",""it"")"),"legislazione")</f>
        <v>legislazione</v>
      </c>
      <c r="G1734" s="2" t="str">
        <f ca="1">IFERROR(__xludf.DUMMYFUNCTION("GOOGLETRANSLATE(B1734,""en"",""de"")"),"Gesetzgebung")</f>
        <v>Gesetzgebung</v>
      </c>
      <c r="H1734" s="2" t="str">
        <f ca="1">IFERROR(__xludf.DUMMYFUNCTION("GOOGLETRANSLATE(B1734,""en"",""zh"")"),"立法")</f>
        <v>立法</v>
      </c>
      <c r="I1734" s="2" t="str">
        <f ca="1">IFERROR(__xludf.DUMMYFUNCTION("GOOGLETRANSLATE(B1734,""en"",""gd"")"),"Reachdas")</f>
        <v>Reachdas</v>
      </c>
    </row>
    <row r="1735" spans="1:9" ht="14.25" customHeight="1" x14ac:dyDescent="0.3">
      <c r="A1735" s="2">
        <v>1734</v>
      </c>
      <c r="B1735" s="3" t="s">
        <v>1742</v>
      </c>
      <c r="C1735" s="2" t="str">
        <f ca="1">IFERROR(__xludf.DUMMYFUNCTION("GOOGLETRANSLATE(B1735, ""en"",""es"")"),"condado")</f>
        <v>condado</v>
      </c>
      <c r="D1735" s="2" t="str">
        <f ca="1">IFERROR(__xludf.DUMMYFUNCTION("GOOGLETRANSLATE(B1735,""en"",""ig"")"),"kodi")</f>
        <v>kodi</v>
      </c>
      <c r="E1735" s="2" t="str">
        <f ca="1">IFERROR(__xludf.DUMMYFUNCTION("GOOGLETRANSLATE(B1735,""en"",""fr"")"),"comté")</f>
        <v>comté</v>
      </c>
      <c r="F1735" s="2" t="str">
        <f ca="1">IFERROR(__xludf.DUMMYFUNCTION("GOOGLETRANSLATE(B1735,""en"",""it"")"),"contea")</f>
        <v>contea</v>
      </c>
      <c r="G1735" s="2" t="str">
        <f ca="1">IFERROR(__xludf.DUMMYFUNCTION("GOOGLETRANSLATE(B1735,""en"",""de"")"),"Bezirk")</f>
        <v>Bezirk</v>
      </c>
      <c r="H1735" s="2" t="str">
        <f ca="1">IFERROR(__xludf.DUMMYFUNCTION("GOOGLETRANSLATE(B1735,""en"",""zh"")"),"县")</f>
        <v>县</v>
      </c>
      <c r="I1735" s="2" t="str">
        <f ca="1">IFERROR(__xludf.DUMMYFUNCTION("GOOGLETRANSLATE(B1735,""en"",""gd"")"),"Siorrachd")</f>
        <v>Siorrachd</v>
      </c>
    </row>
    <row r="1736" spans="1:9" ht="14.25" customHeight="1" x14ac:dyDescent="0.3">
      <c r="A1736" s="2">
        <v>1735</v>
      </c>
      <c r="B1736" s="3" t="s">
        <v>1743</v>
      </c>
      <c r="C1736" s="2" t="str">
        <f ca="1">IFERROR(__xludf.DUMMYFUNCTION("GOOGLETRANSLATE(B1736, ""en"",""es"")"),"a diferencia de")</f>
        <v>a diferencia de</v>
      </c>
      <c r="D1736" s="2" t="str">
        <f ca="1">IFERROR(__xludf.DUMMYFUNCTION("GOOGLETRANSLATE(B1736,""en"",""ig"")"),"n'adịghị ka")</f>
        <v>n'adịghị ka</v>
      </c>
      <c r="E1736" s="2" t="str">
        <f ca="1">IFERROR(__xludf.DUMMYFUNCTION("GOOGLETRANSLATE(B1736,""en"",""fr"")"),"contrairement à")</f>
        <v>contrairement à</v>
      </c>
      <c r="F1736" s="2" t="str">
        <f ca="1">IFERROR(__xludf.DUMMYFUNCTION("GOOGLETRANSLATE(B1736,""en"",""it"")"),"a differenza di")</f>
        <v>a differenza di</v>
      </c>
      <c r="G1736" s="2" t="str">
        <f ca="1">IFERROR(__xludf.DUMMYFUNCTION("GOOGLETRANSLATE(B1736,""en"",""de"")"),"nicht wie")</f>
        <v>nicht wie</v>
      </c>
      <c r="H1736" s="2" t="str">
        <f ca="1">IFERROR(__xludf.DUMMYFUNCTION("GOOGLETRANSLATE(B1736,""en"",""zh"")"),"与众不同")</f>
        <v>与众不同</v>
      </c>
      <c r="I1736" s="2" t="str">
        <f ca="1">IFERROR(__xludf.DUMMYFUNCTION("GOOGLETRANSLATE(B1736,""en"",""gd"")"),"Eu-coltach ri")</f>
        <v>Eu-coltach ri</v>
      </c>
    </row>
    <row r="1737" spans="1:9" ht="14.25" customHeight="1" x14ac:dyDescent="0.3">
      <c r="A1737" s="2">
        <v>1736</v>
      </c>
      <c r="B1737" s="3" t="s">
        <v>1744</v>
      </c>
      <c r="C1737" s="2" t="str">
        <f ca="1">IFERROR(__xludf.DUMMYFUNCTION("GOOGLETRANSLATE(B1737, ""en"",""es"")"),"móvil")</f>
        <v>móvil</v>
      </c>
      <c r="D1737" s="2" t="str">
        <f ca="1">IFERROR(__xludf.DUMMYFUNCTION("GOOGLETRANSLATE(B1737,""en"",""ig"")"),"nke mbughari")</f>
        <v>nke mbughari</v>
      </c>
      <c r="E1737" s="2" t="str">
        <f ca="1">IFERROR(__xludf.DUMMYFUNCTION("GOOGLETRANSLATE(B1737,""en"",""fr"")"),"mobile")</f>
        <v>mobile</v>
      </c>
      <c r="F1737" s="2" t="str">
        <f ca="1">IFERROR(__xludf.DUMMYFUNCTION("GOOGLETRANSLATE(B1737,""en"",""it"")"),"mobile")</f>
        <v>mobile</v>
      </c>
      <c r="G1737" s="2" t="str">
        <f ca="1">IFERROR(__xludf.DUMMYFUNCTION("GOOGLETRANSLATE(B1737,""en"",""de"")"),"Handy, Mobiltelefon")</f>
        <v>Handy, Mobiltelefon</v>
      </c>
      <c r="H1737" s="2" t="str">
        <f ca="1">IFERROR(__xludf.DUMMYFUNCTION("GOOGLETRANSLATE(B1737,""en"",""zh"")"),"移动的")</f>
        <v>移动的</v>
      </c>
      <c r="I1737" s="2" t="str">
        <f ca="1">IFERROR(__xludf.DUMMYFUNCTION("GOOGLETRANSLATE(B1737,""en"",""gd"")"),"Mobile")</f>
        <v>Mobile</v>
      </c>
    </row>
    <row r="1738" spans="1:9" ht="14.25" customHeight="1" x14ac:dyDescent="0.3">
      <c r="A1738" s="2">
        <v>1737</v>
      </c>
      <c r="B1738" s="3" t="s">
        <v>1745</v>
      </c>
      <c r="C1738" s="2" t="str">
        <f ca="1">IFERROR(__xludf.DUMMYFUNCTION("GOOGLETRANSLATE(B1738, ""en"",""es"")"),"asistente")</f>
        <v>asistente</v>
      </c>
      <c r="D1738" s="2" t="str">
        <f ca="1">IFERROR(__xludf.DUMMYFUNCTION("GOOGLETRANSLATE(B1738,""en"",""ig"")"),"onye mnyemeaka")</f>
        <v>onye mnyemeaka</v>
      </c>
      <c r="E1738" s="2" t="str">
        <f ca="1">IFERROR(__xludf.DUMMYFUNCTION("GOOGLETRANSLATE(B1738,""en"",""fr"")"),"assistant")</f>
        <v>assistant</v>
      </c>
      <c r="F1738" s="2" t="str">
        <f ca="1">IFERROR(__xludf.DUMMYFUNCTION("GOOGLETRANSLATE(B1738,""en"",""it"")"),"assistente")</f>
        <v>assistente</v>
      </c>
      <c r="G1738" s="2" t="str">
        <f ca="1">IFERROR(__xludf.DUMMYFUNCTION("GOOGLETRANSLATE(B1738,""en"",""de"")"),"Assistent")</f>
        <v>Assistent</v>
      </c>
      <c r="H1738" s="2" t="str">
        <f ca="1">IFERROR(__xludf.DUMMYFUNCTION("GOOGLETRANSLATE(B1738,""en"",""zh"")"),"助手")</f>
        <v>助手</v>
      </c>
      <c r="I1738" s="2" t="str">
        <f ca="1">IFERROR(__xludf.DUMMYFUNCTION("GOOGLETRANSLATE(B1738,""en"",""gd"")"),"Neach-taic")</f>
        <v>Neach-taic</v>
      </c>
    </row>
    <row r="1739" spans="1:9" ht="14.25" customHeight="1" x14ac:dyDescent="0.3">
      <c r="A1739" s="2">
        <v>1738</v>
      </c>
      <c r="B1739" s="3" t="s">
        <v>1746</v>
      </c>
      <c r="C1739" s="2" t="str">
        <f ca="1">IFERROR(__xludf.DUMMYFUNCTION("GOOGLETRANSLATE(B1739, ""en"",""es"")"),"implementar")</f>
        <v>implementar</v>
      </c>
      <c r="D1739" s="2" t="str">
        <f ca="1">IFERROR(__xludf.DUMMYFUNCTION("GOOGLETRANSLATE(B1739,""en"",""ig"")"),"ime eme")</f>
        <v>ime eme</v>
      </c>
      <c r="E1739" s="2" t="str">
        <f ca="1">IFERROR(__xludf.DUMMYFUNCTION("GOOGLETRANSLATE(B1739,""en"",""fr"")"),"mettre en œuvre")</f>
        <v>mettre en œuvre</v>
      </c>
      <c r="F1739" s="2" t="str">
        <f ca="1">IFERROR(__xludf.DUMMYFUNCTION("GOOGLETRANSLATE(B1739,""en"",""it"")"),"strumento")</f>
        <v>strumento</v>
      </c>
      <c r="G1739" s="2" t="str">
        <f ca="1">IFERROR(__xludf.DUMMYFUNCTION("GOOGLETRANSLATE(B1739,""en"",""de"")"),"implementieren")</f>
        <v>implementieren</v>
      </c>
      <c r="H1739" s="2" t="str">
        <f ca="1">IFERROR(__xludf.DUMMYFUNCTION("GOOGLETRANSLATE(B1739,""en"",""zh"")"),"实施")</f>
        <v>实施</v>
      </c>
      <c r="I1739" s="2" t="str">
        <f ca="1">IFERROR(__xludf.DUMMYFUNCTION("GOOGLETRANSLATE(B1739,""en"",""gd"")"),"cuir an gnìomh")</f>
        <v>cuir an gnìomh</v>
      </c>
    </row>
    <row r="1740" spans="1:9" ht="14.25" customHeight="1" x14ac:dyDescent="0.3">
      <c r="A1740" s="2">
        <v>1739</v>
      </c>
      <c r="B1740" s="3" t="s">
        <v>1747</v>
      </c>
      <c r="C1740" s="2" t="str">
        <f ca="1">IFERROR(__xludf.DUMMYFUNCTION("GOOGLETRANSLATE(B1740, ""en"",""es"")"),"cuadro")</f>
        <v>cuadro</v>
      </c>
      <c r="D1740" s="2" t="str">
        <f ca="1">IFERROR(__xludf.DUMMYFUNCTION("GOOGLETRANSLATE(B1740,""en"",""ig"")"),"chaati")</f>
        <v>chaati</v>
      </c>
      <c r="E1740" s="2" t="str">
        <f ca="1">IFERROR(__xludf.DUMMYFUNCTION("GOOGLETRANSLATE(B1740,""en"",""fr"")"),"graphique")</f>
        <v>graphique</v>
      </c>
      <c r="F1740" s="2" t="str">
        <f ca="1">IFERROR(__xludf.DUMMYFUNCTION("GOOGLETRANSLATE(B1740,""en"",""it"")"),"grafico")</f>
        <v>grafico</v>
      </c>
      <c r="G1740" s="2" t="str">
        <f ca="1">IFERROR(__xludf.DUMMYFUNCTION("GOOGLETRANSLATE(B1740,""en"",""de"")"),"Diagramm")</f>
        <v>Diagramm</v>
      </c>
      <c r="H1740" s="2" t="str">
        <f ca="1">IFERROR(__xludf.DUMMYFUNCTION("GOOGLETRANSLATE(B1740,""en"",""zh"")"),"图表")</f>
        <v>图表</v>
      </c>
      <c r="I1740" s="2" t="str">
        <f ca="1">IFERROR(__xludf.DUMMYFUNCTION("GOOGLETRANSLATE(B1740,""en"",""gd"")"),"cairt")</f>
        <v>cairt</v>
      </c>
    </row>
    <row r="1741" spans="1:9" ht="14.25" customHeight="1" x14ac:dyDescent="0.3">
      <c r="A1741" s="2">
        <v>1740</v>
      </c>
      <c r="B1741" s="3" t="s">
        <v>1748</v>
      </c>
      <c r="C1741" s="2" t="str">
        <f ca="1">IFERROR(__xludf.DUMMYFUNCTION("GOOGLETRANSLATE(B1741, ""en"",""es"")"),"adjuntar")</f>
        <v>adjuntar</v>
      </c>
      <c r="D1741" s="2" t="str">
        <f ca="1">IFERROR(__xludf.DUMMYFUNCTION("GOOGLETRANSLATE(B1741,""en"",""ig"")"),"itinye")</f>
        <v>itinye</v>
      </c>
      <c r="E1741" s="2" t="str">
        <f ca="1">IFERROR(__xludf.DUMMYFUNCTION("GOOGLETRANSLATE(B1741,""en"",""fr"")"),"attacher")</f>
        <v>attacher</v>
      </c>
      <c r="F1741" s="2" t="str">
        <f ca="1">IFERROR(__xludf.DUMMYFUNCTION("GOOGLETRANSLATE(B1741,""en"",""it"")"),"allegare")</f>
        <v>allegare</v>
      </c>
      <c r="G1741" s="2" t="str">
        <f ca="1">IFERROR(__xludf.DUMMYFUNCTION("GOOGLETRANSLATE(B1741,""en"",""de"")"),"anfügen")</f>
        <v>anfügen</v>
      </c>
      <c r="H1741" s="2" t="str">
        <f ca="1">IFERROR(__xludf.DUMMYFUNCTION("GOOGLETRANSLATE(B1741,""en"",""zh"")"),"附")</f>
        <v>附</v>
      </c>
      <c r="I1741" s="2" t="str">
        <f ca="1">IFERROR(__xludf.DUMMYFUNCTION("GOOGLETRANSLATE(B1741,""en"",""gd"")"),"Ceangail")</f>
        <v>Ceangail</v>
      </c>
    </row>
    <row r="1742" spans="1:9" ht="14.25" customHeight="1" x14ac:dyDescent="0.3">
      <c r="A1742" s="2">
        <v>1741</v>
      </c>
      <c r="B1742" s="3" t="s">
        <v>1749</v>
      </c>
      <c r="C1742" s="2" t="str">
        <f ca="1">IFERROR(__xludf.DUMMYFUNCTION("GOOGLETRANSLATE(B1742, ""en"",""es"")"),"infierno")</f>
        <v>infierno</v>
      </c>
      <c r="D1742" s="2" t="str">
        <f ca="1">IFERROR(__xludf.DUMMYFUNCTION("GOOGLETRANSLATE(B1742,""en"",""ig"")"),"oku mmuo")</f>
        <v>oku mmuo</v>
      </c>
      <c r="E1742" s="2" t="str">
        <f ca="1">IFERROR(__xludf.DUMMYFUNCTION("GOOGLETRANSLATE(B1742,""en"",""fr"")"),"enfer")</f>
        <v>enfer</v>
      </c>
      <c r="F1742" s="2" t="str">
        <f ca="1">IFERROR(__xludf.DUMMYFUNCTION("GOOGLETRANSLATE(B1742,""en"",""it"")"),"inferno")</f>
        <v>inferno</v>
      </c>
      <c r="G1742" s="2" t="str">
        <f ca="1">IFERROR(__xludf.DUMMYFUNCTION("GOOGLETRANSLATE(B1742,""en"",""de"")"),"Hölle")</f>
        <v>Hölle</v>
      </c>
      <c r="H1742" s="2" t="str">
        <f ca="1">IFERROR(__xludf.DUMMYFUNCTION("GOOGLETRANSLATE(B1742,""en"",""zh"")"),"地狱")</f>
        <v>地狱</v>
      </c>
      <c r="I1742" s="2" t="str">
        <f ca="1">IFERROR(__xludf.DUMMYFUNCTION("GOOGLETRANSLATE(B1742,""en"",""gd"")"),"ifrinn")</f>
        <v>ifrinn</v>
      </c>
    </row>
    <row r="1743" spans="1:9" ht="14.25" customHeight="1" x14ac:dyDescent="0.3">
      <c r="A1743" s="2">
        <v>1742</v>
      </c>
      <c r="B1743" s="3" t="s">
        <v>1750</v>
      </c>
      <c r="C1743" s="2" t="str">
        <f ca="1">IFERROR(__xludf.DUMMYFUNCTION("GOOGLETRANSLATE(B1743, ""en"",""es"")"),"en todos lados")</f>
        <v>en todos lados</v>
      </c>
      <c r="D1743" s="2" t="str">
        <f ca="1">IFERROR(__xludf.DUMMYFUNCTION("GOOGLETRANSLATE(B1743,""en"",""ig"")"),"ebe obula")</f>
        <v>ebe obula</v>
      </c>
      <c r="E1743" s="2" t="str">
        <f ca="1">IFERROR(__xludf.DUMMYFUNCTION("GOOGLETRANSLATE(B1743,""en"",""fr"")"),"partout")</f>
        <v>partout</v>
      </c>
      <c r="F1743" s="2" t="str">
        <f ca="1">IFERROR(__xludf.DUMMYFUNCTION("GOOGLETRANSLATE(B1743,""en"",""it"")"),"ovunque")</f>
        <v>ovunque</v>
      </c>
      <c r="G1743" s="2" t="str">
        <f ca="1">IFERROR(__xludf.DUMMYFUNCTION("GOOGLETRANSLATE(B1743,""en"",""de"")"),"überall")</f>
        <v>überall</v>
      </c>
      <c r="H1743" s="2" t="str">
        <f ca="1">IFERROR(__xludf.DUMMYFUNCTION("GOOGLETRANSLATE(B1743,""en"",""zh"")"),"到处")</f>
        <v>到处</v>
      </c>
      <c r="I1743" s="2" t="str">
        <f ca="1">IFERROR(__xludf.DUMMYFUNCTION("GOOGLETRANSLATE(B1743,""en"",""gd"")"),"anns a h-uile àite")</f>
        <v>anns a h-uile àite</v>
      </c>
    </row>
    <row r="1744" spans="1:9" ht="14.25" customHeight="1" x14ac:dyDescent="0.3">
      <c r="A1744" s="2">
        <v>1743</v>
      </c>
      <c r="B1744" s="3" t="s">
        <v>1751</v>
      </c>
      <c r="C1744" s="2" t="str">
        <f ca="1">IFERROR(__xludf.DUMMYFUNCTION("GOOGLETRANSLATE(B1744, ""en"",""es"")"),"aconsejar")</f>
        <v>aconsejar</v>
      </c>
      <c r="D1744" s="2" t="str">
        <f ca="1">IFERROR(__xludf.DUMMYFUNCTION("GOOGLETRANSLATE(B1744,""en"",""ig"")"),"inye ndumodu")</f>
        <v>inye ndumodu</v>
      </c>
      <c r="E1744" s="2" t="str">
        <f ca="1">IFERROR(__xludf.DUMMYFUNCTION("GOOGLETRANSLATE(B1744,""en"",""fr"")"),"conseiller")</f>
        <v>conseiller</v>
      </c>
      <c r="F1744" s="2" t="str">
        <f ca="1">IFERROR(__xludf.DUMMYFUNCTION("GOOGLETRANSLATE(B1744,""en"",""it"")"),"consigliare")</f>
        <v>consigliare</v>
      </c>
      <c r="G1744" s="2" t="str">
        <f ca="1">IFERROR(__xludf.DUMMYFUNCTION("GOOGLETRANSLATE(B1744,""en"",""de"")"),"beraten")</f>
        <v>beraten</v>
      </c>
      <c r="H1744" s="2" t="str">
        <f ca="1">IFERROR(__xludf.DUMMYFUNCTION("GOOGLETRANSLATE(B1744,""en"",""zh"")"),"建议")</f>
        <v>建议</v>
      </c>
      <c r="I1744" s="2" t="str">
        <f ca="1">IFERROR(__xludf.DUMMYFUNCTION("GOOGLETRANSLATE(B1744,""en"",""gd"")"),"comhairle")</f>
        <v>comhairle</v>
      </c>
    </row>
    <row r="1745" spans="1:9" ht="14.25" customHeight="1" x14ac:dyDescent="0.3">
      <c r="A1745" s="2">
        <v>1744</v>
      </c>
      <c r="B1745" s="3" t="s">
        <v>1752</v>
      </c>
      <c r="C1745" s="2" t="str">
        <f ca="1">IFERROR(__xludf.DUMMYFUNCTION("GOOGLETRANSLATE(B1745, ""en"",""es"")"),"familiar")</f>
        <v>familiar</v>
      </c>
      <c r="D1745" s="2" t="str">
        <f ca="1">IFERROR(__xludf.DUMMYFUNCTION("GOOGLETRANSLATE(B1745,""en"",""ig"")"),"ezi na ulo")</f>
        <v>ezi na ulo</v>
      </c>
      <c r="E1745" s="2" t="str">
        <f ca="1">IFERROR(__xludf.DUMMYFUNCTION("GOOGLETRANSLATE(B1745,""en"",""fr"")"),"ménage")</f>
        <v>ménage</v>
      </c>
      <c r="F1745" s="2" t="str">
        <f ca="1">IFERROR(__xludf.DUMMYFUNCTION("GOOGLETRANSLATE(B1745,""en"",""it"")"),"domestico")</f>
        <v>domestico</v>
      </c>
      <c r="G1745" s="2" t="str">
        <f ca="1">IFERROR(__xludf.DUMMYFUNCTION("GOOGLETRANSLATE(B1745,""en"",""de"")"),"Haushalt")</f>
        <v>Haushalt</v>
      </c>
      <c r="H1745" s="2" t="str">
        <f ca="1">IFERROR(__xludf.DUMMYFUNCTION("GOOGLETRANSLATE(B1745,""en"",""zh"")"),"家庭")</f>
        <v>家庭</v>
      </c>
      <c r="I1745" s="2" t="str">
        <f ca="1">IFERROR(__xludf.DUMMYFUNCTION("GOOGLETRANSLATE(B1745,""en"",""gd"")"),"Dachaigh")</f>
        <v>Dachaigh</v>
      </c>
    </row>
    <row r="1746" spans="1:9" ht="14.25" customHeight="1" x14ac:dyDescent="0.3">
      <c r="A1746" s="2">
        <v>1745</v>
      </c>
      <c r="B1746" s="3" t="s">
        <v>1753</v>
      </c>
      <c r="C1746" s="2" t="str">
        <f ca="1">IFERROR(__xludf.DUMMYFUNCTION("GOOGLETRANSLATE(B1746, ""en"",""es"")"),"reconocer")</f>
        <v>reconocer</v>
      </c>
      <c r="D1746" s="2" t="str">
        <f ca="1">IFERROR(__xludf.DUMMYFUNCTION("GOOGLETRANSLATE(B1746,""en"",""ig"")"),"ikwupuru")</f>
        <v>ikwupuru</v>
      </c>
      <c r="E1746" s="2" t="str">
        <f ca="1">IFERROR(__xludf.DUMMYFUNCTION("GOOGLETRANSLATE(B1746,""en"",""fr"")"),"reconnaître")</f>
        <v>reconnaître</v>
      </c>
      <c r="F1746" s="2" t="str">
        <f ca="1">IFERROR(__xludf.DUMMYFUNCTION("GOOGLETRANSLATE(B1746,""en"",""it"")"),"riconoscere")</f>
        <v>riconoscere</v>
      </c>
      <c r="G1746" s="2" t="str">
        <f ca="1">IFERROR(__xludf.DUMMYFUNCTION("GOOGLETRANSLATE(B1746,""en"",""de"")"),"anerkennen")</f>
        <v>anerkennen</v>
      </c>
      <c r="H1746" s="2" t="str">
        <f ca="1">IFERROR(__xludf.DUMMYFUNCTION("GOOGLETRANSLATE(B1746,""en"",""zh"")"),"承认")</f>
        <v>承认</v>
      </c>
      <c r="I1746" s="2" t="str">
        <f ca="1">IFERROR(__xludf.DUMMYFUNCTION("GOOGLETRANSLATE(B1746,""en"",""gd"")"),"aideachadh")</f>
        <v>aideachadh</v>
      </c>
    </row>
    <row r="1747" spans="1:9" ht="14.25" customHeight="1" x14ac:dyDescent="0.3">
      <c r="A1747" s="2">
        <v>1746</v>
      </c>
      <c r="B1747" s="3" t="s">
        <v>1754</v>
      </c>
      <c r="C1747" s="2" t="str">
        <f ca="1">IFERROR(__xludf.DUMMYFUNCTION("GOOGLETRANSLATE(B1747, ""en"",""es"")"),"premio")</f>
        <v>premio</v>
      </c>
      <c r="D1747" s="2" t="str">
        <f ca="1">IFERROR(__xludf.DUMMYFUNCTION("GOOGLETRANSLATE(B1747,""en"",""ig"")"),"ugwo")</f>
        <v>ugwo</v>
      </c>
      <c r="E1747" s="2" t="str">
        <f ca="1">IFERROR(__xludf.DUMMYFUNCTION("GOOGLETRANSLATE(B1747,""en"",""fr"")"),"récompense")</f>
        <v>récompense</v>
      </c>
      <c r="F1747" s="2" t="str">
        <f ca="1">IFERROR(__xludf.DUMMYFUNCTION("GOOGLETRANSLATE(B1747,""en"",""it"")"),"ricompensa")</f>
        <v>ricompensa</v>
      </c>
      <c r="G1747" s="2" t="str">
        <f ca="1">IFERROR(__xludf.DUMMYFUNCTION("GOOGLETRANSLATE(B1747,""en"",""de"")"),"belohnen")</f>
        <v>belohnen</v>
      </c>
      <c r="H1747" s="2" t="str">
        <f ca="1">IFERROR(__xludf.DUMMYFUNCTION("GOOGLETRANSLATE(B1747,""en"",""zh"")"),"报酬")</f>
        <v>报酬</v>
      </c>
      <c r="I1747" s="2" t="str">
        <f ca="1">IFERROR(__xludf.DUMMYFUNCTION("GOOGLETRANSLATE(B1747,""en"",""gd"")"),"duais")</f>
        <v>duais</v>
      </c>
    </row>
    <row r="1748" spans="1:9" ht="14.25" customHeight="1" x14ac:dyDescent="0.3">
      <c r="A1748" s="2">
        <v>1747</v>
      </c>
      <c r="B1748" s="3" t="s">
        <v>1755</v>
      </c>
      <c r="C1748" s="2" t="str">
        <f ca="1">IFERROR(__xludf.DUMMYFUNCTION("GOOGLETRANSLATE(B1748, ""en"",""es"")"),"este")</f>
        <v>este</v>
      </c>
      <c r="D1748" s="2" t="str">
        <f ca="1">IFERROR(__xludf.DUMMYFUNCTION("GOOGLETRANSLATE(B1748,""en"",""ig"")"),"owuwa anyanwu")</f>
        <v>owuwa anyanwu</v>
      </c>
      <c r="E1748" s="2" t="str">
        <f ca="1">IFERROR(__xludf.DUMMYFUNCTION("GOOGLETRANSLATE(B1748,""en"",""fr"")"),"est")</f>
        <v>est</v>
      </c>
      <c r="F1748" s="2" t="str">
        <f ca="1">IFERROR(__xludf.DUMMYFUNCTION("GOOGLETRANSLATE(B1748,""en"",""it"")"),"est")</f>
        <v>est</v>
      </c>
      <c r="G1748" s="2" t="str">
        <f ca="1">IFERROR(__xludf.DUMMYFUNCTION("GOOGLETRANSLATE(B1748,""en"",""de"")"),"Ost")</f>
        <v>Ost</v>
      </c>
      <c r="H1748" s="2" t="str">
        <f ca="1">IFERROR(__xludf.DUMMYFUNCTION("GOOGLETRANSLATE(B1748,""en"",""zh"")"),"东方")</f>
        <v>东方</v>
      </c>
      <c r="I1748" s="2" t="str">
        <f ca="1">IFERROR(__xludf.DUMMYFUNCTION("GOOGLETRANSLATE(B1748,""en"",""gd"")"),"ear")</f>
        <v>ear</v>
      </c>
    </row>
    <row r="1749" spans="1:9" ht="14.25" customHeight="1" x14ac:dyDescent="0.3">
      <c r="A1749" s="2">
        <v>1748</v>
      </c>
      <c r="B1749" s="3" t="s">
        <v>1756</v>
      </c>
      <c r="C1749" s="2" t="str">
        <f ca="1">IFERROR(__xludf.DUMMYFUNCTION("GOOGLETRANSLATE(B1749, ""en"",""es"")"),"sombrero")</f>
        <v>sombrero</v>
      </c>
      <c r="D1749" s="2" t="str">
        <f ca="1">IFERROR(__xludf.DUMMYFUNCTION("GOOGLETRANSLATE(B1749,""en"",""ig"")"),"okpu")</f>
        <v>okpu</v>
      </c>
      <c r="E1749" s="2" t="str">
        <f ca="1">IFERROR(__xludf.DUMMYFUNCTION("GOOGLETRANSLATE(B1749,""en"",""fr"")"),"chapeau")</f>
        <v>chapeau</v>
      </c>
      <c r="F1749" s="2" t="str">
        <f ca="1">IFERROR(__xludf.DUMMYFUNCTION("GOOGLETRANSLATE(B1749,""en"",""it"")"),"cappello")</f>
        <v>cappello</v>
      </c>
      <c r="G1749" s="2" t="str">
        <f ca="1">IFERROR(__xludf.DUMMYFUNCTION("GOOGLETRANSLATE(B1749,""en"",""de"")"),"Hut")</f>
        <v>Hut</v>
      </c>
      <c r="H1749" s="2" t="str">
        <f ca="1">IFERROR(__xludf.DUMMYFUNCTION("GOOGLETRANSLATE(B1749,""en"",""zh"")"),"帽子")</f>
        <v>帽子</v>
      </c>
      <c r="I1749" s="2" t="str">
        <f ca="1">IFERROR(__xludf.DUMMYFUNCTION("GOOGLETRANSLATE(B1749,""en"",""gd"")"),"ad")</f>
        <v>ad</v>
      </c>
    </row>
    <row r="1750" spans="1:9" ht="14.25" customHeight="1" x14ac:dyDescent="0.3">
      <c r="A1750" s="2">
        <v>1749</v>
      </c>
      <c r="B1750" s="3" t="s">
        <v>1757</v>
      </c>
      <c r="C1750" s="2" t="str">
        <f ca="1">IFERROR(__xludf.DUMMYFUNCTION("GOOGLETRANSLATE(B1750, ""en"",""es"")"),"académico")</f>
        <v>académico</v>
      </c>
      <c r="D1750" s="2" t="str">
        <f ca="1">IFERROR(__xludf.DUMMYFUNCTION("GOOGLETRANSLATE(B1750,""en"",""ig"")"),"akadamiiki")</f>
        <v>akadamiiki</v>
      </c>
      <c r="E1750" s="2" t="str">
        <f ca="1">IFERROR(__xludf.DUMMYFUNCTION("GOOGLETRANSLATE(B1750,""en"",""fr"")"),"académique")</f>
        <v>académique</v>
      </c>
      <c r="F1750" s="2" t="str">
        <f ca="1">IFERROR(__xludf.DUMMYFUNCTION("GOOGLETRANSLATE(B1750,""en"",""it"")"),"accademico")</f>
        <v>accademico</v>
      </c>
      <c r="G1750" s="2" t="str">
        <f ca="1">IFERROR(__xludf.DUMMYFUNCTION("GOOGLETRANSLATE(B1750,""en"",""de"")"),"akademisch")</f>
        <v>akademisch</v>
      </c>
      <c r="H1750" s="2" t="str">
        <f ca="1">IFERROR(__xludf.DUMMYFUNCTION("GOOGLETRANSLATE(B1750,""en"",""zh"")"),"学术的")</f>
        <v>学术的</v>
      </c>
      <c r="I1750" s="2" t="str">
        <f ca="1">IFERROR(__xludf.DUMMYFUNCTION("GOOGLETRANSLATE(B1750,""en"",""gd"")"),"Acadaimigeach")</f>
        <v>Acadaimigeach</v>
      </c>
    </row>
    <row r="1751" spans="1:9" ht="14.25" customHeight="1" x14ac:dyDescent="0.3">
      <c r="A1751" s="2">
        <v>1750</v>
      </c>
      <c r="B1751" s="3" t="s">
        <v>1758</v>
      </c>
      <c r="C1751" s="2" t="str">
        <f ca="1">IFERROR(__xludf.DUMMYFUNCTION("GOOGLETRANSLATE(B1751, ""en"",""es"")"),"votante")</f>
        <v>votante</v>
      </c>
      <c r="D1751" s="2" t="str">
        <f ca="1">IFERROR(__xludf.DUMMYFUNCTION("GOOGLETRANSLATE(B1751,""en"",""ig"")"),"vootu")</f>
        <v>vootu</v>
      </c>
      <c r="E1751" s="2" t="str">
        <f ca="1">IFERROR(__xludf.DUMMYFUNCTION("GOOGLETRANSLATE(B1751,""en"",""fr"")"),"électeur")</f>
        <v>électeur</v>
      </c>
      <c r="F1751" s="2" t="str">
        <f ca="1">IFERROR(__xludf.DUMMYFUNCTION("GOOGLETRANSLATE(B1751,""en"",""it"")"),"elettore")</f>
        <v>elettore</v>
      </c>
      <c r="G1751" s="2" t="str">
        <f ca="1">IFERROR(__xludf.DUMMYFUNCTION("GOOGLETRANSLATE(B1751,""en"",""de"")"),"Wähler")</f>
        <v>Wähler</v>
      </c>
      <c r="H1751" s="2" t="str">
        <f ca="1">IFERROR(__xludf.DUMMYFUNCTION("GOOGLETRANSLATE(B1751,""en"",""zh"")"),"选民")</f>
        <v>选民</v>
      </c>
      <c r="I1751" s="2" t="str">
        <f ca="1">IFERROR(__xludf.DUMMYFUNCTION("GOOGLETRANSLATE(B1751,""en"",""gd"")"),"Voter")</f>
        <v>Voter</v>
      </c>
    </row>
    <row r="1752" spans="1:9" ht="14.25" customHeight="1" x14ac:dyDescent="0.3">
      <c r="A1752" s="2">
        <v>1751</v>
      </c>
      <c r="B1752" s="3" t="s">
        <v>1759</v>
      </c>
      <c r="C1752" s="2" t="str">
        <f ca="1">IFERROR(__xludf.DUMMYFUNCTION("GOOGLETRANSLATE(B1752, ""en"",""es"")"),"mientras tanto")</f>
        <v>mientras tanto</v>
      </c>
      <c r="D1752" s="2" t="str">
        <f ca="1">IFERROR(__xludf.DUMMYFUNCTION("GOOGLETRANSLATE(B1752,""en"",""ig"")"),"oburu")</f>
        <v>oburu</v>
      </c>
      <c r="E1752" s="2" t="str">
        <f ca="1">IFERROR(__xludf.DUMMYFUNCTION("GOOGLETRANSLATE(B1752,""en"",""fr"")"),"entre-temps")</f>
        <v>entre-temps</v>
      </c>
      <c r="F1752" s="2" t="str">
        <f ca="1">IFERROR(__xludf.DUMMYFUNCTION("GOOGLETRANSLATE(B1752,""en"",""it"")"),"Nel frattempo")</f>
        <v>Nel frattempo</v>
      </c>
      <c r="G1752" s="2" t="str">
        <f ca="1">IFERROR(__xludf.DUMMYFUNCTION("GOOGLETRANSLATE(B1752,""en"",""de"")"),"in der Zwischenzeit")</f>
        <v>in der Zwischenzeit</v>
      </c>
      <c r="H1752" s="2" t="str">
        <f ca="1">IFERROR(__xludf.DUMMYFUNCTION("GOOGLETRANSLATE(B1752,""en"",""zh"")"),"同时")</f>
        <v>同时</v>
      </c>
      <c r="I1752" s="2" t="str">
        <f ca="1">IFERROR(__xludf.DUMMYFUNCTION("GOOGLETRANSLATE(B1752,""en"",""gd"")"),"Aig an aon àm")</f>
        <v>Aig an aon àm</v>
      </c>
    </row>
    <row r="1753" spans="1:9" ht="14.25" customHeight="1" x14ac:dyDescent="0.3">
      <c r="A1753" s="2">
        <v>1752</v>
      </c>
      <c r="B1753" s="3" t="s">
        <v>1760</v>
      </c>
      <c r="C1753" s="2" t="str">
        <f ca="1">IFERROR(__xludf.DUMMYFUNCTION("GOOGLETRANSLATE(B1753, ""en"",""es"")"),"además")</f>
        <v>además</v>
      </c>
      <c r="D1753" s="2" t="str">
        <f ca="1">IFERROR(__xludf.DUMMYFUNCTION("GOOGLETRANSLATE(B1753,""en"",""ig"")"),"ozoro")</f>
        <v>ozoro</v>
      </c>
      <c r="E1753" s="2" t="str">
        <f ca="1">IFERROR(__xludf.DUMMYFUNCTION("GOOGLETRANSLATE(B1753,""en"",""fr"")"),"en outre")</f>
        <v>en outre</v>
      </c>
      <c r="F1753" s="2" t="str">
        <f ca="1">IFERROR(__xludf.DUMMYFUNCTION("GOOGLETRANSLATE(B1753,""en"",""it"")"),"Inoltre")</f>
        <v>Inoltre</v>
      </c>
      <c r="G1753" s="2" t="str">
        <f ca="1">IFERROR(__xludf.DUMMYFUNCTION("GOOGLETRANSLATE(B1753,""en"",""de"")"),"Außerdem")</f>
        <v>Außerdem</v>
      </c>
      <c r="H1753" s="2" t="str">
        <f ca="1">IFERROR(__xludf.DUMMYFUNCTION("GOOGLETRANSLATE(B1753,""en"",""zh"")"),"此外")</f>
        <v>此外</v>
      </c>
      <c r="I1753" s="2" t="str">
        <f ca="1">IFERROR(__xludf.DUMMYFUNCTION("GOOGLETRANSLATE(B1753,""en"",""gd"")"),"A bharrachd air an sin")</f>
        <v>A bharrachd air an sin</v>
      </c>
    </row>
    <row r="1754" spans="1:9" ht="14.25" customHeight="1" x14ac:dyDescent="0.3">
      <c r="A1754" s="2">
        <v>1753</v>
      </c>
      <c r="B1754" s="3" t="s">
        <v>1761</v>
      </c>
      <c r="C1754" s="2" t="str">
        <f ca="1">IFERROR(__xludf.DUMMYFUNCTION("GOOGLETRANSLATE(B1754, ""en"",""es"")"),"acusar")</f>
        <v>acusar</v>
      </c>
      <c r="D1754" s="2" t="str">
        <f ca="1">IFERROR(__xludf.DUMMYFUNCTION("GOOGLETRANSLATE(B1754,""en"",""ig"")"),"ibo ebubo")</f>
        <v>ibo ebubo</v>
      </c>
      <c r="E1754" s="2" t="str">
        <f ca="1">IFERROR(__xludf.DUMMYFUNCTION("GOOGLETRANSLATE(B1754,""en"",""fr"")"),"accuser")</f>
        <v>accuser</v>
      </c>
      <c r="F1754" s="2" t="str">
        <f ca="1">IFERROR(__xludf.DUMMYFUNCTION("GOOGLETRANSLATE(B1754,""en"",""it"")"),"accusare")</f>
        <v>accusare</v>
      </c>
      <c r="G1754" s="2" t="str">
        <f ca="1">IFERROR(__xludf.DUMMYFUNCTION("GOOGLETRANSLATE(B1754,""en"",""de"")"),"beschuldigen")</f>
        <v>beschuldigen</v>
      </c>
      <c r="H1754" s="2" t="str">
        <f ca="1">IFERROR(__xludf.DUMMYFUNCTION("GOOGLETRANSLATE(B1754,""en"",""zh"")"),"告")</f>
        <v>告</v>
      </c>
      <c r="I1754" s="2" t="str">
        <f ca="1">IFERROR(__xludf.DUMMYFUNCTION("GOOGLETRANSLATE(B1754,""en"",""gd"")"),"casaid")</f>
        <v>casaid</v>
      </c>
    </row>
    <row r="1755" spans="1:9" ht="14.25" customHeight="1" x14ac:dyDescent="0.3">
      <c r="A1755" s="2">
        <v>1754</v>
      </c>
      <c r="B1755" s="3" t="s">
        <v>1762</v>
      </c>
      <c r="C1755" s="2" t="str">
        <f ca="1">IFERROR(__xludf.DUMMYFUNCTION("GOOGLETRANSLATE(B1755, ""en"",""es"")"),"científico")</f>
        <v>científico</v>
      </c>
      <c r="D1755" s="2" t="str">
        <f ca="1">IFERROR(__xludf.DUMMYFUNCTION("GOOGLETRANSLATE(B1755,""en"",""ig"")"),"sayentifik")</f>
        <v>sayentifik</v>
      </c>
      <c r="E1755" s="2" t="str">
        <f ca="1">IFERROR(__xludf.DUMMYFUNCTION("GOOGLETRANSLATE(B1755,""en"",""fr"")"),"scientifique")</f>
        <v>scientifique</v>
      </c>
      <c r="F1755" s="2" t="str">
        <f ca="1">IFERROR(__xludf.DUMMYFUNCTION("GOOGLETRANSLATE(B1755,""en"",""it"")"),"scientifico")</f>
        <v>scientifico</v>
      </c>
      <c r="G1755" s="2" t="str">
        <f ca="1">IFERROR(__xludf.DUMMYFUNCTION("GOOGLETRANSLATE(B1755,""en"",""de"")"),"wissenschaftlich")</f>
        <v>wissenschaftlich</v>
      </c>
      <c r="H1755" s="2" t="str">
        <f ca="1">IFERROR(__xludf.DUMMYFUNCTION("GOOGLETRANSLATE(B1755,""en"",""zh"")"),"科学")</f>
        <v>科学</v>
      </c>
      <c r="I1755" s="2" t="str">
        <f ca="1">IFERROR(__xludf.DUMMYFUNCTION("GOOGLETRANSLATE(B1755,""en"",""gd"")"),"saidheansail")</f>
        <v>saidheansail</v>
      </c>
    </row>
    <row r="1756" spans="1:9" ht="14.25" customHeight="1" x14ac:dyDescent="0.3">
      <c r="A1756" s="2">
        <v>1755</v>
      </c>
      <c r="B1756" s="3" t="s">
        <v>1763</v>
      </c>
      <c r="C1756" s="2" t="str">
        <f ca="1">IFERROR(__xludf.DUMMYFUNCTION("GOOGLETRANSLATE(B1756, ""en"",""es"")"),"salario")</f>
        <v>salario</v>
      </c>
      <c r="D1756" s="2" t="str">
        <f ca="1">IFERROR(__xludf.DUMMYFUNCTION("GOOGLETRANSLATE(B1756,""en"",""ig"")"),"ugwo")</f>
        <v>ugwo</v>
      </c>
      <c r="E1756" s="2" t="str">
        <f ca="1">IFERROR(__xludf.DUMMYFUNCTION("GOOGLETRANSLATE(B1756,""en"",""fr"")"),"salaire")</f>
        <v>salaire</v>
      </c>
      <c r="F1756" s="2" t="str">
        <f ca="1">IFERROR(__xludf.DUMMYFUNCTION("GOOGLETRANSLATE(B1756,""en"",""it"")"),"salario")</f>
        <v>salario</v>
      </c>
      <c r="G1756" s="2" t="str">
        <f ca="1">IFERROR(__xludf.DUMMYFUNCTION("GOOGLETRANSLATE(B1756,""en"",""de"")"),"Lohn")</f>
        <v>Lohn</v>
      </c>
      <c r="H1756" s="2" t="str">
        <f ca="1">IFERROR(__xludf.DUMMYFUNCTION("GOOGLETRANSLATE(B1756,""en"",""zh"")"),"工资")</f>
        <v>工资</v>
      </c>
      <c r="I1756" s="2" t="str">
        <f ca="1">IFERROR(__xludf.DUMMYFUNCTION("GOOGLETRANSLATE(B1756,""en"",""gd"")"),"Tuarastail")</f>
        <v>Tuarastail</v>
      </c>
    </row>
    <row r="1757" spans="1:9" ht="14.25" customHeight="1" x14ac:dyDescent="0.3">
      <c r="A1757" s="2">
        <v>1756</v>
      </c>
      <c r="B1757" s="3" t="s">
        <v>1764</v>
      </c>
      <c r="C1757" s="2" t="str">
        <f ca="1">IFERROR(__xludf.DUMMYFUNCTION("GOOGLETRANSLATE(B1757, ""en"",""es"")"),"ausencia")</f>
        <v>ausencia</v>
      </c>
      <c r="D1757" s="2" t="str">
        <f ca="1">IFERROR(__xludf.DUMMYFUNCTION("GOOGLETRANSLATE(B1757,""en"",""ig"")"),"abiaghi")</f>
        <v>abiaghi</v>
      </c>
      <c r="E1757" s="2" t="str">
        <f ca="1">IFERROR(__xludf.DUMMYFUNCTION("GOOGLETRANSLATE(B1757,""en"",""fr"")"),"absence")</f>
        <v>absence</v>
      </c>
      <c r="F1757" s="2" t="str">
        <f ca="1">IFERROR(__xludf.DUMMYFUNCTION("GOOGLETRANSLATE(B1757,""en"",""it"")"),"assenza")</f>
        <v>assenza</v>
      </c>
      <c r="G1757" s="2" t="str">
        <f ca="1">IFERROR(__xludf.DUMMYFUNCTION("GOOGLETRANSLATE(B1757,""en"",""de"")"),"Abwesenheit")</f>
        <v>Abwesenheit</v>
      </c>
      <c r="H1757" s="2" t="str">
        <f ca="1">IFERROR(__xludf.DUMMYFUNCTION("GOOGLETRANSLATE(B1757,""en"",""zh"")"),"缺席")</f>
        <v>缺席</v>
      </c>
      <c r="I1757" s="2" t="str">
        <f ca="1">IFERROR(__xludf.DUMMYFUNCTION("GOOGLETRANSLATE(B1757,""en"",""gd"")"),"neo-làthaireachd")</f>
        <v>neo-làthaireachd</v>
      </c>
    </row>
    <row r="1758" spans="1:9" ht="14.25" customHeight="1" x14ac:dyDescent="0.3">
      <c r="A1758" s="2">
        <v>1757</v>
      </c>
      <c r="B1758" s="3" t="s">
        <v>1765</v>
      </c>
      <c r="C1758" s="2" t="str">
        <f ca="1">IFERROR(__xludf.DUMMYFUNCTION("GOOGLETRANSLATE(B1758, ""en"",""es"")"),"construir")</f>
        <v>construir</v>
      </c>
      <c r="D1758" s="2" t="str">
        <f ca="1">IFERROR(__xludf.DUMMYFUNCTION("GOOGLETRANSLATE(B1758,""en"",""ig"")"),"iwube")</f>
        <v>iwube</v>
      </c>
      <c r="E1758" s="2" t="str">
        <f ca="1">IFERROR(__xludf.DUMMYFUNCTION("GOOGLETRANSLATE(B1758,""en"",""fr"")"),"construction")</f>
        <v>construction</v>
      </c>
      <c r="F1758" s="2" t="str">
        <f ca="1">IFERROR(__xludf.DUMMYFUNCTION("GOOGLETRANSLATE(B1758,""en"",""it"")"),"costruire")</f>
        <v>costruire</v>
      </c>
      <c r="G1758" s="2" t="str">
        <f ca="1">IFERROR(__xludf.DUMMYFUNCTION("GOOGLETRANSLATE(B1758,""en"",""de"")"),"bauen")</f>
        <v>bauen</v>
      </c>
      <c r="H1758" s="2" t="str">
        <f ca="1">IFERROR(__xludf.DUMMYFUNCTION("GOOGLETRANSLATE(B1758,""en"",""zh"")"),"构造")</f>
        <v>构造</v>
      </c>
      <c r="I1758" s="2" t="str">
        <f ca="1">IFERROR(__xludf.DUMMYFUNCTION("GOOGLETRANSLATE(B1758,""en"",""gd"")"),"togail")</f>
        <v>togail</v>
      </c>
    </row>
    <row r="1759" spans="1:9" ht="14.25" customHeight="1" x14ac:dyDescent="0.3">
      <c r="A1759" s="2">
        <v>1758</v>
      </c>
      <c r="B1759" s="3" t="s">
        <v>1766</v>
      </c>
      <c r="C1759" s="2" t="str">
        <f ca="1">IFERROR(__xludf.DUMMYFUNCTION("GOOGLETRANSLATE(B1759, ""en"",""es"")"),"observación")</f>
        <v>observación</v>
      </c>
      <c r="D1759" s="2" t="str">
        <f ca="1">IFERROR(__xludf.DUMMYFUNCTION("GOOGLETRANSLATE(B1759,""en"",""ig"")"),"remaaki")</f>
        <v>remaaki</v>
      </c>
      <c r="E1759" s="2" t="str">
        <f ca="1">IFERROR(__xludf.DUMMYFUNCTION("GOOGLETRANSLATE(B1759,""en"",""fr"")"),"remarque")</f>
        <v>remarque</v>
      </c>
      <c r="F1759" s="2" t="str">
        <f ca="1">IFERROR(__xludf.DUMMYFUNCTION("GOOGLETRANSLATE(B1759,""en"",""it"")"),"osservazione")</f>
        <v>osservazione</v>
      </c>
      <c r="G1759" s="2" t="str">
        <f ca="1">IFERROR(__xludf.DUMMYFUNCTION("GOOGLETRANSLATE(B1759,""en"",""de"")"),"Anmerkung")</f>
        <v>Anmerkung</v>
      </c>
      <c r="H1759" s="2" t="str">
        <f ca="1">IFERROR(__xludf.DUMMYFUNCTION("GOOGLETRANSLATE(B1759,""en"",""zh"")"),"评论")</f>
        <v>评论</v>
      </c>
      <c r="I1759" s="2" t="str">
        <f ca="1">IFERROR(__xludf.DUMMYFUNCTION("GOOGLETRANSLATE(B1759,""en"",""gd"")"),"facal")</f>
        <v>facal</v>
      </c>
    </row>
    <row r="1760" spans="1:9" ht="14.25" customHeight="1" x14ac:dyDescent="0.3">
      <c r="A1760" s="2">
        <v>1759</v>
      </c>
      <c r="B1760" s="3" t="s">
        <v>1767</v>
      </c>
      <c r="C1760" s="2" t="str">
        <f ca="1">IFERROR(__xludf.DUMMYFUNCTION("GOOGLETRANSLATE(B1760, ""en"",""es"")"),"medicamento")</f>
        <v>medicamento</v>
      </c>
      <c r="D1760" s="2" t="str">
        <f ca="1">IFERROR(__xludf.DUMMYFUNCTION("GOOGLETRANSLATE(B1760,""en"",""ig"")"),"ọgwụ")</f>
        <v>ọgwụ</v>
      </c>
      <c r="E1760" s="2" t="str">
        <f ca="1">IFERROR(__xludf.DUMMYFUNCTION("GOOGLETRANSLATE(B1760,""en"",""fr"")"),"médecine")</f>
        <v>médecine</v>
      </c>
      <c r="F1760" s="2" t="str">
        <f ca="1">IFERROR(__xludf.DUMMYFUNCTION("GOOGLETRANSLATE(B1760,""en"",""it"")"),"medicinale")</f>
        <v>medicinale</v>
      </c>
      <c r="G1760" s="2" t="str">
        <f ca="1">IFERROR(__xludf.DUMMYFUNCTION("GOOGLETRANSLATE(B1760,""en"",""de"")"),"Medizin")</f>
        <v>Medizin</v>
      </c>
      <c r="H1760" s="2" t="str">
        <f ca="1">IFERROR(__xludf.DUMMYFUNCTION("GOOGLETRANSLATE(B1760,""en"",""zh"")"),"药品")</f>
        <v>药品</v>
      </c>
      <c r="I1760" s="2" t="str">
        <f ca="1">IFERROR(__xludf.DUMMYFUNCTION("GOOGLETRANSLATE(B1760,""en"",""gd"")"),"leigheas")</f>
        <v>leigheas</v>
      </c>
    </row>
    <row r="1761" spans="1:9" ht="14.25" customHeight="1" x14ac:dyDescent="0.3">
      <c r="A1761" s="2">
        <v>1760</v>
      </c>
      <c r="B1761" s="3" t="s">
        <v>1768</v>
      </c>
      <c r="C1761" s="2" t="str">
        <f ca="1">IFERROR(__xludf.DUMMYFUNCTION("GOOGLETRANSLATE(B1761, ""en"",""es"")"),"profesor")</f>
        <v>profesor</v>
      </c>
      <c r="D1761" s="2" t="str">
        <f ca="1">IFERROR(__xludf.DUMMYFUNCTION("GOOGLETRANSLATE(B1761,""en"",""ig"")"),"okammuta nwoke")</f>
        <v>okammuta nwoke</v>
      </c>
      <c r="E1761" s="2" t="str">
        <f ca="1">IFERROR(__xludf.DUMMYFUNCTION("GOOGLETRANSLATE(B1761,""en"",""fr"")"),"professeur")</f>
        <v>professeur</v>
      </c>
      <c r="F1761" s="2" t="str">
        <f ca="1">IFERROR(__xludf.DUMMYFUNCTION("GOOGLETRANSLATE(B1761,""en"",""it"")"),"Professore")</f>
        <v>Professore</v>
      </c>
      <c r="G1761" s="2" t="str">
        <f ca="1">IFERROR(__xludf.DUMMYFUNCTION("GOOGLETRANSLATE(B1761,""en"",""de"")"),"Professor")</f>
        <v>Professor</v>
      </c>
      <c r="H1761" s="2" t="str">
        <f ca="1">IFERROR(__xludf.DUMMYFUNCTION("GOOGLETRANSLATE(B1761,""en"",""zh"")"),"教授")</f>
        <v>教授</v>
      </c>
      <c r="I1761" s="2" t="str">
        <f ca="1">IFERROR(__xludf.DUMMYFUNCTION("GOOGLETRANSLATE(B1761,""en"",""gd"")"),"Àrd-ollamh")</f>
        <v>Àrd-ollamh</v>
      </c>
    </row>
    <row r="1762" spans="1:9" ht="14.25" customHeight="1" x14ac:dyDescent="0.3">
      <c r="A1762" s="2">
        <v>1761</v>
      </c>
      <c r="B1762" s="3" t="s">
        <v>1769</v>
      </c>
      <c r="C1762" s="2" t="str">
        <f ca="1">IFERROR(__xludf.DUMMYFUNCTION("GOOGLETRANSLATE(B1762, ""en"",""es"")"),"extraño")</f>
        <v>extraño</v>
      </c>
      <c r="D1762" s="2" t="str">
        <f ca="1">IFERROR(__xludf.DUMMYFUNCTION("GOOGLETRANSLATE(B1762,""en"",""ig"")"),"emeghi mgbe dum")</f>
        <v>emeghi mgbe dum</v>
      </c>
      <c r="E1762" s="2" t="str">
        <f ca="1">IFERROR(__xludf.DUMMYFUNCTION("GOOGLETRANSLATE(B1762,""en"",""fr"")"),"rare")</f>
        <v>rare</v>
      </c>
      <c r="F1762" s="2" t="str">
        <f ca="1">IFERROR(__xludf.DUMMYFUNCTION("GOOGLETRANSLATE(B1762,""en"",""it"")"),"raro")</f>
        <v>raro</v>
      </c>
      <c r="G1762" s="2" t="str">
        <f ca="1">IFERROR(__xludf.DUMMYFUNCTION("GOOGLETRANSLATE(B1762,""en"",""de"")"),"selten")</f>
        <v>selten</v>
      </c>
      <c r="H1762" s="2" t="str">
        <f ca="1">IFERROR(__xludf.DUMMYFUNCTION("GOOGLETRANSLATE(B1762,""en"",""zh"")"),"稀有的")</f>
        <v>稀有的</v>
      </c>
      <c r="I1762" s="2" t="str">
        <f ca="1">IFERROR(__xludf.DUMMYFUNCTION("GOOGLETRANSLATE(B1762,""en"",""gd"")"),"tearc")</f>
        <v>tearc</v>
      </c>
    </row>
    <row r="1763" spans="1:9" ht="14.25" customHeight="1" x14ac:dyDescent="0.3">
      <c r="A1763" s="2">
        <v>1762</v>
      </c>
      <c r="B1763" s="3" t="s">
        <v>1770</v>
      </c>
      <c r="C1763" s="2" t="str">
        <f ca="1">IFERROR(__xludf.DUMMYFUNCTION("GOOGLETRANSLATE(B1763, ""en"",""es"")"),"intención")</f>
        <v>intención</v>
      </c>
      <c r="D1763" s="2" t="str">
        <f ca="1">IFERROR(__xludf.DUMMYFUNCTION("GOOGLETRANSLATE(B1763,""en"",""ig"")"),"mbunobi")</f>
        <v>mbunobi</v>
      </c>
      <c r="E1763" s="2" t="str">
        <f ca="1">IFERROR(__xludf.DUMMYFUNCTION("GOOGLETRANSLATE(B1763,""en"",""fr"")"),"intention")</f>
        <v>intention</v>
      </c>
      <c r="F1763" s="2" t="str">
        <f ca="1">IFERROR(__xludf.DUMMYFUNCTION("GOOGLETRANSLATE(B1763,""en"",""it"")"),"Intenzione")</f>
        <v>Intenzione</v>
      </c>
      <c r="G1763" s="2" t="str">
        <f ca="1">IFERROR(__xludf.DUMMYFUNCTION("GOOGLETRANSLATE(B1763,""en"",""de"")"),"Absicht")</f>
        <v>Absicht</v>
      </c>
      <c r="H1763" s="2" t="str">
        <f ca="1">IFERROR(__xludf.DUMMYFUNCTION("GOOGLETRANSLATE(B1763,""en"",""zh"")"),"意图")</f>
        <v>意图</v>
      </c>
      <c r="I1763" s="2" t="str">
        <f ca="1">IFERROR(__xludf.DUMMYFUNCTION("GOOGLETRANSLATE(B1763,""en"",""gd"")"),"rùn")</f>
        <v>rùn</v>
      </c>
    </row>
    <row r="1764" spans="1:9" ht="14.25" customHeight="1" x14ac:dyDescent="0.3">
      <c r="A1764" s="2">
        <v>1763</v>
      </c>
      <c r="B1764" s="3" t="s">
        <v>1771</v>
      </c>
      <c r="C1764" s="2" t="str">
        <f ca="1">IFERROR(__xludf.DUMMYFUNCTION("GOOGLETRANSLATE(B1764, ""en"",""es"")"),"docena")</f>
        <v>docena</v>
      </c>
      <c r="D1764" s="2" t="str">
        <f ca="1">IFERROR(__xludf.DUMMYFUNCTION("GOOGLETRANSLATE(B1764,""en"",""ig"")"),"iri na abuo")</f>
        <v>iri na abuo</v>
      </c>
      <c r="E1764" s="2" t="str">
        <f ca="1">IFERROR(__xludf.DUMMYFUNCTION("GOOGLETRANSLATE(B1764,""en"",""fr"")"),"douzaine")</f>
        <v>douzaine</v>
      </c>
      <c r="F1764" s="2" t="str">
        <f ca="1">IFERROR(__xludf.DUMMYFUNCTION("GOOGLETRANSLATE(B1764,""en"",""it"")"),"dozzina")</f>
        <v>dozzina</v>
      </c>
      <c r="G1764" s="2" t="str">
        <f ca="1">IFERROR(__xludf.DUMMYFUNCTION("GOOGLETRANSLATE(B1764,""en"",""de"")"),"Dutzend")</f>
        <v>Dutzend</v>
      </c>
      <c r="H1764" s="2" t="str">
        <f ca="1">IFERROR(__xludf.DUMMYFUNCTION("GOOGLETRANSLATE(B1764,""en"",""zh"")"),"打")</f>
        <v>打</v>
      </c>
      <c r="I1764" s="2" t="str">
        <f ca="1">IFERROR(__xludf.DUMMYFUNCTION("GOOGLETRANSLATE(B1764,""en"",""gd"")"),"dusan")</f>
        <v>dusan</v>
      </c>
    </row>
    <row r="1765" spans="1:9" ht="14.25" customHeight="1" x14ac:dyDescent="0.3">
      <c r="A1765" s="2">
        <v>1764</v>
      </c>
      <c r="B1765" s="3" t="s">
        <v>1772</v>
      </c>
      <c r="C1765" s="2" t="str">
        <f ca="1">IFERROR(__xludf.DUMMYFUNCTION("GOOGLETRANSLATE(B1765, ""en"",""es"")"),"asentamiento")</f>
        <v>asentamiento</v>
      </c>
      <c r="D1765" s="2" t="str">
        <f ca="1">IFERROR(__xludf.DUMMYFUNCTION("GOOGLETRANSLATE(B1765,""en"",""ig"")"),"mmezi")</f>
        <v>mmezi</v>
      </c>
      <c r="E1765" s="2" t="str">
        <f ca="1">IFERROR(__xludf.DUMMYFUNCTION("GOOGLETRANSLATE(B1765,""en"",""fr"")"),"règlement")</f>
        <v>règlement</v>
      </c>
      <c r="F1765" s="2" t="str">
        <f ca="1">IFERROR(__xludf.DUMMYFUNCTION("GOOGLETRANSLATE(B1765,""en"",""it"")"),"insediamento")</f>
        <v>insediamento</v>
      </c>
      <c r="G1765" s="2" t="str">
        <f ca="1">IFERROR(__xludf.DUMMYFUNCTION("GOOGLETRANSLATE(B1765,""en"",""de"")"),"Siedlung")</f>
        <v>Siedlung</v>
      </c>
      <c r="H1765" s="2" t="str">
        <f ca="1">IFERROR(__xludf.DUMMYFUNCTION("GOOGLETRANSLATE(B1765,""en"",""zh"")"),"沉降")</f>
        <v>沉降</v>
      </c>
      <c r="I1765" s="2" t="str">
        <f ca="1">IFERROR(__xludf.DUMMYFUNCTION("GOOGLETRANSLATE(B1765,""en"",""gd"")"),"Tuineachadh")</f>
        <v>Tuineachadh</v>
      </c>
    </row>
    <row r="1766" spans="1:9" ht="14.25" customHeight="1" x14ac:dyDescent="0.3">
      <c r="A1766" s="2">
        <v>1765</v>
      </c>
      <c r="B1766" s="3" t="s">
        <v>1773</v>
      </c>
      <c r="C1766" s="2" t="str">
        <f ca="1">IFERROR(__xludf.DUMMYFUNCTION("GOOGLETRANSLATE(B1766, ""en"",""es"")"),"brecha")</f>
        <v>brecha</v>
      </c>
      <c r="D1766" s="2" t="str">
        <f ca="1">IFERROR(__xludf.DUMMYFUNCTION("GOOGLETRANSLATE(B1766,""en"",""ig"")"),"gap")</f>
        <v>gap</v>
      </c>
      <c r="E1766" s="2" t="str">
        <f ca="1">IFERROR(__xludf.DUMMYFUNCTION("GOOGLETRANSLATE(B1766,""en"",""fr"")"),"écart")</f>
        <v>écart</v>
      </c>
      <c r="F1766" s="2" t="str">
        <f ca="1">IFERROR(__xludf.DUMMYFUNCTION("GOOGLETRANSLATE(B1766,""en"",""it"")"),"spacco")</f>
        <v>spacco</v>
      </c>
      <c r="G1766" s="2" t="str">
        <f ca="1">IFERROR(__xludf.DUMMYFUNCTION("GOOGLETRANSLATE(B1766,""en"",""de"")"),"Lücke")</f>
        <v>Lücke</v>
      </c>
      <c r="H1766" s="2" t="str">
        <f ca="1">IFERROR(__xludf.DUMMYFUNCTION("GOOGLETRANSLATE(B1766,""en"",""zh"")"),"差距")</f>
        <v>差距</v>
      </c>
      <c r="I1766" s="2" t="str">
        <f ca="1">IFERROR(__xludf.DUMMYFUNCTION("GOOGLETRANSLATE(B1766,""en"",""gd"")"),"beàrn")</f>
        <v>beàrn</v>
      </c>
    </row>
    <row r="1767" spans="1:9" ht="14.25" customHeight="1" x14ac:dyDescent="0.3">
      <c r="A1767" s="2">
        <v>1766</v>
      </c>
      <c r="B1767" s="3" t="s">
        <v>1774</v>
      </c>
      <c r="C1767" s="2" t="str">
        <f ca="1">IFERROR(__xludf.DUMMYFUNCTION("GOOGLETRANSLATE(B1767, ""en"",""es"")"),"ampliamente")</f>
        <v>ampliamente</v>
      </c>
      <c r="D1767" s="2" t="str">
        <f ca="1">IFERROR(__xludf.DUMMYFUNCTION("GOOGLETRANSLATE(B1767,""en"",""ig"")"),"n'uzo")</f>
        <v>n'uzo</v>
      </c>
      <c r="E1767" s="2" t="str">
        <f ca="1">IFERROR(__xludf.DUMMYFUNCTION("GOOGLETRANSLATE(B1767,""en"",""fr"")"),"largement")</f>
        <v>largement</v>
      </c>
      <c r="F1767" s="2" t="str">
        <f ca="1">IFERROR(__xludf.DUMMYFUNCTION("GOOGLETRANSLATE(B1767,""en"",""it"")"),"ampiamente")</f>
        <v>ampiamente</v>
      </c>
      <c r="G1767" s="2" t="str">
        <f ca="1">IFERROR(__xludf.DUMMYFUNCTION("GOOGLETRANSLATE(B1767,""en"",""de"")"),"weit")</f>
        <v>weit</v>
      </c>
      <c r="H1767" s="2" t="str">
        <f ca="1">IFERROR(__xludf.DUMMYFUNCTION("GOOGLETRANSLATE(B1767,""en"",""zh"")"),"广泛")</f>
        <v>广泛</v>
      </c>
      <c r="I1767" s="2" t="str">
        <f ca="1">IFERROR(__xludf.DUMMYFUNCTION("GOOGLETRANSLATE(B1767,""en"",""gd"")"),"gu farsaing")</f>
        <v>gu farsaing</v>
      </c>
    </row>
    <row r="1768" spans="1:9" ht="14.25" customHeight="1" x14ac:dyDescent="0.3">
      <c r="A1768" s="2">
        <v>1767</v>
      </c>
      <c r="B1768" s="3" t="s">
        <v>1775</v>
      </c>
      <c r="C1768" s="2" t="str">
        <f ca="1">IFERROR(__xludf.DUMMYFUNCTION("GOOGLETRANSLATE(B1768, ""en"",""es"")"),"mínimo")</f>
        <v>mínimo</v>
      </c>
      <c r="D1768" s="2" t="str">
        <f ca="1">IFERROR(__xludf.DUMMYFUNCTION("GOOGLETRANSLATE(B1768,""en"",""ig"")"),"nke kacha nta")</f>
        <v>nke kacha nta</v>
      </c>
      <c r="E1768" s="2" t="str">
        <f ca="1">IFERROR(__xludf.DUMMYFUNCTION("GOOGLETRANSLATE(B1768,""en"",""fr"")"),"le minimum")</f>
        <v>le minimum</v>
      </c>
      <c r="F1768" s="2" t="str">
        <f ca="1">IFERROR(__xludf.DUMMYFUNCTION("GOOGLETRANSLATE(B1768,""en"",""it"")"),"minimo")</f>
        <v>minimo</v>
      </c>
      <c r="G1768" s="2" t="str">
        <f ca="1">IFERROR(__xludf.DUMMYFUNCTION("GOOGLETRANSLATE(B1768,""en"",""de"")"),"Minimum")</f>
        <v>Minimum</v>
      </c>
      <c r="H1768" s="2" t="str">
        <f ca="1">IFERROR(__xludf.DUMMYFUNCTION("GOOGLETRANSLATE(B1768,""en"",""zh"")"),"最低限度")</f>
        <v>最低限度</v>
      </c>
      <c r="I1768" s="2" t="str">
        <f ca="1">IFERROR(__xludf.DUMMYFUNCTION("GOOGLETRANSLATE(B1768,""en"",""gd"")"),"aig a 'char as lugha")</f>
        <v>aig a 'char as lugha</v>
      </c>
    </row>
    <row r="1769" spans="1:9" ht="14.25" customHeight="1" x14ac:dyDescent="0.3">
      <c r="A1769" s="2">
        <v>1768</v>
      </c>
      <c r="B1769" s="3" t="s">
        <v>1776</v>
      </c>
      <c r="C1769" s="2" t="str">
        <f ca="1">IFERROR(__xludf.DUMMYFUNCTION("GOOGLETRANSLATE(B1769, ""en"",""es"")"),"del Norte")</f>
        <v>del Norte</v>
      </c>
      <c r="D1769" s="2" t="str">
        <f ca="1">IFERROR(__xludf.DUMMYFUNCTION("GOOGLETRANSLATE(B1769,""en"",""ig"")"),"nke ugwu")</f>
        <v>nke ugwu</v>
      </c>
      <c r="E1769" s="2" t="str">
        <f ca="1">IFERROR(__xludf.DUMMYFUNCTION("GOOGLETRANSLATE(B1769,""en"",""fr"")"),"nord")</f>
        <v>nord</v>
      </c>
      <c r="F1769" s="2" t="str">
        <f ca="1">IFERROR(__xludf.DUMMYFUNCTION("GOOGLETRANSLATE(B1769,""en"",""it"")"),"settentrionale")</f>
        <v>settentrionale</v>
      </c>
      <c r="G1769" s="2" t="str">
        <f ca="1">IFERROR(__xludf.DUMMYFUNCTION("GOOGLETRANSLATE(B1769,""en"",""de"")"),"Nord")</f>
        <v>Nord</v>
      </c>
      <c r="H1769" s="2" t="str">
        <f ca="1">IFERROR(__xludf.DUMMYFUNCTION("GOOGLETRANSLATE(B1769,""en"",""zh"")"),"北方")</f>
        <v>北方</v>
      </c>
      <c r="I1769" s="2" t="str">
        <f ca="1">IFERROR(__xludf.DUMMYFUNCTION("GOOGLETRANSLATE(B1769,""en"",""gd"")"),"Tuath")</f>
        <v>Tuath</v>
      </c>
    </row>
    <row r="1770" spans="1:9" ht="14.25" customHeight="1" x14ac:dyDescent="0.3">
      <c r="A1770" s="2">
        <v>1769</v>
      </c>
      <c r="B1770" s="3" t="s">
        <v>1777</v>
      </c>
      <c r="C1770" s="2" t="str">
        <f ca="1">IFERROR(__xludf.DUMMYFUNCTION("GOOGLETRANSLATE(B1770, ""en"",""es"")"),"bienes")</f>
        <v>bienes</v>
      </c>
      <c r="D1770" s="2" t="str">
        <f ca="1">IFERROR(__xludf.DUMMYFUNCTION("GOOGLETRANSLATE(B1770,""en"",""ig"")"),"ala ewu")</f>
        <v>ala ewu</v>
      </c>
      <c r="E1770" s="2" t="str">
        <f ca="1">IFERROR(__xludf.DUMMYFUNCTION("GOOGLETRANSLATE(B1770,""en"",""fr"")"),"domaine")</f>
        <v>domaine</v>
      </c>
      <c r="F1770" s="2" t="str">
        <f ca="1">IFERROR(__xludf.DUMMYFUNCTION("GOOGLETRANSLATE(B1770,""en"",""it"")"),"proprietà")</f>
        <v>proprietà</v>
      </c>
      <c r="G1770" s="2" t="str">
        <f ca="1">IFERROR(__xludf.DUMMYFUNCTION("GOOGLETRANSLATE(B1770,""en"",""de"")"),"Anwesen")</f>
        <v>Anwesen</v>
      </c>
      <c r="H1770" s="2" t="str">
        <f ca="1">IFERROR(__xludf.DUMMYFUNCTION("GOOGLETRANSLATE(B1770,""en"",""zh"")"),"财产")</f>
        <v>财产</v>
      </c>
      <c r="I1770" s="2" t="str">
        <f ca="1">IFERROR(__xludf.DUMMYFUNCTION("GOOGLETRANSLATE(B1770,""en"",""gd"")"),"Oighreachd")</f>
        <v>Oighreachd</v>
      </c>
    </row>
    <row r="1771" spans="1:9" ht="14.25" customHeight="1" x14ac:dyDescent="0.3">
      <c r="A1771" s="2">
        <v>1770</v>
      </c>
      <c r="B1771" s="3" t="s">
        <v>1778</v>
      </c>
      <c r="C1771" s="2" t="str">
        <f ca="1">IFERROR(__xludf.DUMMYFUNCTION("GOOGLETRANSLATE(B1771, ""en"",""es"")"),"igualmente")</f>
        <v>igualmente</v>
      </c>
      <c r="D1771" s="2" t="str">
        <f ca="1">IFERROR(__xludf.DUMMYFUNCTION("GOOGLETRANSLATE(B1771,""en"",""ig"")"),"ohiha")</f>
        <v>ohiha</v>
      </c>
      <c r="E1771" s="2" t="str">
        <f ca="1">IFERROR(__xludf.DUMMYFUNCTION("GOOGLETRANSLATE(B1771,""en"",""fr"")"),"également")</f>
        <v>également</v>
      </c>
      <c r="F1771" s="2" t="str">
        <f ca="1">IFERROR(__xludf.DUMMYFUNCTION("GOOGLETRANSLATE(B1771,""en"",""it"")"),"Allo stesso modo")</f>
        <v>Allo stesso modo</v>
      </c>
      <c r="G1771" s="2" t="str">
        <f ca="1">IFERROR(__xludf.DUMMYFUNCTION("GOOGLETRANSLATE(B1771,""en"",""de"")"),"gleichermaßen")</f>
        <v>gleichermaßen</v>
      </c>
      <c r="H1771" s="2" t="str">
        <f ca="1">IFERROR(__xludf.DUMMYFUNCTION("GOOGLETRANSLATE(B1771,""en"",""zh"")"),"一样")</f>
        <v>一样</v>
      </c>
      <c r="I1771" s="2" t="str">
        <f ca="1">IFERROR(__xludf.DUMMYFUNCTION("GOOGLETRANSLATE(B1771,""en"",""gd"")"),"co-ionann")</f>
        <v>co-ionann</v>
      </c>
    </row>
    <row r="1772" spans="1:9" ht="14.25" customHeight="1" x14ac:dyDescent="0.3">
      <c r="A1772" s="2">
        <v>1771</v>
      </c>
      <c r="B1772" s="3" t="s">
        <v>1779</v>
      </c>
      <c r="C1772" s="2" t="str">
        <f ca="1">IFERROR(__xludf.DUMMYFUNCTION("GOOGLETRANSLATE(B1772, ""en"",""es"")"),"exponer")</f>
        <v>exponer</v>
      </c>
      <c r="D1772" s="2" t="str">
        <f ca="1">IFERROR(__xludf.DUMMYFUNCTION("GOOGLETRANSLATE(B1772,""en"",""ig"")"),"igbabo")</f>
        <v>igbabo</v>
      </c>
      <c r="E1772" s="2" t="str">
        <f ca="1">IFERROR(__xludf.DUMMYFUNCTION("GOOGLETRANSLATE(B1772,""en"",""fr"")"),"exposer")</f>
        <v>exposer</v>
      </c>
      <c r="F1772" s="2" t="str">
        <f ca="1">IFERROR(__xludf.DUMMYFUNCTION("GOOGLETRANSLATE(B1772,""en"",""it"")"),"esporre")</f>
        <v>esporre</v>
      </c>
      <c r="G1772" s="2" t="str">
        <f ca="1">IFERROR(__xludf.DUMMYFUNCTION("GOOGLETRANSLATE(B1772,""en"",""de"")"),"exponieren")</f>
        <v>exponieren</v>
      </c>
      <c r="H1772" s="2" t="str">
        <f ca="1">IFERROR(__xludf.DUMMYFUNCTION("GOOGLETRANSLATE(B1772,""en"",""zh"")"),"暴露")</f>
        <v>暴露</v>
      </c>
      <c r="I1772" s="2" t="str">
        <f ca="1">IFERROR(__xludf.DUMMYFUNCTION("GOOGLETRANSLATE(B1772,""en"",""gd"")"),"nochdaidh")</f>
        <v>nochdaidh</v>
      </c>
    </row>
    <row r="1773" spans="1:9" ht="14.25" customHeight="1" x14ac:dyDescent="0.3">
      <c r="A1773" s="2">
        <v>1772</v>
      </c>
      <c r="B1773" s="3" t="s">
        <v>1780</v>
      </c>
      <c r="C1773" s="2" t="str">
        <f ca="1">IFERROR(__xludf.DUMMYFUNCTION("GOOGLETRANSLATE(B1773, ""en"",""es"")"),"vivo")</f>
        <v>vivo</v>
      </c>
      <c r="D1773" s="2" t="str">
        <f ca="1">IFERROR(__xludf.DUMMYFUNCTION("GOOGLETRANSLATE(B1773,""en"",""ig"")"),"kendu")</f>
        <v>kendu</v>
      </c>
      <c r="E1773" s="2" t="str">
        <f ca="1">IFERROR(__xludf.DUMMYFUNCTION("GOOGLETRANSLATE(B1773,""en"",""fr"")"),"vivant")</f>
        <v>vivant</v>
      </c>
      <c r="F1773" s="2" t="str">
        <f ca="1">IFERROR(__xludf.DUMMYFUNCTION("GOOGLETRANSLATE(B1773,""en"",""it"")"),"vivo")</f>
        <v>vivo</v>
      </c>
      <c r="G1773" s="2" t="str">
        <f ca="1">IFERROR(__xludf.DUMMYFUNCTION("GOOGLETRANSLATE(B1773,""en"",""de"")"),"lebendig")</f>
        <v>lebendig</v>
      </c>
      <c r="H1773" s="2" t="str">
        <f ca="1">IFERROR(__xludf.DUMMYFUNCTION("GOOGLETRANSLATE(B1773,""en"",""zh"")"),"活")</f>
        <v>活</v>
      </c>
      <c r="I1773" s="2" t="str">
        <f ca="1">IFERROR(__xludf.DUMMYFUNCTION("GOOGLETRANSLATE(B1773,""en"",""gd"")"),"beò")</f>
        <v>beò</v>
      </c>
    </row>
    <row r="1774" spans="1:9" ht="14.25" customHeight="1" x14ac:dyDescent="0.3">
      <c r="A1774" s="2">
        <v>1773</v>
      </c>
      <c r="B1774" s="3" t="s">
        <v>1781</v>
      </c>
      <c r="C1774" s="2" t="str">
        <f ca="1">IFERROR(__xludf.DUMMYFUNCTION("GOOGLETRANSLATE(B1774, ""en"",""es"")"),"cerrar")</f>
        <v>cerrar</v>
      </c>
      <c r="D1774" s="2" t="str">
        <f ca="1">IFERROR(__xludf.DUMMYFUNCTION("GOOGLETRANSLATE(B1774,""en"",""ig"")"),"igbachi")</f>
        <v>igbachi</v>
      </c>
      <c r="E1774" s="2" t="str">
        <f ca="1">IFERROR(__xludf.DUMMYFUNCTION("GOOGLETRANSLATE(B1774,""en"",""fr"")"),"fermer")</f>
        <v>fermer</v>
      </c>
      <c r="F1774" s="2" t="str">
        <f ca="1">IFERROR(__xludf.DUMMYFUNCTION("GOOGLETRANSLATE(B1774,""en"",""it"")"),"chiuso")</f>
        <v>chiuso</v>
      </c>
      <c r="G1774" s="2" t="str">
        <f ca="1">IFERROR(__xludf.DUMMYFUNCTION("GOOGLETRANSLATE(B1774,""en"",""de"")"),"schließen")</f>
        <v>schließen</v>
      </c>
      <c r="H1774" s="2" t="str">
        <f ca="1">IFERROR(__xludf.DUMMYFUNCTION("GOOGLETRANSLATE(B1774,""en"",""zh"")"),"关闭")</f>
        <v>关闭</v>
      </c>
      <c r="I1774" s="2" t="str">
        <f ca="1">IFERROR(__xludf.DUMMYFUNCTION("GOOGLETRANSLATE(B1774,""en"",""gd"")"),"dùin")</f>
        <v>dùin</v>
      </c>
    </row>
    <row r="1775" spans="1:9" ht="14.25" customHeight="1" x14ac:dyDescent="0.3">
      <c r="A1775" s="2">
        <v>1774</v>
      </c>
      <c r="B1775" s="3" t="s">
        <v>1782</v>
      </c>
      <c r="C1775" s="2" t="str">
        <f ca="1">IFERROR(__xludf.DUMMYFUNCTION("GOOGLETRANSLATE(B1775, ""en"",""es"")"),"victoria")</f>
        <v>victoria</v>
      </c>
      <c r="D1775" s="2" t="str">
        <f ca="1">IFERROR(__xludf.DUMMYFUNCTION("GOOGLETRANSLATE(B1775,""en"",""ig"")"),"mmeri")</f>
        <v>mmeri</v>
      </c>
      <c r="E1775" s="2" t="str">
        <f ca="1">IFERROR(__xludf.DUMMYFUNCTION("GOOGLETRANSLATE(B1775,""en"",""fr"")"),"la victoire")</f>
        <v>la victoire</v>
      </c>
      <c r="F1775" s="2" t="str">
        <f ca="1">IFERROR(__xludf.DUMMYFUNCTION("GOOGLETRANSLATE(B1775,""en"",""it"")"),"vittoria")</f>
        <v>vittoria</v>
      </c>
      <c r="G1775" s="2" t="str">
        <f ca="1">IFERROR(__xludf.DUMMYFUNCTION("GOOGLETRANSLATE(B1775,""en"",""de"")"),"Sieg")</f>
        <v>Sieg</v>
      </c>
      <c r="H1775" s="2" t="str">
        <f ca="1">IFERROR(__xludf.DUMMYFUNCTION("GOOGLETRANSLATE(B1775,""en"",""zh"")"),"胜利")</f>
        <v>胜利</v>
      </c>
      <c r="I1775" s="2" t="str">
        <f ca="1">IFERROR(__xludf.DUMMYFUNCTION("GOOGLETRANSLATE(B1775,""en"",""gd"")"),"Buaidh")</f>
        <v>Buaidh</v>
      </c>
    </row>
    <row r="1776" spans="1:9" ht="14.25" customHeight="1" x14ac:dyDescent="0.3">
      <c r="A1776" s="2">
        <v>1775</v>
      </c>
      <c r="B1776" s="3" t="s">
        <v>1783</v>
      </c>
      <c r="C1776" s="2" t="str">
        <f ca="1">IFERROR(__xludf.DUMMYFUNCTION("GOOGLETRANSLATE(B1776, ""en"",""es"")"),"resolver")</f>
        <v>resolver</v>
      </c>
      <c r="D1776" s="2" t="str">
        <f ca="1">IFERROR(__xludf.DUMMYFUNCTION("GOOGLETRANSLATE(B1776,""en"",""ig"")"),"imezi")</f>
        <v>imezi</v>
      </c>
      <c r="E1776" s="2" t="str">
        <f ca="1">IFERROR(__xludf.DUMMYFUNCTION("GOOGLETRANSLATE(B1776,""en"",""fr"")"),"résoudre")</f>
        <v>résoudre</v>
      </c>
      <c r="F1776" s="2" t="str">
        <f ca="1">IFERROR(__xludf.DUMMYFUNCTION("GOOGLETRANSLATE(B1776,""en"",""it"")"),"risolvere")</f>
        <v>risolvere</v>
      </c>
      <c r="G1776" s="2" t="str">
        <f ca="1">IFERROR(__xludf.DUMMYFUNCTION("GOOGLETRANSLATE(B1776,""en"",""de"")"),"lösen")</f>
        <v>lösen</v>
      </c>
      <c r="H1776" s="2" t="str">
        <f ca="1">IFERROR(__xludf.DUMMYFUNCTION("GOOGLETRANSLATE(B1776,""en"",""zh"")"),"解决")</f>
        <v>解决</v>
      </c>
      <c r="I1776" s="2" t="str">
        <f ca="1">IFERROR(__xludf.DUMMYFUNCTION("GOOGLETRANSLATE(B1776,""en"",""gd"")"),"fuasgladh")</f>
        <v>fuasgladh</v>
      </c>
    </row>
    <row r="1777" spans="1:9" ht="14.25" customHeight="1" x14ac:dyDescent="0.3">
      <c r="A1777" s="2">
        <v>1776</v>
      </c>
      <c r="B1777" s="3" t="s">
        <v>1784</v>
      </c>
      <c r="C1777" s="2" t="str">
        <f ca="1">IFERROR(__xludf.DUMMYFUNCTION("GOOGLETRANSLATE(B1777, ""en"",""es"")"),"crítico")</f>
        <v>crítico</v>
      </c>
      <c r="D1777" s="2" t="str">
        <f ca="1">IFERROR(__xludf.DUMMYFUNCTION("GOOGLETRANSLATE(B1777,""en"",""ig"")"),"onyenkuzi")</f>
        <v>onyenkuzi</v>
      </c>
      <c r="E1777" s="2" t="str">
        <f ca="1">IFERROR(__xludf.DUMMYFUNCTION("GOOGLETRANSLATE(B1777,""en"",""fr"")"),"critique")</f>
        <v>critique</v>
      </c>
      <c r="F1777" s="2" t="str">
        <f ca="1">IFERROR(__xludf.DUMMYFUNCTION("GOOGLETRANSLATE(B1777,""en"",""it"")"),"critico")</f>
        <v>critico</v>
      </c>
      <c r="G1777" s="2" t="str">
        <f ca="1">IFERROR(__xludf.DUMMYFUNCTION("GOOGLETRANSLATE(B1777,""en"",""de"")"),"Kritiker")</f>
        <v>Kritiker</v>
      </c>
      <c r="H1777" s="2" t="str">
        <f ca="1">IFERROR(__xludf.DUMMYFUNCTION("GOOGLETRANSLATE(B1777,""en"",""zh"")"),"评论家")</f>
        <v>评论家</v>
      </c>
      <c r="I1777" s="2" t="str">
        <f ca="1">IFERROR(__xludf.DUMMYFUNCTION("GOOGLETRANSLATE(B1777,""en"",""gd"")"),"Ceartas")</f>
        <v>Ceartas</v>
      </c>
    </row>
    <row r="1778" spans="1:9" ht="14.25" customHeight="1" x14ac:dyDescent="0.3">
      <c r="A1778" s="2">
        <v>1777</v>
      </c>
      <c r="B1778" s="3" t="s">
        <v>1785</v>
      </c>
      <c r="C1778" s="2" t="str">
        <f ca="1">IFERROR(__xludf.DUMMYFUNCTION("GOOGLETRANSLATE(B1778, ""en"",""es"")"),"variable")</f>
        <v>variable</v>
      </c>
      <c r="D1778" s="2" t="str">
        <f ca="1">IFERROR(__xludf.DUMMYFUNCTION("GOOGLETRANSLATE(B1778,""en"",""ig"")"),"veriebul")</f>
        <v>veriebul</v>
      </c>
      <c r="E1778" s="2" t="str">
        <f ca="1">IFERROR(__xludf.DUMMYFUNCTION("GOOGLETRANSLATE(B1778,""en"",""fr"")"),"variable")</f>
        <v>variable</v>
      </c>
      <c r="F1778" s="2" t="str">
        <f ca="1">IFERROR(__xludf.DUMMYFUNCTION("GOOGLETRANSLATE(B1778,""en"",""it"")"),"variabile")</f>
        <v>variabile</v>
      </c>
      <c r="G1778" s="2" t="str">
        <f ca="1">IFERROR(__xludf.DUMMYFUNCTION("GOOGLETRANSLATE(B1778,""en"",""de"")"),"Variable")</f>
        <v>Variable</v>
      </c>
      <c r="H1778" s="2" t="str">
        <f ca="1">IFERROR(__xludf.DUMMYFUNCTION("GOOGLETRANSLATE(B1778,""en"",""zh"")"),"多变的")</f>
        <v>多变的</v>
      </c>
      <c r="I1778" s="2" t="str">
        <f ca="1">IFERROR(__xludf.DUMMYFUNCTION("GOOGLETRANSLATE(B1778,""en"",""gd"")"),"caochlaideach")</f>
        <v>caochlaideach</v>
      </c>
    </row>
    <row r="1779" spans="1:9" ht="14.25" customHeight="1" x14ac:dyDescent="0.3">
      <c r="A1779" s="2">
        <v>1778</v>
      </c>
      <c r="B1779" s="3" t="s">
        <v>1786</v>
      </c>
      <c r="C1779" s="2" t="str">
        <f ca="1">IFERROR(__xludf.DUMMYFUNCTION("GOOGLETRANSLATE(B1779, ""en"",""es"")"),"enorme")</f>
        <v>enorme</v>
      </c>
      <c r="D1779" s="2" t="str">
        <f ca="1">IFERROR(__xludf.DUMMYFUNCTION("GOOGLETRANSLATE(B1779,""en"",""ig"")"),"nnukwu ibu")</f>
        <v>nnukwu ibu</v>
      </c>
      <c r="E1779" s="2" t="str">
        <f ca="1">IFERROR(__xludf.DUMMYFUNCTION("GOOGLETRANSLATE(B1779,""en"",""fr"")"),"énorme")</f>
        <v>énorme</v>
      </c>
      <c r="F1779" s="2" t="str">
        <f ca="1">IFERROR(__xludf.DUMMYFUNCTION("GOOGLETRANSLATE(B1779,""en"",""it"")"),"enorme")</f>
        <v>enorme</v>
      </c>
      <c r="G1779" s="2" t="str">
        <f ca="1">IFERROR(__xludf.DUMMYFUNCTION("GOOGLETRANSLATE(B1779,""en"",""de"")"),"enorm")</f>
        <v>enorm</v>
      </c>
      <c r="H1779" s="2" t="str">
        <f ca="1">IFERROR(__xludf.DUMMYFUNCTION("GOOGLETRANSLATE(B1779,""en"",""zh"")"),"巨大的")</f>
        <v>巨大的</v>
      </c>
      <c r="I1779" s="2" t="str">
        <f ca="1">IFERROR(__xludf.DUMMYFUNCTION("GOOGLETRANSLATE(B1779,""en"",""gd"")"),"mòr")</f>
        <v>mòr</v>
      </c>
    </row>
    <row r="1780" spans="1:9" ht="14.25" customHeight="1" x14ac:dyDescent="0.3">
      <c r="A1780" s="2">
        <v>1779</v>
      </c>
      <c r="B1780" s="3" t="s">
        <v>1787</v>
      </c>
      <c r="C1780" s="2" t="str">
        <f ca="1">IFERROR(__xludf.DUMMYFUNCTION("GOOGLETRANSLATE(B1780, ""en"",""es"")"),"dulce")</f>
        <v>dulce</v>
      </c>
      <c r="D1780" s="2" t="str">
        <f ca="1">IFERROR(__xludf.DUMMYFUNCTION("GOOGLETRANSLATE(B1780,""en"",""ig"")"),"nke uto")</f>
        <v>nke uto</v>
      </c>
      <c r="E1780" s="2" t="str">
        <f ca="1">IFERROR(__xludf.DUMMYFUNCTION("GOOGLETRANSLATE(B1780,""en"",""fr"")"),"doux")</f>
        <v>doux</v>
      </c>
      <c r="F1780" s="2" t="str">
        <f ca="1">IFERROR(__xludf.DUMMYFUNCTION("GOOGLETRANSLATE(B1780,""en"",""it"")"),"dolce")</f>
        <v>dolce</v>
      </c>
      <c r="G1780" s="2" t="str">
        <f ca="1">IFERROR(__xludf.DUMMYFUNCTION("GOOGLETRANSLATE(B1780,""en"",""de"")"),"süß")</f>
        <v>süß</v>
      </c>
      <c r="H1780" s="2" t="str">
        <f ca="1">IFERROR(__xludf.DUMMYFUNCTION("GOOGLETRANSLATE(B1780,""en"",""zh"")"),"甜的")</f>
        <v>甜的</v>
      </c>
      <c r="I1780" s="2" t="str">
        <f ca="1">IFERROR(__xludf.DUMMYFUNCTION("GOOGLETRANSLATE(B1780,""en"",""gd"")"),"milis")</f>
        <v>milis</v>
      </c>
    </row>
    <row r="1781" spans="1:9" ht="14.25" customHeight="1" x14ac:dyDescent="0.3">
      <c r="A1781" s="2">
        <v>1780</v>
      </c>
      <c r="B1781" s="3" t="s">
        <v>1788</v>
      </c>
      <c r="C1781" s="2" t="str">
        <f ca="1">IFERROR(__xludf.DUMMYFUNCTION("GOOGLETRANSLATE(B1781, ""en"",""es"")"),"permanente")</f>
        <v>permanente</v>
      </c>
      <c r="D1781" s="2" t="str">
        <f ca="1">IFERROR(__xludf.DUMMYFUNCTION("GOOGLETRANSLATE(B1781,""en"",""ig"")"),"ebighiebi")</f>
        <v>ebighiebi</v>
      </c>
      <c r="E1781" s="2" t="str">
        <f ca="1">IFERROR(__xludf.DUMMYFUNCTION("GOOGLETRANSLATE(B1781,""en"",""fr"")"),"permanent")</f>
        <v>permanent</v>
      </c>
      <c r="F1781" s="2" t="str">
        <f ca="1">IFERROR(__xludf.DUMMYFUNCTION("GOOGLETRANSLATE(B1781,""en"",""it"")"),"permanente")</f>
        <v>permanente</v>
      </c>
      <c r="G1781" s="2" t="str">
        <f ca="1">IFERROR(__xludf.DUMMYFUNCTION("GOOGLETRANSLATE(B1781,""en"",""de"")"),"dauerhaft")</f>
        <v>dauerhaft</v>
      </c>
      <c r="H1781" s="2" t="str">
        <f ca="1">IFERROR(__xludf.DUMMYFUNCTION("GOOGLETRANSLATE(B1781,""en"",""zh"")"),"永恒的")</f>
        <v>永恒的</v>
      </c>
      <c r="I1781" s="2" t="str">
        <f ca="1">IFERROR(__xludf.DUMMYFUNCTION("GOOGLETRANSLATE(B1781,""en"",""gd"")"),"maireannach")</f>
        <v>maireannach</v>
      </c>
    </row>
    <row r="1782" spans="1:9" ht="14.25" customHeight="1" x14ac:dyDescent="0.3">
      <c r="A1782" s="2">
        <v>1781</v>
      </c>
      <c r="B1782" s="3" t="s">
        <v>1789</v>
      </c>
      <c r="C1782" s="2" t="str">
        <f ca="1">IFERROR(__xludf.DUMMYFUNCTION("GOOGLETRANSLATE(B1782, ""en"",""es"")"),"emoción")</f>
        <v>emoción</v>
      </c>
      <c r="D1782" s="2" t="str">
        <f ca="1">IFERROR(__xludf.DUMMYFUNCTION("GOOGLETRANSLATE(B1782,""en"",""ig"")"),"mmetuta obi")</f>
        <v>mmetuta obi</v>
      </c>
      <c r="E1782" s="2" t="str">
        <f ca="1">IFERROR(__xludf.DUMMYFUNCTION("GOOGLETRANSLATE(B1782,""en"",""fr"")"),"émotion")</f>
        <v>émotion</v>
      </c>
      <c r="F1782" s="2" t="str">
        <f ca="1">IFERROR(__xludf.DUMMYFUNCTION("GOOGLETRANSLATE(B1782,""en"",""it"")"),"emozione")</f>
        <v>emozione</v>
      </c>
      <c r="G1782" s="2" t="str">
        <f ca="1">IFERROR(__xludf.DUMMYFUNCTION("GOOGLETRANSLATE(B1782,""en"",""de"")"),"Emotion")</f>
        <v>Emotion</v>
      </c>
      <c r="H1782" s="2" t="str">
        <f ca="1">IFERROR(__xludf.DUMMYFUNCTION("GOOGLETRANSLATE(B1782,""en"",""zh"")"),"情感")</f>
        <v>情感</v>
      </c>
      <c r="I1782" s="2" t="str">
        <f ca="1">IFERROR(__xludf.DUMMYFUNCTION("GOOGLETRANSLATE(B1782,""en"",""gd"")"),"faireachdainn")</f>
        <v>faireachdainn</v>
      </c>
    </row>
    <row r="1783" spans="1:9" ht="14.25" customHeight="1" x14ac:dyDescent="0.3">
      <c r="A1783" s="2">
        <v>1782</v>
      </c>
      <c r="B1783" s="3" t="s">
        <v>1790</v>
      </c>
      <c r="C1783" s="2" t="str">
        <f ca="1">IFERROR(__xludf.DUMMYFUNCTION("GOOGLETRANSLATE(B1783, ""en"",""es"")"),"buscar")</f>
        <v>buscar</v>
      </c>
      <c r="D1783" s="2" t="str">
        <f ca="1">IFERROR(__xludf.DUMMYFUNCTION("GOOGLETRANSLATE(B1783,""en"",""ig"")"),"chuo")</f>
        <v>chuo</v>
      </c>
      <c r="E1783" s="2" t="str">
        <f ca="1">IFERROR(__xludf.DUMMYFUNCTION("GOOGLETRANSLATE(B1783,""en"",""fr"")"),"poursuivre")</f>
        <v>poursuivre</v>
      </c>
      <c r="F1783" s="2" t="str">
        <f ca="1">IFERROR(__xludf.DUMMYFUNCTION("GOOGLETRANSLATE(B1783,""en"",""it"")"),"perseguire")</f>
        <v>perseguire</v>
      </c>
      <c r="G1783" s="2" t="str">
        <f ca="1">IFERROR(__xludf.DUMMYFUNCTION("GOOGLETRANSLATE(B1783,""en"",""de"")"),"verfolgen")</f>
        <v>verfolgen</v>
      </c>
      <c r="H1783" s="2" t="str">
        <f ca="1">IFERROR(__xludf.DUMMYFUNCTION("GOOGLETRANSLATE(B1783,""en"",""zh"")"),"追求")</f>
        <v>追求</v>
      </c>
      <c r="I1783" s="2" t="str">
        <f ca="1">IFERROR(__xludf.DUMMYFUNCTION("GOOGLETRANSLATE(B1783,""en"",""gd"")"),"Dreuchd")</f>
        <v>Dreuchd</v>
      </c>
    </row>
    <row r="1784" spans="1:9" ht="14.25" customHeight="1" x14ac:dyDescent="0.3">
      <c r="A1784" s="2">
        <v>1783</v>
      </c>
      <c r="B1784" s="3" t="s">
        <v>1791</v>
      </c>
      <c r="C1784" s="2" t="str">
        <f ca="1">IFERROR(__xludf.DUMMYFUNCTION("GOOGLETRANSLATE(B1784, ""en"",""es"")"),"alto")</f>
        <v>alto</v>
      </c>
      <c r="D1784" s="2" t="str">
        <f ca="1">IFERROR(__xludf.DUMMYFUNCTION("GOOGLETRANSLATE(B1784,""en"",""ig"")"),"ogologo")</f>
        <v>ogologo</v>
      </c>
      <c r="E1784" s="2" t="str">
        <f ca="1">IFERROR(__xludf.DUMMYFUNCTION("GOOGLETRANSLATE(B1784,""en"",""fr"")"),"grand")</f>
        <v>grand</v>
      </c>
      <c r="F1784" s="2" t="str">
        <f ca="1">IFERROR(__xludf.DUMMYFUNCTION("GOOGLETRANSLATE(B1784,""en"",""it"")"),"Alto")</f>
        <v>Alto</v>
      </c>
      <c r="G1784" s="2" t="str">
        <f ca="1">IFERROR(__xludf.DUMMYFUNCTION("GOOGLETRANSLATE(B1784,""en"",""de"")"),"groß")</f>
        <v>groß</v>
      </c>
      <c r="H1784" s="2" t="str">
        <f ca="1">IFERROR(__xludf.DUMMYFUNCTION("GOOGLETRANSLATE(B1784,""en"",""zh"")"),"高的")</f>
        <v>高的</v>
      </c>
      <c r="I1784" s="2" t="str">
        <f ca="1">IFERROR(__xludf.DUMMYFUNCTION("GOOGLETRANSLATE(B1784,""en"",""gd"")"),"àrd")</f>
        <v>àrd</v>
      </c>
    </row>
    <row r="1785" spans="1:9" ht="14.25" customHeight="1" x14ac:dyDescent="0.3">
      <c r="A1785" s="2">
        <v>1784</v>
      </c>
      <c r="B1785" s="3" t="s">
        <v>1792</v>
      </c>
      <c r="C1785" s="2" t="str">
        <f ca="1">IFERROR(__xludf.DUMMYFUNCTION("GOOGLETRANSLATE(B1785, ""en"",""es"")"),"urgir")</f>
        <v>urgir</v>
      </c>
      <c r="D1785" s="2" t="str">
        <f ca="1">IFERROR(__xludf.DUMMYFUNCTION("GOOGLETRANSLATE(B1785,""en"",""ig"")"),"ikwanye")</f>
        <v>ikwanye</v>
      </c>
      <c r="E1785" s="2" t="str">
        <f ca="1">IFERROR(__xludf.DUMMYFUNCTION("GOOGLETRANSLATE(B1785,""en"",""fr"")"),"exhorter")</f>
        <v>exhorter</v>
      </c>
      <c r="F1785" s="2" t="str">
        <f ca="1">IFERROR(__xludf.DUMMYFUNCTION("GOOGLETRANSLATE(B1785,""en"",""it"")"),"sollecitare")</f>
        <v>sollecitare</v>
      </c>
      <c r="G1785" s="2" t="str">
        <f ca="1">IFERROR(__xludf.DUMMYFUNCTION("GOOGLETRANSLATE(B1785,""en"",""de"")"),"Drang")</f>
        <v>Drang</v>
      </c>
      <c r="H1785" s="2" t="str">
        <f ca="1">IFERROR(__xludf.DUMMYFUNCTION("GOOGLETRANSLATE(B1785,""en"",""zh"")"),"敦促")</f>
        <v>敦促</v>
      </c>
      <c r="I1785" s="2" t="str">
        <f ca="1">IFERROR(__xludf.DUMMYFUNCTION("GOOGLETRANSLATE(B1785,""en"",""gd"")"),"ìmpidh")</f>
        <v>ìmpidh</v>
      </c>
    </row>
    <row r="1786" spans="1:9" ht="14.25" customHeight="1" x14ac:dyDescent="0.3">
      <c r="A1786" s="2">
        <v>1785</v>
      </c>
      <c r="B1786" s="3" t="s">
        <v>1793</v>
      </c>
      <c r="C1786" s="2" t="str">
        <f ca="1">IFERROR(__xludf.DUMMYFUNCTION("GOOGLETRANSLATE(B1786, ""en"",""es"")"),"enemigo")</f>
        <v>enemigo</v>
      </c>
      <c r="D1786" s="2" t="str">
        <f ca="1">IFERROR(__xludf.DUMMYFUNCTION("GOOGLETRANSLATE(B1786,""en"",""ig"")"),"onye iro")</f>
        <v>onye iro</v>
      </c>
      <c r="E1786" s="2" t="str">
        <f ca="1">IFERROR(__xludf.DUMMYFUNCTION("GOOGLETRANSLATE(B1786,""en"",""fr"")"),"ennemi")</f>
        <v>ennemi</v>
      </c>
      <c r="F1786" s="2" t="str">
        <f ca="1">IFERROR(__xludf.DUMMYFUNCTION("GOOGLETRANSLATE(B1786,""en"",""it"")"),"nemico")</f>
        <v>nemico</v>
      </c>
      <c r="G1786" s="2" t="str">
        <f ca="1">IFERROR(__xludf.DUMMYFUNCTION("GOOGLETRANSLATE(B1786,""en"",""de"")"),"Feind")</f>
        <v>Feind</v>
      </c>
      <c r="H1786" s="2" t="str">
        <f ca="1">IFERROR(__xludf.DUMMYFUNCTION("GOOGLETRANSLATE(B1786,""en"",""zh"")"),"敌人")</f>
        <v>敌人</v>
      </c>
      <c r="I1786" s="2" t="str">
        <f ca="1">IFERROR(__xludf.DUMMYFUNCTION("GOOGLETRANSLATE(B1786,""en"",""gd"")"),"nàmhaid")</f>
        <v>nàmhaid</v>
      </c>
    </row>
    <row r="1787" spans="1:9" ht="14.25" customHeight="1" x14ac:dyDescent="0.3">
      <c r="A1787" s="2">
        <v>1786</v>
      </c>
      <c r="B1787" s="3" t="s">
        <v>1794</v>
      </c>
      <c r="C1787" s="2" t="str">
        <f ca="1">IFERROR(__xludf.DUMMYFUNCTION("GOOGLETRANSLATE(B1787, ""en"",""es"")"),"nombrar")</f>
        <v>nombrar</v>
      </c>
      <c r="D1787" s="2" t="str">
        <f ca="1">IFERROR(__xludf.DUMMYFUNCTION("GOOGLETRANSLATE(B1787,""en"",""ig"")"),"inye")</f>
        <v>inye</v>
      </c>
      <c r="E1787" s="2" t="str">
        <f ca="1">IFERROR(__xludf.DUMMYFUNCTION("GOOGLETRANSLATE(B1787,""en"",""fr"")"),"nommer")</f>
        <v>nommer</v>
      </c>
      <c r="F1787" s="2" t="str">
        <f ca="1">IFERROR(__xludf.DUMMYFUNCTION("GOOGLETRANSLATE(B1787,""en"",""it"")"),"nominare")</f>
        <v>nominare</v>
      </c>
      <c r="G1787" s="2" t="str">
        <f ca="1">IFERROR(__xludf.DUMMYFUNCTION("GOOGLETRANSLATE(B1787,""en"",""de"")"),"ernennen")</f>
        <v>ernennen</v>
      </c>
      <c r="H1787" s="2" t="str">
        <f ca="1">IFERROR(__xludf.DUMMYFUNCTION("GOOGLETRANSLATE(B1787,""en"",""zh"")"),"委")</f>
        <v>委</v>
      </c>
      <c r="I1787" s="2" t="str">
        <f ca="1">IFERROR(__xludf.DUMMYFUNCTION("GOOGLETRANSLATE(B1787,""en"",""gd"")"),"Cuir an dreuchd")</f>
        <v>Cuir an dreuchd</v>
      </c>
    </row>
    <row r="1788" spans="1:9" ht="14.25" customHeight="1" x14ac:dyDescent="0.3">
      <c r="A1788" s="2">
        <v>1787</v>
      </c>
      <c r="B1788" s="3" t="s">
        <v>1795</v>
      </c>
      <c r="C1788" s="2" t="str">
        <f ca="1">IFERROR(__xludf.DUMMYFUNCTION("GOOGLETRANSLATE(B1788, ""en"",""es"")"),"leche")</f>
        <v>leche</v>
      </c>
      <c r="D1788" s="2" t="str">
        <f ca="1">IFERROR(__xludf.DUMMYFUNCTION("GOOGLETRANSLATE(B1788,""en"",""ig"")"),"mmiri ara")</f>
        <v>mmiri ara</v>
      </c>
      <c r="E1788" s="2" t="str">
        <f ca="1">IFERROR(__xludf.DUMMYFUNCTION("GOOGLETRANSLATE(B1788,""en"",""fr"")"),"lait")</f>
        <v>lait</v>
      </c>
      <c r="F1788" s="2" t="str">
        <f ca="1">IFERROR(__xludf.DUMMYFUNCTION("GOOGLETRANSLATE(B1788,""en"",""it"")"),"latte")</f>
        <v>latte</v>
      </c>
      <c r="G1788" s="2" t="str">
        <f ca="1">IFERROR(__xludf.DUMMYFUNCTION("GOOGLETRANSLATE(B1788,""en"",""de"")"),"Milch")</f>
        <v>Milch</v>
      </c>
      <c r="H1788" s="2" t="str">
        <f ca="1">IFERROR(__xludf.DUMMYFUNCTION("GOOGLETRANSLATE(B1788,""en"",""zh"")"),"牛奶")</f>
        <v>牛奶</v>
      </c>
      <c r="I1788" s="2" t="str">
        <f ca="1">IFERROR(__xludf.DUMMYFUNCTION("GOOGLETRANSLATE(B1788,""en"",""gd"")"),"bainne bainne")</f>
        <v>bainne bainne</v>
      </c>
    </row>
    <row r="1789" spans="1:9" ht="14.25" customHeight="1" x14ac:dyDescent="0.3">
      <c r="A1789" s="2">
        <v>1788</v>
      </c>
      <c r="B1789" s="3" t="s">
        <v>1796</v>
      </c>
      <c r="C1789" s="2" t="str">
        <f ca="1">IFERROR(__xludf.DUMMYFUNCTION("GOOGLETRANSLATE(B1789, ""en"",""es"")"),"talento")</f>
        <v>talento</v>
      </c>
      <c r="D1789" s="2" t="str">
        <f ca="1">IFERROR(__xludf.DUMMYFUNCTION("GOOGLETRANSLATE(B1789,""en"",""ig"")"),"uburu")</f>
        <v>uburu</v>
      </c>
      <c r="E1789" s="2" t="str">
        <f ca="1">IFERROR(__xludf.DUMMYFUNCTION("GOOGLETRANSLATE(B1789,""en"",""fr"")"),"Talent")</f>
        <v>Talent</v>
      </c>
      <c r="F1789" s="2" t="str">
        <f ca="1">IFERROR(__xludf.DUMMYFUNCTION("GOOGLETRANSLATE(B1789,""en"",""it"")"),"talento")</f>
        <v>talento</v>
      </c>
      <c r="G1789" s="2" t="str">
        <f ca="1">IFERROR(__xludf.DUMMYFUNCTION("GOOGLETRANSLATE(B1789,""en"",""de"")"),"Talent")</f>
        <v>Talent</v>
      </c>
      <c r="H1789" s="2" t="str">
        <f ca="1">IFERROR(__xludf.DUMMYFUNCTION("GOOGLETRANSLATE(B1789,""en"",""zh"")"),"天赋")</f>
        <v>天赋</v>
      </c>
      <c r="I1789" s="2" t="str">
        <f ca="1">IFERROR(__xludf.DUMMYFUNCTION("GOOGLETRANSLATE(B1789,""en"",""gd"")"),"tàlant")</f>
        <v>tàlant</v>
      </c>
    </row>
    <row r="1790" spans="1:9" ht="14.25" customHeight="1" x14ac:dyDescent="0.3">
      <c r="A1790" s="2">
        <v>1789</v>
      </c>
      <c r="B1790" s="3" t="s">
        <v>1797</v>
      </c>
      <c r="C1790" s="2" t="str">
        <f ca="1">IFERROR(__xludf.DUMMYFUNCTION("GOOGLETRANSLATE(B1790, ""en"",""es"")"),"oler")</f>
        <v>oler</v>
      </c>
      <c r="D1790" s="2" t="str">
        <f ca="1">IFERROR(__xludf.DUMMYFUNCTION("GOOGLETRANSLATE(B1790,""en"",""ig"")"),"isi")</f>
        <v>isi</v>
      </c>
      <c r="E1790" s="2" t="str">
        <f ca="1">IFERROR(__xludf.DUMMYFUNCTION("GOOGLETRANSLATE(B1790,""en"",""fr"")"),"odeur")</f>
        <v>odeur</v>
      </c>
      <c r="F1790" s="2" t="str">
        <f ca="1">IFERROR(__xludf.DUMMYFUNCTION("GOOGLETRANSLATE(B1790,""en"",""it"")"),"odore")</f>
        <v>odore</v>
      </c>
      <c r="G1790" s="2" t="str">
        <f ca="1">IFERROR(__xludf.DUMMYFUNCTION("GOOGLETRANSLATE(B1790,""en"",""de"")"),"Geruch")</f>
        <v>Geruch</v>
      </c>
      <c r="H1790" s="2" t="str">
        <f ca="1">IFERROR(__xludf.DUMMYFUNCTION("GOOGLETRANSLATE(B1790,""en"",""zh"")"),"闻")</f>
        <v>闻</v>
      </c>
      <c r="I1790" s="2" t="str">
        <f ca="1">IFERROR(__xludf.DUMMYFUNCTION("GOOGLETRANSLATE(B1790,""en"",""gd"")"),"fàileadh")</f>
        <v>fàileadh</v>
      </c>
    </row>
    <row r="1791" spans="1:9" ht="14.25" customHeight="1" x14ac:dyDescent="0.3">
      <c r="A1791" s="2">
        <v>1790</v>
      </c>
      <c r="B1791" s="3" t="s">
        <v>1798</v>
      </c>
      <c r="C1791" s="2" t="str">
        <f ca="1">IFERROR(__xludf.DUMMYFUNCTION("GOOGLETRANSLATE(B1791, ""en"",""es"")"),"previo")</f>
        <v>previo</v>
      </c>
      <c r="D1791" s="2" t="str">
        <f ca="1">IFERROR(__xludf.DUMMYFUNCTION("GOOGLETRANSLATE(B1791,""en"",""ig"")"),"tupu ihe emee")</f>
        <v>tupu ihe emee</v>
      </c>
      <c r="E1791" s="2" t="str">
        <f ca="1">IFERROR(__xludf.DUMMYFUNCTION("GOOGLETRANSLATE(B1791,""en"",""fr"")"),"avant")</f>
        <v>avant</v>
      </c>
      <c r="F1791" s="2" t="str">
        <f ca="1">IFERROR(__xludf.DUMMYFUNCTION("GOOGLETRANSLATE(B1791,""en"",""it"")"),"prima")</f>
        <v>prima</v>
      </c>
      <c r="G1791" s="2" t="str">
        <f ca="1">IFERROR(__xludf.DUMMYFUNCTION("GOOGLETRANSLATE(B1791,""en"",""de"")"),"vor")</f>
        <v>vor</v>
      </c>
      <c r="H1791" s="2" t="str">
        <f ca="1">IFERROR(__xludf.DUMMYFUNCTION("GOOGLETRANSLATE(B1791,""en"",""zh"")"),"事先的")</f>
        <v>事先的</v>
      </c>
      <c r="I1791" s="2" t="str">
        <f ca="1">IFERROR(__xludf.DUMMYFUNCTION("GOOGLETRANSLATE(B1791,""en"",""gd"")"),"Mus")</f>
        <v>Mus</v>
      </c>
    </row>
    <row r="1792" spans="1:9" ht="14.25" customHeight="1" x14ac:dyDescent="0.3">
      <c r="A1792" s="2">
        <v>1791</v>
      </c>
      <c r="B1792" s="3" t="s">
        <v>1799</v>
      </c>
      <c r="C1792" s="2" t="str">
        <f ca="1">IFERROR(__xludf.DUMMYFUNCTION("GOOGLETRANSLATE(B1792, ""en"",""es"")"),"prioridad")</f>
        <v>prioridad</v>
      </c>
      <c r="D1792" s="2" t="str">
        <f ca="1">IFERROR(__xludf.DUMMYFUNCTION("GOOGLETRANSLATE(B1792,""en"",""ig"")"),"nke buru uzo")</f>
        <v>nke buru uzo</v>
      </c>
      <c r="E1792" s="2" t="str">
        <f ca="1">IFERROR(__xludf.DUMMYFUNCTION("GOOGLETRANSLATE(B1792,""en"",""fr"")"),"priorité")</f>
        <v>priorité</v>
      </c>
      <c r="F1792" s="2" t="str">
        <f ca="1">IFERROR(__xludf.DUMMYFUNCTION("GOOGLETRANSLATE(B1792,""en"",""it"")"),"priorità")</f>
        <v>priorità</v>
      </c>
      <c r="G1792" s="2" t="str">
        <f ca="1">IFERROR(__xludf.DUMMYFUNCTION("GOOGLETRANSLATE(B1792,""en"",""de"")"),"Priorität")</f>
        <v>Priorität</v>
      </c>
      <c r="H1792" s="2" t="str">
        <f ca="1">IFERROR(__xludf.DUMMYFUNCTION("GOOGLETRANSLATE(B1792,""en"",""zh"")"),"优先事项")</f>
        <v>优先事项</v>
      </c>
      <c r="I1792" s="2" t="str">
        <f ca="1">IFERROR(__xludf.DUMMYFUNCTION("GOOGLETRANSLATE(B1792,""en"",""gd"")"),"Prìomhachas")</f>
        <v>Prìomhachas</v>
      </c>
    </row>
    <row r="1793" spans="1:9" ht="14.25" customHeight="1" x14ac:dyDescent="0.3">
      <c r="A1793" s="2">
        <v>1792</v>
      </c>
      <c r="B1793" s="3" t="s">
        <v>1800</v>
      </c>
      <c r="C1793" s="2" t="str">
        <f ca="1">IFERROR(__xludf.DUMMYFUNCTION("GOOGLETRANSLATE(B1793, ""en"",""es"")"),"en línea")</f>
        <v>en línea</v>
      </c>
      <c r="D1793" s="2" t="str">
        <f ca="1">IFERROR(__xludf.DUMMYFUNCTION("GOOGLETRANSLATE(B1793,""en"",""ig"")"),"onnet")</f>
        <v>onnet</v>
      </c>
      <c r="E1793" s="2" t="str">
        <f ca="1">IFERROR(__xludf.DUMMYFUNCTION("GOOGLETRANSLATE(B1793,""en"",""fr"")"),"en ligne")</f>
        <v>en ligne</v>
      </c>
      <c r="F1793" s="2" t="str">
        <f ca="1">IFERROR(__xludf.DUMMYFUNCTION("GOOGLETRANSLATE(B1793,""en"",""it"")"),"in linea")</f>
        <v>in linea</v>
      </c>
      <c r="G1793" s="2" t="str">
        <f ca="1">IFERROR(__xludf.DUMMYFUNCTION("GOOGLETRANSLATE(B1793,""en"",""de"")"),"online")</f>
        <v>online</v>
      </c>
      <c r="H1793" s="2" t="str">
        <f ca="1">IFERROR(__xludf.DUMMYFUNCTION("GOOGLETRANSLATE(B1793,""en"",""zh"")"),"在线的")</f>
        <v>在线的</v>
      </c>
      <c r="I1793" s="2" t="str">
        <f ca="1">IFERROR(__xludf.DUMMYFUNCTION("GOOGLETRANSLATE(B1793,""en"",""gd"")"),"air-loidhne")</f>
        <v>air-loidhne</v>
      </c>
    </row>
    <row r="1794" spans="1:9" ht="14.25" customHeight="1" x14ac:dyDescent="0.3">
      <c r="A1794" s="2">
        <v>1793</v>
      </c>
      <c r="B1794" s="3" t="s">
        <v>1801</v>
      </c>
      <c r="C1794" s="2" t="str">
        <f ca="1">IFERROR(__xludf.DUMMYFUNCTION("GOOGLETRANSLATE(B1794, ""en"",""es"")"),"frase")</f>
        <v>frase</v>
      </c>
      <c r="D1794" s="2" t="str">
        <f ca="1">IFERROR(__xludf.DUMMYFUNCTION("GOOGLETRANSLATE(B1794,""en"",""ig"")"),"nkebokwu")</f>
        <v>nkebokwu</v>
      </c>
      <c r="E1794" s="2" t="str">
        <f ca="1">IFERROR(__xludf.DUMMYFUNCTION("GOOGLETRANSLATE(B1794,""en"",""fr"")"),"phrase")</f>
        <v>phrase</v>
      </c>
      <c r="F1794" s="2" t="str">
        <f ca="1">IFERROR(__xludf.DUMMYFUNCTION("GOOGLETRANSLATE(B1794,""en"",""it"")"),"frase")</f>
        <v>frase</v>
      </c>
      <c r="G1794" s="2" t="str">
        <f ca="1">IFERROR(__xludf.DUMMYFUNCTION("GOOGLETRANSLATE(B1794,""en"",""de"")"),"Phrase")</f>
        <v>Phrase</v>
      </c>
      <c r="H1794" s="2" t="str">
        <f ca="1">IFERROR(__xludf.DUMMYFUNCTION("GOOGLETRANSLATE(B1794,""en"",""zh"")"),"短语")</f>
        <v>短语</v>
      </c>
      <c r="I1794" s="2" t="str">
        <f ca="1">IFERROR(__xludf.DUMMYFUNCTION("GOOGLETRANSLATE(B1794,""en"",""gd"")"),"abairt")</f>
        <v>abairt</v>
      </c>
    </row>
    <row r="1795" spans="1:9" ht="14.25" customHeight="1" x14ac:dyDescent="0.3">
      <c r="A1795" s="2">
        <v>1794</v>
      </c>
      <c r="B1795" s="3" t="s">
        <v>1802</v>
      </c>
      <c r="C1795" s="2" t="str">
        <f ca="1">IFERROR(__xludf.DUMMYFUNCTION("GOOGLETRANSLATE(B1795, ""en"",""es"")"),"piloto")</f>
        <v>piloto</v>
      </c>
      <c r="D1795" s="2" t="str">
        <f ca="1">IFERROR(__xludf.DUMMYFUNCTION("GOOGLETRANSLATE(B1795,""en"",""ig"")"),"onyenaanya ugboelu")</f>
        <v>onyenaanya ugboelu</v>
      </c>
      <c r="E1795" s="2" t="str">
        <f ca="1">IFERROR(__xludf.DUMMYFUNCTION("GOOGLETRANSLATE(B1795,""en"",""fr"")"),"pilote")</f>
        <v>pilote</v>
      </c>
      <c r="F1795" s="2" t="str">
        <f ca="1">IFERROR(__xludf.DUMMYFUNCTION("GOOGLETRANSLATE(B1795,""en"",""it"")"),"pilota")</f>
        <v>pilota</v>
      </c>
      <c r="G1795" s="2" t="str">
        <f ca="1">IFERROR(__xludf.DUMMYFUNCTION("GOOGLETRANSLATE(B1795,""en"",""de"")"),"Pilot")</f>
        <v>Pilot</v>
      </c>
      <c r="H1795" s="2" t="str">
        <f ca="1">IFERROR(__xludf.DUMMYFUNCTION("GOOGLETRANSLATE(B1795,""en"",""zh"")"),"飞行员")</f>
        <v>飞行员</v>
      </c>
      <c r="I1795" s="2" t="str">
        <f ca="1">IFERROR(__xludf.DUMMYFUNCTION("GOOGLETRANSLATE(B1795,""en"",""gd"")"),"Pìleat")</f>
        <v>Pìleat</v>
      </c>
    </row>
    <row r="1796" spans="1:9" ht="14.25" customHeight="1" x14ac:dyDescent="0.3">
      <c r="A1796" s="2">
        <v>1795</v>
      </c>
      <c r="B1796" s="3" t="s">
        <v>1803</v>
      </c>
      <c r="C1796" s="2" t="str">
        <f ca="1">IFERROR(__xludf.DUMMYFUNCTION("GOOGLETRANSLATE(B1796, ""en"",""es"")"),"estable")</f>
        <v>estable</v>
      </c>
      <c r="D1796" s="2" t="str">
        <f ca="1">IFERROR(__xludf.DUMMYFUNCTION("GOOGLETRANSLATE(B1796,""en"",""ig"")"),"uloumuaanu")</f>
        <v>uloumuaanu</v>
      </c>
      <c r="E1796" s="2" t="str">
        <f ca="1">IFERROR(__xludf.DUMMYFUNCTION("GOOGLETRANSLATE(B1796,""en"",""fr"")"),"écurie")</f>
        <v>écurie</v>
      </c>
      <c r="F1796" s="2" t="str">
        <f ca="1">IFERROR(__xludf.DUMMYFUNCTION("GOOGLETRANSLATE(B1796,""en"",""it"")"),"stabile")</f>
        <v>stabile</v>
      </c>
      <c r="G1796" s="2" t="str">
        <f ca="1">IFERROR(__xludf.DUMMYFUNCTION("GOOGLETRANSLATE(B1796,""en"",""de"")"),"stabil")</f>
        <v>stabil</v>
      </c>
      <c r="H1796" s="2" t="str">
        <f ca="1">IFERROR(__xludf.DUMMYFUNCTION("GOOGLETRANSLATE(B1796,""en"",""zh"")"),"稳定的")</f>
        <v>稳定的</v>
      </c>
      <c r="I1796" s="2" t="str">
        <f ca="1">IFERROR(__xludf.DUMMYFUNCTION("GOOGLETRANSLATE(B1796,""en"",""gd"")"),"stàball")</f>
        <v>stàball</v>
      </c>
    </row>
    <row r="1797" spans="1:9" ht="14.25" customHeight="1" x14ac:dyDescent="0.3">
      <c r="A1797" s="2">
        <v>1796</v>
      </c>
      <c r="B1797" s="3" t="s">
        <v>1804</v>
      </c>
      <c r="C1797" s="2" t="str">
        <f ca="1">IFERROR(__xludf.DUMMYFUNCTION("GOOGLETRANSLATE(B1797, ""en"",""es"")"),"meramente")</f>
        <v>meramente</v>
      </c>
      <c r="D1797" s="2" t="str">
        <f ca="1">IFERROR(__xludf.DUMMYFUNCTION("GOOGLETRANSLATE(B1797,""en"",""ig"")"),"naanị")</f>
        <v>naanị</v>
      </c>
      <c r="E1797" s="2" t="str">
        <f ca="1">IFERROR(__xludf.DUMMYFUNCTION("GOOGLETRANSLATE(B1797,""en"",""fr"")"),"simplement")</f>
        <v>simplement</v>
      </c>
      <c r="F1797" s="2" t="str">
        <f ca="1">IFERROR(__xludf.DUMMYFUNCTION("GOOGLETRANSLATE(B1797,""en"",""it"")"),"semplicemente")</f>
        <v>semplicemente</v>
      </c>
      <c r="G1797" s="2" t="str">
        <f ca="1">IFERROR(__xludf.DUMMYFUNCTION("GOOGLETRANSLATE(B1797,""en"",""de"")"),"lediglich")</f>
        <v>lediglich</v>
      </c>
      <c r="H1797" s="2" t="str">
        <f ca="1">IFERROR(__xludf.DUMMYFUNCTION("GOOGLETRANSLATE(B1797,""en"",""zh"")"),"仅仅")</f>
        <v>仅仅</v>
      </c>
      <c r="I1797" s="2" t="str">
        <f ca="1">IFERROR(__xludf.DUMMYFUNCTION("GOOGLETRANSLATE(B1797,""en"",""gd"")"),"dìreach")</f>
        <v>dìreach</v>
      </c>
    </row>
    <row r="1798" spans="1:9" ht="14.25" customHeight="1" x14ac:dyDescent="0.3">
      <c r="A1798" s="2">
        <v>1797</v>
      </c>
      <c r="B1798" s="3" t="s">
        <v>1805</v>
      </c>
      <c r="C1798" s="2" t="str">
        <f ca="1">IFERROR(__xludf.DUMMYFUNCTION("GOOGLETRANSLATE(B1798, ""en"",""es"")"),"resolución")</f>
        <v>resolución</v>
      </c>
      <c r="D1798" s="2" t="str">
        <f ca="1">IFERROR(__xludf.DUMMYFUNCTION("GOOGLETRANSLATE(B1798,""en"",""ig"")"),"ikpe")</f>
        <v>ikpe</v>
      </c>
      <c r="E1798" s="2" t="str">
        <f ca="1">IFERROR(__xludf.DUMMYFUNCTION("GOOGLETRANSLATE(B1798,""en"",""fr"")"),"résolution")</f>
        <v>résolution</v>
      </c>
      <c r="F1798" s="2" t="str">
        <f ca="1">IFERROR(__xludf.DUMMYFUNCTION("GOOGLETRANSLATE(B1798,""en"",""it"")"),"risoluzione")</f>
        <v>risoluzione</v>
      </c>
      <c r="G1798" s="2" t="str">
        <f ca="1">IFERROR(__xludf.DUMMYFUNCTION("GOOGLETRANSLATE(B1798,""en"",""de"")"),"Auflösung")</f>
        <v>Auflösung</v>
      </c>
      <c r="H1798" s="2" t="str">
        <f ca="1">IFERROR(__xludf.DUMMYFUNCTION("GOOGLETRANSLATE(B1798,""en"",""zh"")"),"解决")</f>
        <v>解决</v>
      </c>
      <c r="I1798" s="2" t="str">
        <f ca="1">IFERROR(__xludf.DUMMYFUNCTION("GOOGLETRANSLATE(B1798,""en"",""gd"")"),"rùn")</f>
        <v>rùn</v>
      </c>
    </row>
    <row r="1799" spans="1:9" ht="14.25" customHeight="1" x14ac:dyDescent="0.3">
      <c r="A1799" s="2">
        <v>1798</v>
      </c>
      <c r="B1799" s="3" t="s">
        <v>1806</v>
      </c>
      <c r="C1799" s="2" t="str">
        <f ca="1">IFERROR(__xludf.DUMMYFUNCTION("GOOGLETRANSLATE(B1799, ""en"",""es"")"),"comunicar")</f>
        <v>comunicar</v>
      </c>
      <c r="D1799" s="2" t="str">
        <f ca="1">IFERROR(__xludf.DUMMYFUNCTION("GOOGLETRANSLATE(B1799,""en"",""ig"")"),"izi ozi")</f>
        <v>izi ozi</v>
      </c>
      <c r="E1799" s="2" t="str">
        <f ca="1">IFERROR(__xludf.DUMMYFUNCTION("GOOGLETRANSLATE(B1799,""en"",""fr"")"),"communiquer")</f>
        <v>communiquer</v>
      </c>
      <c r="F1799" s="2" t="str">
        <f ca="1">IFERROR(__xludf.DUMMYFUNCTION("GOOGLETRANSLATE(B1799,""en"",""it"")"),"comunicare")</f>
        <v>comunicare</v>
      </c>
      <c r="G1799" s="2" t="str">
        <f ca="1">IFERROR(__xludf.DUMMYFUNCTION("GOOGLETRANSLATE(B1799,""en"",""de"")"),"kommunizieren")</f>
        <v>kommunizieren</v>
      </c>
      <c r="H1799" s="2" t="str">
        <f ca="1">IFERROR(__xludf.DUMMYFUNCTION("GOOGLETRANSLATE(B1799,""en"",""zh"")"),"交流")</f>
        <v>交流</v>
      </c>
      <c r="I1799" s="2" t="str">
        <f ca="1">IFERROR(__xludf.DUMMYFUNCTION("GOOGLETRANSLATE(B1799,""en"",""gd"")"),"conaltradh")</f>
        <v>conaltradh</v>
      </c>
    </row>
    <row r="1800" spans="1:9" ht="14.25" customHeight="1" x14ac:dyDescent="0.3">
      <c r="A1800" s="2">
        <v>1799</v>
      </c>
      <c r="B1800" s="3" t="s">
        <v>1807</v>
      </c>
      <c r="C1800" s="2" t="str">
        <f ca="1">IFERROR(__xludf.DUMMYFUNCTION("GOOGLETRANSLATE(B1800, ""en"",""es"")"),"lesión")</f>
        <v>lesión</v>
      </c>
      <c r="D1800" s="2" t="str">
        <f ca="1">IFERROR(__xludf.DUMMYFUNCTION("GOOGLETRANSLATE(B1800,""en"",""ig"")"),"mmeru ahu")</f>
        <v>mmeru ahu</v>
      </c>
      <c r="E1800" s="2" t="str">
        <f ca="1">IFERROR(__xludf.DUMMYFUNCTION("GOOGLETRANSLATE(B1800,""en"",""fr"")"),"blessure")</f>
        <v>blessure</v>
      </c>
      <c r="F1800" s="2" t="str">
        <f ca="1">IFERROR(__xludf.DUMMYFUNCTION("GOOGLETRANSLATE(B1800,""en"",""it"")"),"infortunio")</f>
        <v>infortunio</v>
      </c>
      <c r="G1800" s="2" t="str">
        <f ca="1">IFERROR(__xludf.DUMMYFUNCTION("GOOGLETRANSLATE(B1800,""en"",""de"")"),"Verletzung")</f>
        <v>Verletzung</v>
      </c>
      <c r="H1800" s="2" t="str">
        <f ca="1">IFERROR(__xludf.DUMMYFUNCTION("GOOGLETRANSLATE(B1800,""en"",""zh"")"),"受伤")</f>
        <v>受伤</v>
      </c>
      <c r="I1800" s="2" t="str">
        <f ca="1">IFERROR(__xludf.DUMMYFUNCTION("GOOGLETRANSLATE(B1800,""en"",""gd"")"),"leòn")</f>
        <v>leòn</v>
      </c>
    </row>
    <row r="1801" spans="1:9" ht="14.25" customHeight="1" x14ac:dyDescent="0.3">
      <c r="A1801" s="2">
        <v>1800</v>
      </c>
      <c r="B1801" s="3" t="s">
        <v>1808</v>
      </c>
      <c r="C1801" s="2" t="str">
        <f ca="1">IFERROR(__xludf.DUMMYFUNCTION("GOOGLETRANSLATE(B1801, ""en"",""es"")"),"vasto")</f>
        <v>vasto</v>
      </c>
      <c r="D1801" s="2" t="str">
        <f ca="1">IFERROR(__xludf.DUMMYFUNCTION("GOOGLETRANSLATE(B1801,""en"",""ig"")"),"nke ukwu")</f>
        <v>nke ukwu</v>
      </c>
      <c r="E1801" s="2" t="str">
        <f ca="1">IFERROR(__xludf.DUMMYFUNCTION("GOOGLETRANSLATE(B1801,""en"",""fr"")"),"vaste")</f>
        <v>vaste</v>
      </c>
      <c r="F1801" s="2" t="str">
        <f ca="1">IFERROR(__xludf.DUMMYFUNCTION("GOOGLETRANSLATE(B1801,""en"",""it"")"),"vasto")</f>
        <v>vasto</v>
      </c>
      <c r="G1801" s="2" t="str">
        <f ca="1">IFERROR(__xludf.DUMMYFUNCTION("GOOGLETRANSLATE(B1801,""en"",""de"")"),"groß")</f>
        <v>groß</v>
      </c>
      <c r="H1801" s="2" t="str">
        <f ca="1">IFERROR(__xludf.DUMMYFUNCTION("GOOGLETRANSLATE(B1801,""en"",""zh"")"),"广阔的")</f>
        <v>广阔的</v>
      </c>
      <c r="I1801" s="2" t="str">
        <f ca="1">IFERROR(__xludf.DUMMYFUNCTION("GOOGLETRANSLATE(B1801,""en"",""gd"")"),"vast")</f>
        <v>vast</v>
      </c>
    </row>
    <row r="1802" spans="1:9" ht="14.25" customHeight="1" x14ac:dyDescent="0.3">
      <c r="A1802" s="2">
        <v>1801</v>
      </c>
      <c r="B1802" s="3" t="s">
        <v>1809</v>
      </c>
      <c r="C1802" s="2" t="str">
        <f ca="1">IFERROR(__xludf.DUMMYFUNCTION("GOOGLETRANSLATE(B1802, ""en"",""es"")"),"exhibición")</f>
        <v>exhibición</v>
      </c>
      <c r="D1802" s="2" t="str">
        <f ca="1">IFERROR(__xludf.DUMMYFUNCTION("GOOGLETRANSLATE(B1802,""en"",""ig"")"),"nziputa")</f>
        <v>nziputa</v>
      </c>
      <c r="E1802" s="2" t="str">
        <f ca="1">IFERROR(__xludf.DUMMYFUNCTION("GOOGLETRANSLATE(B1802,""en"",""fr"")"),"exposition")</f>
        <v>exposition</v>
      </c>
      <c r="F1802" s="2" t="str">
        <f ca="1">IFERROR(__xludf.DUMMYFUNCTION("GOOGLETRANSLATE(B1802,""en"",""it"")"),"esposizione")</f>
        <v>esposizione</v>
      </c>
      <c r="G1802" s="2" t="str">
        <f ca="1">IFERROR(__xludf.DUMMYFUNCTION("GOOGLETRANSLATE(B1802,""en"",""de"")"),"Ausstellung")</f>
        <v>Ausstellung</v>
      </c>
      <c r="H1802" s="2" t="str">
        <f ca="1">IFERROR(__xludf.DUMMYFUNCTION("GOOGLETRANSLATE(B1802,""en"",""zh"")"),"展览")</f>
        <v>展览</v>
      </c>
      <c r="I1802" s="2" t="str">
        <f ca="1">IFERROR(__xludf.DUMMYFUNCTION("GOOGLETRANSLATE(B1802,""en"",""gd"")"),"Taisbeanadh")</f>
        <v>Taisbeanadh</v>
      </c>
    </row>
    <row r="1803" spans="1:9" ht="14.25" customHeight="1" x14ac:dyDescent="0.3">
      <c r="A1803" s="2">
        <v>1802</v>
      </c>
      <c r="B1803" s="3" t="s">
        <v>1810</v>
      </c>
      <c r="C1803" s="2" t="str">
        <f ca="1">IFERROR(__xludf.DUMMYFUNCTION("GOOGLETRANSLATE(B1803, ""en"",""es"")"),"productor")</f>
        <v>productor</v>
      </c>
      <c r="D1803" s="2" t="str">
        <f ca="1">IFERROR(__xludf.DUMMYFUNCTION("GOOGLETRANSLATE(B1803,""en"",""ig"")"),"onye na-emeputa ihe")</f>
        <v>onye na-emeputa ihe</v>
      </c>
      <c r="E1803" s="2" t="str">
        <f ca="1">IFERROR(__xludf.DUMMYFUNCTION("GOOGLETRANSLATE(B1803,""en"",""fr"")"),"producteur")</f>
        <v>producteur</v>
      </c>
      <c r="F1803" s="2" t="str">
        <f ca="1">IFERROR(__xludf.DUMMYFUNCTION("GOOGLETRANSLATE(B1803,""en"",""it"")"),"produttore")</f>
        <v>produttore</v>
      </c>
      <c r="G1803" s="2" t="str">
        <f ca="1">IFERROR(__xludf.DUMMYFUNCTION("GOOGLETRANSLATE(B1803,""en"",""de"")"),"Hersteller")</f>
        <v>Hersteller</v>
      </c>
      <c r="H1803" s="2" t="str">
        <f ca="1">IFERROR(__xludf.DUMMYFUNCTION("GOOGLETRANSLATE(B1803,""en"",""zh"")"),"制作人")</f>
        <v>制作人</v>
      </c>
      <c r="I1803" s="2" t="str">
        <f ca="1">IFERROR(__xludf.DUMMYFUNCTION("GOOGLETRANSLATE(B1803,""en"",""gd"")"),"Riochdaire")</f>
        <v>Riochdaire</v>
      </c>
    </row>
    <row r="1804" spans="1:9" ht="14.25" customHeight="1" x14ac:dyDescent="0.3">
      <c r="A1804" s="2">
        <v>1803</v>
      </c>
      <c r="B1804" s="3" t="s">
        <v>1811</v>
      </c>
      <c r="C1804" s="2" t="str">
        <f ca="1">IFERROR(__xludf.DUMMYFUNCTION("GOOGLETRANSLATE(B1804, ""en"",""es"")"),"regional")</f>
        <v>regional</v>
      </c>
      <c r="D1804" s="2" t="str">
        <f ca="1">IFERROR(__xludf.DUMMYFUNCTION("GOOGLETRANSLATE(B1804,""en"",""ig"")"),"nke obodo")</f>
        <v>nke obodo</v>
      </c>
      <c r="E1804" s="2" t="str">
        <f ca="1">IFERROR(__xludf.DUMMYFUNCTION("GOOGLETRANSLATE(B1804,""en"",""fr"")"),"régional")</f>
        <v>régional</v>
      </c>
      <c r="F1804" s="2" t="str">
        <f ca="1">IFERROR(__xludf.DUMMYFUNCTION("GOOGLETRANSLATE(B1804,""en"",""it"")"),"regionale")</f>
        <v>regionale</v>
      </c>
      <c r="G1804" s="2" t="str">
        <f ca="1">IFERROR(__xludf.DUMMYFUNCTION("GOOGLETRANSLATE(B1804,""en"",""de"")"),"regional")</f>
        <v>regional</v>
      </c>
      <c r="H1804" s="2" t="str">
        <f ca="1">IFERROR(__xludf.DUMMYFUNCTION("GOOGLETRANSLATE(B1804,""en"",""zh"")"),"区域")</f>
        <v>区域</v>
      </c>
      <c r="I1804" s="2" t="str">
        <f ca="1">IFERROR(__xludf.DUMMYFUNCTION("GOOGLETRANSLATE(B1804,""en"",""gd"")"),"Roinneil")</f>
        <v>Roinneil</v>
      </c>
    </row>
    <row r="1805" spans="1:9" ht="14.25" customHeight="1" x14ac:dyDescent="0.3">
      <c r="A1805" s="2">
        <v>1804</v>
      </c>
      <c r="B1805" s="3" t="s">
        <v>1812</v>
      </c>
      <c r="C1805" s="2" t="str">
        <f ca="1">IFERROR(__xludf.DUMMYFUNCTION("GOOGLETRANSLATE(B1805, ""en"",""es"")"),"inmediato")</f>
        <v>inmediato</v>
      </c>
      <c r="D1805" s="2" t="str">
        <f ca="1">IFERROR(__xludf.DUMMYFUNCTION("GOOGLETRANSLATE(B1805,""en"",""ig"")"),"ozugbo")</f>
        <v>ozugbo</v>
      </c>
      <c r="E1805" s="2" t="str">
        <f ca="1">IFERROR(__xludf.DUMMYFUNCTION("GOOGLETRANSLATE(B1805,""en"",""fr"")"),"immédiat")</f>
        <v>immédiat</v>
      </c>
      <c r="F1805" s="2" t="str">
        <f ca="1">IFERROR(__xludf.DUMMYFUNCTION("GOOGLETRANSLATE(B1805,""en"",""it"")"),"immediato")</f>
        <v>immediato</v>
      </c>
      <c r="G1805" s="2" t="str">
        <f ca="1">IFERROR(__xludf.DUMMYFUNCTION("GOOGLETRANSLATE(B1805,""en"",""de"")"),"sofort")</f>
        <v>sofort</v>
      </c>
      <c r="H1805" s="2" t="str">
        <f ca="1">IFERROR(__xludf.DUMMYFUNCTION("GOOGLETRANSLATE(B1805,""en"",""zh"")"),"即时")</f>
        <v>即时</v>
      </c>
      <c r="I1805" s="2" t="str">
        <f ca="1">IFERROR(__xludf.DUMMYFUNCTION("GOOGLETRANSLATE(B1805,""en"",""gd"")"),"sa bhad")</f>
        <v>sa bhad</v>
      </c>
    </row>
    <row r="1806" spans="1:9" ht="14.25" customHeight="1" x14ac:dyDescent="0.3">
      <c r="A1806" s="2">
        <v>1805</v>
      </c>
      <c r="B1806" s="3" t="s">
        <v>1813</v>
      </c>
      <c r="C1806" s="2" t="str">
        <f ca="1">IFERROR(__xludf.DUMMYFUNCTION("GOOGLETRANSLATE(B1806, ""en"",""es"")"),"incidente")</f>
        <v>incidente</v>
      </c>
      <c r="D1806" s="2" t="str">
        <f ca="1">IFERROR(__xludf.DUMMYFUNCTION("GOOGLETRANSLATE(B1806,""en"",""ig"")"),"omenene")</f>
        <v>omenene</v>
      </c>
      <c r="E1806" s="2" t="str">
        <f ca="1">IFERROR(__xludf.DUMMYFUNCTION("GOOGLETRANSLATE(B1806,""en"",""fr"")"),"incident")</f>
        <v>incident</v>
      </c>
      <c r="F1806" s="2" t="str">
        <f ca="1">IFERROR(__xludf.DUMMYFUNCTION("GOOGLETRANSLATE(B1806,""en"",""it"")"),"incidente")</f>
        <v>incidente</v>
      </c>
      <c r="G1806" s="2" t="str">
        <f ca="1">IFERROR(__xludf.DUMMYFUNCTION("GOOGLETRANSLATE(B1806,""en"",""de"")"),"Vorfall")</f>
        <v>Vorfall</v>
      </c>
      <c r="H1806" s="2" t="str">
        <f ca="1">IFERROR(__xludf.DUMMYFUNCTION("GOOGLETRANSLATE(B1806,""en"",""zh"")"),"事件")</f>
        <v>事件</v>
      </c>
      <c r="I1806" s="2" t="str">
        <f ca="1">IFERROR(__xludf.DUMMYFUNCTION("GOOGLETRANSLATE(B1806,""en"",""gd"")"),"tachartas")</f>
        <v>tachartas</v>
      </c>
    </row>
    <row r="1807" spans="1:9" ht="14.25" customHeight="1" x14ac:dyDescent="0.3">
      <c r="A1807" s="2">
        <v>1806</v>
      </c>
      <c r="B1807" s="3" t="s">
        <v>1814</v>
      </c>
      <c r="C1807" s="2" t="str">
        <f ca="1">IFERROR(__xludf.DUMMYFUNCTION("GOOGLETRANSLATE(B1807, ""en"",""es"")"),"infancia")</f>
        <v>infancia</v>
      </c>
      <c r="D1807" s="2" t="str">
        <f ca="1">IFERROR(__xludf.DUMMYFUNCTION("GOOGLETRANSLATE(B1807,""en"",""ig"")"),"ogenwata")</f>
        <v>ogenwata</v>
      </c>
      <c r="E1807" s="2" t="str">
        <f ca="1">IFERROR(__xludf.DUMMYFUNCTION("GOOGLETRANSLATE(B1807,""en"",""fr"")"),"enfance")</f>
        <v>enfance</v>
      </c>
      <c r="F1807" s="2" t="str">
        <f ca="1">IFERROR(__xludf.DUMMYFUNCTION("GOOGLETRANSLATE(B1807,""en"",""it"")"),"infanzia")</f>
        <v>infanzia</v>
      </c>
      <c r="G1807" s="2" t="str">
        <f ca="1">IFERROR(__xludf.DUMMYFUNCTION("GOOGLETRANSLATE(B1807,""en"",""de"")"),"Kindheit")</f>
        <v>Kindheit</v>
      </c>
      <c r="H1807" s="2" t="str">
        <f ca="1">IFERROR(__xludf.DUMMYFUNCTION("GOOGLETRANSLATE(B1807,""en"",""zh"")"),"童年")</f>
        <v>童年</v>
      </c>
      <c r="I1807" s="2" t="str">
        <f ca="1">IFERROR(__xludf.DUMMYFUNCTION("GOOGLETRANSLATE(B1807,""en"",""gd"")"),"leanabas")</f>
        <v>leanabas</v>
      </c>
    </row>
    <row r="1808" spans="1:9" ht="14.25" customHeight="1" x14ac:dyDescent="0.3">
      <c r="A1808" s="2">
        <v>1807</v>
      </c>
      <c r="B1808" s="3" t="s">
        <v>1815</v>
      </c>
      <c r="C1808" s="2" t="str">
        <f ca="1">IFERROR(__xludf.DUMMYFUNCTION("GOOGLETRANSLATE(B1808, ""en"",""es"")"),"borrador")</f>
        <v>borrador</v>
      </c>
      <c r="D1808" s="2" t="str">
        <f ca="1">IFERROR(__xludf.DUMMYFUNCTION("GOOGLETRANSLATE(B1808,""en"",""ig"")"),"ngworo")</f>
        <v>ngworo</v>
      </c>
      <c r="E1808" s="2" t="str">
        <f ca="1">IFERROR(__xludf.DUMMYFUNCTION("GOOGLETRANSLATE(B1808,""en"",""fr"")"),"brouillon")</f>
        <v>brouillon</v>
      </c>
      <c r="F1808" s="2" t="str">
        <f ca="1">IFERROR(__xludf.DUMMYFUNCTION("GOOGLETRANSLATE(B1808,""en"",""it"")"),"bozza")</f>
        <v>bozza</v>
      </c>
      <c r="G1808" s="2" t="str">
        <f ca="1">IFERROR(__xludf.DUMMYFUNCTION("GOOGLETRANSLATE(B1808,""en"",""de"")"),"Entwurf")</f>
        <v>Entwurf</v>
      </c>
      <c r="H1808" s="2" t="str">
        <f ca="1">IFERROR(__xludf.DUMMYFUNCTION("GOOGLETRANSLATE(B1808,""en"",""zh"")"),"草稿")</f>
        <v>草稿</v>
      </c>
      <c r="I1808" s="2" t="str">
        <f ca="1">IFERROR(__xludf.DUMMYFUNCTION("GOOGLETRANSLATE(B1808,""en"",""gd"")"),"Dreach")</f>
        <v>Dreach</v>
      </c>
    </row>
    <row r="1809" spans="1:9" ht="14.25" customHeight="1" x14ac:dyDescent="0.3">
      <c r="A1809" s="2">
        <v>1808</v>
      </c>
      <c r="B1809" s="3" t="s">
        <v>1816</v>
      </c>
      <c r="C1809" s="2" t="str">
        <f ca="1">IFERROR(__xludf.DUMMYFUNCTION("GOOGLETRANSLATE(B1809, ""en"",""es"")"),"deslizar")</f>
        <v>deslizar</v>
      </c>
      <c r="D1809" s="2" t="str">
        <f ca="1">IFERROR(__xludf.DUMMYFUNCTION("GOOGLETRANSLATE(B1809,""en"",""ig"")"),"slipu")</f>
        <v>slipu</v>
      </c>
      <c r="E1809" s="2" t="str">
        <f ca="1">IFERROR(__xludf.DUMMYFUNCTION("GOOGLETRANSLATE(B1809,""en"",""fr"")"),"glisser")</f>
        <v>glisser</v>
      </c>
      <c r="F1809" s="2" t="str">
        <f ca="1">IFERROR(__xludf.DUMMYFUNCTION("GOOGLETRANSLATE(B1809,""en"",""it"")"),"scontrino")</f>
        <v>scontrino</v>
      </c>
      <c r="G1809" s="2" t="str">
        <f ca="1">IFERROR(__xludf.DUMMYFUNCTION("GOOGLETRANSLATE(B1809,""en"",""de"")"),"Unterhose")</f>
        <v>Unterhose</v>
      </c>
      <c r="H1809" s="2" t="str">
        <f ca="1">IFERROR(__xludf.DUMMYFUNCTION("GOOGLETRANSLATE(B1809,""en"",""zh"")"),"滑")</f>
        <v>滑</v>
      </c>
      <c r="I1809" s="2" t="str">
        <f ca="1">IFERROR(__xludf.DUMMYFUNCTION("GOOGLETRANSLATE(B1809,""en"",""gd"")"),"slip")</f>
        <v>slip</v>
      </c>
    </row>
    <row r="1810" spans="1:9" ht="14.25" customHeight="1" x14ac:dyDescent="0.3">
      <c r="A1810" s="2">
        <v>1809</v>
      </c>
      <c r="B1810" s="3" t="s">
        <v>1817</v>
      </c>
      <c r="C1810" s="2" t="str">
        <f ca="1">IFERROR(__xludf.DUMMYFUNCTION("GOOGLETRANSLATE(B1810, ""en"",""es"")"),"acompañar")</f>
        <v>acompañar</v>
      </c>
      <c r="D1810" s="2" t="str">
        <f ca="1">IFERROR(__xludf.DUMMYFUNCTION("GOOGLETRANSLATE(B1810,""en"",""ig"")"),"isoro")</f>
        <v>isoro</v>
      </c>
      <c r="E1810" s="2" t="str">
        <f ca="1">IFERROR(__xludf.DUMMYFUNCTION("GOOGLETRANSLATE(B1810,""en"",""fr"")"),"accompagner")</f>
        <v>accompagner</v>
      </c>
      <c r="F1810" s="2" t="str">
        <f ca="1">IFERROR(__xludf.DUMMYFUNCTION("GOOGLETRANSLATE(B1810,""en"",""it"")"),"accompagnare")</f>
        <v>accompagnare</v>
      </c>
      <c r="G1810" s="2" t="str">
        <f ca="1">IFERROR(__xludf.DUMMYFUNCTION("GOOGLETRANSLATE(B1810,""en"",""de"")"),"begleiten")</f>
        <v>begleiten</v>
      </c>
      <c r="H1810" s="2" t="str">
        <f ca="1">IFERROR(__xludf.DUMMYFUNCTION("GOOGLETRANSLATE(B1810,""en"",""zh"")"),"陪伴")</f>
        <v>陪伴</v>
      </c>
      <c r="I1810" s="2" t="str">
        <f ca="1">IFERROR(__xludf.DUMMYFUNCTION("GOOGLETRANSLATE(B1810,""en"",""gd"")"),"còmhla ris")</f>
        <v>còmhla ris</v>
      </c>
    </row>
    <row r="1811" spans="1:9" ht="14.25" customHeight="1" x14ac:dyDescent="0.3">
      <c r="A1811" s="2">
        <v>1810</v>
      </c>
      <c r="B1811" s="3" t="s">
        <v>1818</v>
      </c>
      <c r="C1811" s="2" t="str">
        <f ca="1">IFERROR(__xludf.DUMMYFUNCTION("GOOGLETRANSLATE(B1811, ""en"",""es"")"),"político")</f>
        <v>político</v>
      </c>
      <c r="D1811" s="2" t="str">
        <f ca="1">IFERROR(__xludf.DUMMYFUNCTION("GOOGLETRANSLATE(B1811,""en"",""ig"")"),"onye ochichi")</f>
        <v>onye ochichi</v>
      </c>
      <c r="E1811" s="2" t="str">
        <f ca="1">IFERROR(__xludf.DUMMYFUNCTION("GOOGLETRANSLATE(B1811,""en"",""fr"")"),"politicien")</f>
        <v>politicien</v>
      </c>
      <c r="F1811" s="2" t="str">
        <f ca="1">IFERROR(__xludf.DUMMYFUNCTION("GOOGLETRANSLATE(B1811,""en"",""it"")"),"politico")</f>
        <v>politico</v>
      </c>
      <c r="G1811" s="2" t="str">
        <f ca="1">IFERROR(__xludf.DUMMYFUNCTION("GOOGLETRANSLATE(B1811,""en"",""de"")"),"Politiker")</f>
        <v>Politiker</v>
      </c>
      <c r="H1811" s="2" t="str">
        <f ca="1">IFERROR(__xludf.DUMMYFUNCTION("GOOGLETRANSLATE(B1811,""en"",""zh"")"),"政治家")</f>
        <v>政治家</v>
      </c>
      <c r="I1811" s="2" t="str">
        <f ca="1">IFERROR(__xludf.DUMMYFUNCTION("GOOGLETRANSLATE(B1811,""en"",""gd"")"),"neach-poilitigs")</f>
        <v>neach-poilitigs</v>
      </c>
    </row>
    <row r="1812" spans="1:9" ht="14.25" customHeight="1" x14ac:dyDescent="0.3">
      <c r="A1812" s="2">
        <v>1811</v>
      </c>
      <c r="B1812" s="3" t="s">
        <v>1819</v>
      </c>
      <c r="C1812" s="2" t="str">
        <f ca="1">IFERROR(__xludf.DUMMYFUNCTION("GOOGLETRANSLATE(B1812, ""en"",""es"")"),"enojado")</f>
        <v>enojado</v>
      </c>
      <c r="D1812" s="2" t="str">
        <f ca="1">IFERROR(__xludf.DUMMYFUNCTION("GOOGLETRANSLATE(B1812,""en"",""ig"")"),"keiwe")</f>
        <v>keiwe</v>
      </c>
      <c r="E1812" s="2" t="str">
        <f ca="1">IFERROR(__xludf.DUMMYFUNCTION("GOOGLETRANSLATE(B1812,""en"",""fr"")"),"en colère")</f>
        <v>en colère</v>
      </c>
      <c r="F1812" s="2" t="str">
        <f ca="1">IFERROR(__xludf.DUMMYFUNCTION("GOOGLETRANSLATE(B1812,""en"",""it"")"),"arrabbiato")</f>
        <v>arrabbiato</v>
      </c>
      <c r="G1812" s="2" t="str">
        <f ca="1">IFERROR(__xludf.DUMMYFUNCTION("GOOGLETRANSLATE(B1812,""en"",""de"")"),"wütend")</f>
        <v>wütend</v>
      </c>
      <c r="H1812" s="2" t="str">
        <f ca="1">IFERROR(__xludf.DUMMYFUNCTION("GOOGLETRANSLATE(B1812,""en"",""zh"")"),"生气的")</f>
        <v>生气的</v>
      </c>
      <c r="I1812" s="2" t="str">
        <f ca="1">IFERROR(__xludf.DUMMYFUNCTION("GOOGLETRANSLATE(B1812,""en"",""gd"")"),"feargach")</f>
        <v>feargach</v>
      </c>
    </row>
    <row r="1813" spans="1:9" ht="14.25" customHeight="1" x14ac:dyDescent="0.3">
      <c r="A1813" s="2">
        <v>1812</v>
      </c>
      <c r="B1813" s="3" t="s">
        <v>1820</v>
      </c>
      <c r="C1813" s="2" t="str">
        <f ca="1">IFERROR(__xludf.DUMMYFUNCTION("GOOGLETRANSLATE(B1813, ""en"",""es"")"),"golpear")</f>
        <v>golpear</v>
      </c>
      <c r="D1813" s="2" t="str">
        <f ca="1">IFERROR(__xludf.DUMMYFUNCTION("GOOGLETRANSLATE(B1813,""en"",""ig"")"),"iku aka")</f>
        <v>iku aka</v>
      </c>
      <c r="E1813" s="2" t="str">
        <f ca="1">IFERROR(__xludf.DUMMYFUNCTION("GOOGLETRANSLATE(B1813,""en"",""fr"")"),"frappe")</f>
        <v>frappe</v>
      </c>
      <c r="F1813" s="2" t="str">
        <f ca="1">IFERROR(__xludf.DUMMYFUNCTION("GOOGLETRANSLATE(B1813,""en"",""it"")"),"bussare")</f>
        <v>bussare</v>
      </c>
      <c r="G1813" s="2" t="str">
        <f ca="1">IFERROR(__xludf.DUMMYFUNCTION("GOOGLETRANSLATE(B1813,""en"",""de"")"),"klopfen")</f>
        <v>klopfen</v>
      </c>
      <c r="H1813" s="2" t="str">
        <f ca="1">IFERROR(__xludf.DUMMYFUNCTION("GOOGLETRANSLATE(B1813,""en"",""zh"")"),"敲")</f>
        <v>敲</v>
      </c>
      <c r="I1813" s="2" t="str">
        <f ca="1">IFERROR(__xludf.DUMMYFUNCTION("GOOGLETRANSLATE(B1813,""en"",""gd"")"),"Cnoc")</f>
        <v>Cnoc</v>
      </c>
    </row>
    <row r="1814" spans="1:9" ht="14.25" customHeight="1" x14ac:dyDescent="0.3">
      <c r="A1814" s="2">
        <v>1813</v>
      </c>
      <c r="B1814" s="3" t="s">
        <v>1821</v>
      </c>
      <c r="C1814" s="2" t="str">
        <f ca="1">IFERROR(__xludf.DUMMYFUNCTION("GOOGLETRANSLATE(B1814, ""en"",""es"")"),"semilla")</f>
        <v>semilla</v>
      </c>
      <c r="D1814" s="2" t="str">
        <f ca="1">IFERROR(__xludf.DUMMYFUNCTION("GOOGLETRANSLATE(B1814,""en"",""ig"")"),"mkuruosisi")</f>
        <v>mkuruosisi</v>
      </c>
      <c r="E1814" s="2" t="str">
        <f ca="1">IFERROR(__xludf.DUMMYFUNCTION("GOOGLETRANSLATE(B1814,""en"",""fr"")"),"graine")</f>
        <v>graine</v>
      </c>
      <c r="F1814" s="2" t="str">
        <f ca="1">IFERROR(__xludf.DUMMYFUNCTION("GOOGLETRANSLATE(B1814,""en"",""it"")"),"seme")</f>
        <v>seme</v>
      </c>
      <c r="G1814" s="2" t="str">
        <f ca="1">IFERROR(__xludf.DUMMYFUNCTION("GOOGLETRANSLATE(B1814,""en"",""de"")"),"Samen")</f>
        <v>Samen</v>
      </c>
      <c r="H1814" s="2" t="str">
        <f ca="1">IFERROR(__xludf.DUMMYFUNCTION("GOOGLETRANSLATE(B1814,""en"",""zh"")"),"种子")</f>
        <v>种子</v>
      </c>
      <c r="I1814" s="2" t="str">
        <f ca="1">IFERROR(__xludf.DUMMYFUNCTION("GOOGLETRANSLATE(B1814,""en"",""gd"")"),"sìol")</f>
        <v>sìol</v>
      </c>
    </row>
    <row r="1815" spans="1:9" ht="14.25" customHeight="1" x14ac:dyDescent="0.3">
      <c r="A1815" s="2">
        <v>1814</v>
      </c>
      <c r="B1815" s="3" t="s">
        <v>1822</v>
      </c>
      <c r="C1815" s="2" t="str">
        <f ca="1">IFERROR(__xludf.DUMMYFUNCTION("GOOGLETRANSLATE(B1815, ""en"",""es"")"),"salario")</f>
        <v>salario</v>
      </c>
      <c r="D1815" s="2" t="str">
        <f ca="1">IFERROR(__xludf.DUMMYFUNCTION("GOOGLETRANSLATE(B1815,""en"",""ig"")"),"egoonwa")</f>
        <v>egoonwa</v>
      </c>
      <c r="E1815" s="2" t="str">
        <f ca="1">IFERROR(__xludf.DUMMYFUNCTION("GOOGLETRANSLATE(B1815,""en"",""fr"")"),"salaire")</f>
        <v>salaire</v>
      </c>
      <c r="F1815" s="2" t="str">
        <f ca="1">IFERROR(__xludf.DUMMYFUNCTION("GOOGLETRANSLATE(B1815,""en"",""it"")"),"stipendio")</f>
        <v>stipendio</v>
      </c>
      <c r="G1815" s="2" t="str">
        <f ca="1">IFERROR(__xludf.DUMMYFUNCTION("GOOGLETRANSLATE(B1815,""en"",""de"")"),"Gehalt")</f>
        <v>Gehalt</v>
      </c>
      <c r="H1815" s="2" t="str">
        <f ca="1">IFERROR(__xludf.DUMMYFUNCTION("GOOGLETRANSLATE(B1815,""en"",""zh"")"),"薪水")</f>
        <v>薪水</v>
      </c>
      <c r="I1815" s="2" t="str">
        <f ca="1">IFERROR(__xludf.DUMMYFUNCTION("GOOGLETRANSLATE(B1815,""en"",""gd"")"),"Tuarastal")</f>
        <v>Tuarastal</v>
      </c>
    </row>
    <row r="1816" spans="1:9" ht="14.25" customHeight="1" x14ac:dyDescent="0.3">
      <c r="A1816" s="2">
        <v>1815</v>
      </c>
      <c r="B1816" s="3" t="s">
        <v>1823</v>
      </c>
      <c r="C1816" s="2" t="str">
        <f ca="1">IFERROR(__xludf.DUMMYFUNCTION("GOOGLETRANSLATE(B1816, ""en"",""es"")"),"ilustrar")</f>
        <v>ilustrar</v>
      </c>
      <c r="D1816" s="2" t="str">
        <f ca="1">IFERROR(__xludf.DUMMYFUNCTION("GOOGLETRANSLATE(B1816,""en"",""ig"")"),"Nye - eme")</f>
        <v>Nye - eme</v>
      </c>
      <c r="E1816" s="2" t="str">
        <f ca="1">IFERROR(__xludf.DUMMYFUNCTION("GOOGLETRANSLATE(B1816,""en"",""fr"")"),"illustrer")</f>
        <v>illustrer</v>
      </c>
      <c r="F1816" s="2" t="str">
        <f ca="1">IFERROR(__xludf.DUMMYFUNCTION("GOOGLETRANSLATE(B1816,""en"",""it"")"),"illustrare")</f>
        <v>illustrare</v>
      </c>
      <c r="G1816" s="2" t="str">
        <f ca="1">IFERROR(__xludf.DUMMYFUNCTION("GOOGLETRANSLATE(B1816,""en"",""de"")"),"veranschaulichen")</f>
        <v>veranschaulichen</v>
      </c>
      <c r="H1816" s="2" t="str">
        <f ca="1">IFERROR(__xludf.DUMMYFUNCTION("GOOGLETRANSLATE(B1816,""en"",""zh"")"),"阐明")</f>
        <v>阐明</v>
      </c>
      <c r="I1816" s="2" t="str">
        <f ca="1">IFERROR(__xludf.DUMMYFUNCTION("GOOGLETRANSLATE(B1816,""en"",""gd"")"),"Smaoinich")</f>
        <v>Smaoinich</v>
      </c>
    </row>
    <row r="1817" spans="1:9" ht="14.25" customHeight="1" x14ac:dyDescent="0.3">
      <c r="A1817" s="2">
        <v>1816</v>
      </c>
      <c r="B1817" s="3" t="s">
        <v>1824</v>
      </c>
      <c r="C1817" s="2" t="str">
        <f ca="1">IFERROR(__xludf.DUMMYFUNCTION("GOOGLETRANSLATE(B1817, ""en"",""es"")"),"implicar")</f>
        <v>implicar</v>
      </c>
      <c r="D1817" s="2" t="str">
        <f ca="1">IFERROR(__xludf.DUMMYFUNCTION("GOOGLETRANSLATE(B1817,""en"",""ig"")"),"gosiri")</f>
        <v>gosiri</v>
      </c>
      <c r="E1817" s="2" t="str">
        <f ca="1">IFERROR(__xludf.DUMMYFUNCTION("GOOGLETRANSLATE(B1817,""en"",""fr"")"),"impliquer")</f>
        <v>impliquer</v>
      </c>
      <c r="F1817" s="2" t="str">
        <f ca="1">IFERROR(__xludf.DUMMYFUNCTION("GOOGLETRANSLATE(B1817,""en"",""it"")"),"implicare")</f>
        <v>implicare</v>
      </c>
      <c r="G1817" s="2" t="str">
        <f ca="1">IFERROR(__xludf.DUMMYFUNCTION("GOOGLETRANSLATE(B1817,""en"",""de"")"),"implizieren")</f>
        <v>implizieren</v>
      </c>
      <c r="H1817" s="2" t="str">
        <f ca="1">IFERROR(__xludf.DUMMYFUNCTION("GOOGLETRANSLATE(B1817,""en"",""zh"")"),"意味着")</f>
        <v>意味着</v>
      </c>
      <c r="I1817" s="2" t="str">
        <f ca="1">IFERROR(__xludf.DUMMYFUNCTION("GOOGLETRANSLATE(B1817,""en"",""gd"")"),"ciallaich")</f>
        <v>ciallaich</v>
      </c>
    </row>
    <row r="1818" spans="1:9" ht="14.25" customHeight="1" x14ac:dyDescent="0.3">
      <c r="A1818" s="2">
        <v>1817</v>
      </c>
      <c r="B1818" s="3" t="s">
        <v>1825</v>
      </c>
      <c r="C1818" s="2" t="str">
        <f ca="1">IFERROR(__xludf.DUMMYFUNCTION("GOOGLETRANSLATE(B1818, ""en"",""es"")"),"desayuno")</f>
        <v>desayuno</v>
      </c>
      <c r="D1818" s="2" t="str">
        <f ca="1">IFERROR(__xludf.DUMMYFUNCTION("GOOGLETRANSLATE(B1818,""en"",""ig"")"),"nri ututu")</f>
        <v>nri ututu</v>
      </c>
      <c r="E1818" s="2" t="str">
        <f ca="1">IFERROR(__xludf.DUMMYFUNCTION("GOOGLETRANSLATE(B1818,""en"",""fr"")"),"petit-déjeuner")</f>
        <v>petit-déjeuner</v>
      </c>
      <c r="F1818" s="2" t="str">
        <f ca="1">IFERROR(__xludf.DUMMYFUNCTION("GOOGLETRANSLATE(B1818,""en"",""it"")"),"colazione")</f>
        <v>colazione</v>
      </c>
      <c r="G1818" s="2" t="str">
        <f ca="1">IFERROR(__xludf.DUMMYFUNCTION("GOOGLETRANSLATE(B1818,""en"",""de"")"),"Frühstück")</f>
        <v>Frühstück</v>
      </c>
      <c r="H1818" s="2" t="str">
        <f ca="1">IFERROR(__xludf.DUMMYFUNCTION("GOOGLETRANSLATE(B1818,""en"",""zh"")"),"早餐")</f>
        <v>早餐</v>
      </c>
      <c r="I1818" s="2" t="str">
        <f ca="1">IFERROR(__xludf.DUMMYFUNCTION("GOOGLETRANSLATE(B1818,""en"",""gd"")"),"bracaist")</f>
        <v>bracaist</v>
      </c>
    </row>
    <row r="1819" spans="1:9" ht="14.25" customHeight="1" x14ac:dyDescent="0.3">
      <c r="A1819" s="2">
        <v>1818</v>
      </c>
      <c r="B1819" s="3" t="s">
        <v>1826</v>
      </c>
      <c r="C1819" s="2" t="str">
        <f ca="1">IFERROR(__xludf.DUMMYFUNCTION("GOOGLETRANSLATE(B1819, ""en"",""es"")"),"temporario")</f>
        <v>temporario</v>
      </c>
      <c r="D1819" s="2" t="str">
        <f ca="1">IFERROR(__xludf.DUMMYFUNCTION("GOOGLETRANSLATE(B1819,""en"",""ig"")"),"keadighideghi")</f>
        <v>keadighideghi</v>
      </c>
      <c r="E1819" s="2" t="str">
        <f ca="1">IFERROR(__xludf.DUMMYFUNCTION("GOOGLETRANSLATE(B1819,""en"",""fr"")"),"temporaire")</f>
        <v>temporaire</v>
      </c>
      <c r="F1819" s="2" t="str">
        <f ca="1">IFERROR(__xludf.DUMMYFUNCTION("GOOGLETRANSLATE(B1819,""en"",""it"")"),"temporaneo")</f>
        <v>temporaneo</v>
      </c>
      <c r="G1819" s="2" t="str">
        <f ca="1">IFERROR(__xludf.DUMMYFUNCTION("GOOGLETRANSLATE(B1819,""en"",""de"")"),"vorübergehend")</f>
        <v>vorübergehend</v>
      </c>
      <c r="H1819" s="2" t="str">
        <f ca="1">IFERROR(__xludf.DUMMYFUNCTION("GOOGLETRANSLATE(B1819,""en"",""zh"")"),"暂时的")</f>
        <v>暂时的</v>
      </c>
      <c r="I1819" s="2" t="str">
        <f ca="1">IFERROR(__xludf.DUMMYFUNCTION("GOOGLETRANSLATE(B1819,""en"",""gd"")"),"sealach")</f>
        <v>sealach</v>
      </c>
    </row>
    <row r="1820" spans="1:9" ht="14.25" customHeight="1" x14ac:dyDescent="0.3">
      <c r="A1820" s="2">
        <v>1819</v>
      </c>
      <c r="B1820" s="3" t="s">
        <v>1827</v>
      </c>
      <c r="C1820" s="2" t="str">
        <f ca="1">IFERROR(__xludf.DUMMYFUNCTION("GOOGLETRANSLATE(B1820, ""en"",""es"")"),"liberal")</f>
        <v>liberal</v>
      </c>
      <c r="D1820" s="2" t="str">
        <f ca="1">IFERROR(__xludf.DUMMYFUNCTION("GOOGLETRANSLATE(B1820,""en"",""ig"")"),"keobioma")</f>
        <v>keobioma</v>
      </c>
      <c r="E1820" s="2" t="str">
        <f ca="1">IFERROR(__xludf.DUMMYFUNCTION("GOOGLETRANSLATE(B1820,""en"",""fr"")"),"libéral")</f>
        <v>libéral</v>
      </c>
      <c r="F1820" s="2" t="str">
        <f ca="1">IFERROR(__xludf.DUMMYFUNCTION("GOOGLETRANSLATE(B1820,""en"",""it"")"),"liberale")</f>
        <v>liberale</v>
      </c>
      <c r="G1820" s="2" t="str">
        <f ca="1">IFERROR(__xludf.DUMMYFUNCTION("GOOGLETRANSLATE(B1820,""en"",""de"")"),"Liberale")</f>
        <v>Liberale</v>
      </c>
      <c r="H1820" s="2" t="str">
        <f ca="1">IFERROR(__xludf.DUMMYFUNCTION("GOOGLETRANSLATE(B1820,""en"",""zh"")"),"自由主义的")</f>
        <v>自由主义的</v>
      </c>
      <c r="I1820" s="2" t="str">
        <f ca="1">IFERROR(__xludf.DUMMYFUNCTION("GOOGLETRANSLATE(B1820,""en"",""gd"")"),"Libearalach")</f>
        <v>Libearalach</v>
      </c>
    </row>
    <row r="1821" spans="1:9" ht="14.25" customHeight="1" x14ac:dyDescent="0.3">
      <c r="A1821" s="2">
        <v>1820</v>
      </c>
      <c r="B1821" s="3" t="s">
        <v>1828</v>
      </c>
      <c r="C1821" s="2" t="str">
        <f ca="1">IFERROR(__xludf.DUMMYFUNCTION("GOOGLETRANSLATE(B1821, ""en"",""es"")"),"lago")</f>
        <v>lago</v>
      </c>
      <c r="D1821" s="2" t="str">
        <f ca="1">IFERROR(__xludf.DUMMYFUNCTION("GOOGLETRANSLATE(B1821,""en"",""ig"")"),"leeki")</f>
        <v>leeki</v>
      </c>
      <c r="E1821" s="2" t="str">
        <f ca="1">IFERROR(__xludf.DUMMYFUNCTION("GOOGLETRANSLATE(B1821,""en"",""fr"")"),"lac")</f>
        <v>lac</v>
      </c>
      <c r="F1821" s="2" t="str">
        <f ca="1">IFERROR(__xludf.DUMMYFUNCTION("GOOGLETRANSLATE(B1821,""en"",""it"")"),"lago")</f>
        <v>lago</v>
      </c>
      <c r="G1821" s="2" t="str">
        <f ca="1">IFERROR(__xludf.DUMMYFUNCTION("GOOGLETRANSLATE(B1821,""en"",""de"")"),"See")</f>
        <v>See</v>
      </c>
      <c r="H1821" s="2" t="str">
        <f ca="1">IFERROR(__xludf.DUMMYFUNCTION("GOOGLETRANSLATE(B1821,""en"",""zh"")"),"湖")</f>
        <v>湖</v>
      </c>
      <c r="I1821" s="2" t="str">
        <f ca="1">IFERROR(__xludf.DUMMYFUNCTION("GOOGLETRANSLATE(B1821,""en"",""gd"")"),"loch")</f>
        <v>loch</v>
      </c>
    </row>
    <row r="1822" spans="1:9" ht="14.25" customHeight="1" x14ac:dyDescent="0.3">
      <c r="A1822" s="2">
        <v>1821</v>
      </c>
      <c r="B1822" s="3" t="s">
        <v>1829</v>
      </c>
      <c r="C1822" s="2" t="str">
        <f ca="1">IFERROR(__xludf.DUMMYFUNCTION("GOOGLETRANSLATE(B1822, ""en"",""es"")"),"calificar")</f>
        <v>calificar</v>
      </c>
      <c r="D1822" s="2" t="str">
        <f ca="1">IFERROR(__xludf.DUMMYFUNCTION("GOOGLETRANSLATE(B1822,""en"",""ig"")"),"tozuo")</f>
        <v>tozuo</v>
      </c>
      <c r="E1822" s="2" t="str">
        <f ca="1">IFERROR(__xludf.DUMMYFUNCTION("GOOGLETRANSLATE(B1822,""en"",""fr"")"),"qualifier")</f>
        <v>qualifier</v>
      </c>
      <c r="F1822" s="2" t="str">
        <f ca="1">IFERROR(__xludf.DUMMYFUNCTION("GOOGLETRANSLATE(B1822,""en"",""it"")"),"qualifica")</f>
        <v>qualifica</v>
      </c>
      <c r="G1822" s="2" t="str">
        <f ca="1">IFERROR(__xludf.DUMMYFUNCTION("GOOGLETRANSLATE(B1822,""en"",""de"")"),"qualifizieren")</f>
        <v>qualifizieren</v>
      </c>
      <c r="H1822" s="2" t="str">
        <f ca="1">IFERROR(__xludf.DUMMYFUNCTION("GOOGLETRANSLATE(B1822,""en"",""zh"")"),"资格")</f>
        <v>资格</v>
      </c>
      <c r="I1822" s="2" t="str">
        <f ca="1">IFERROR(__xludf.DUMMYFUNCTION("GOOGLETRANSLATE(B1822,""en"",""gd"")"),"airidh")</f>
        <v>airidh</v>
      </c>
    </row>
    <row r="1823" spans="1:9" ht="14.25" customHeight="1" x14ac:dyDescent="0.3">
      <c r="A1823" s="2">
        <v>1822</v>
      </c>
      <c r="B1823" s="3" t="s">
        <v>1830</v>
      </c>
      <c r="C1823" s="2" t="str">
        <f ca="1">IFERROR(__xludf.DUMMYFUNCTION("GOOGLETRANSLATE(B1823, ""en"",""es"")"),"competitivo")</f>
        <v>competitivo</v>
      </c>
      <c r="D1823" s="2" t="str">
        <f ca="1">IFERROR(__xludf.DUMMYFUNCTION("GOOGLETRANSLATE(B1823,""en"",""ig"")"),"keisompi")</f>
        <v>keisompi</v>
      </c>
      <c r="E1823" s="2" t="str">
        <f ca="1">IFERROR(__xludf.DUMMYFUNCTION("GOOGLETRANSLATE(B1823,""en"",""fr"")"),"compétitif")</f>
        <v>compétitif</v>
      </c>
      <c r="F1823" s="2" t="str">
        <f ca="1">IFERROR(__xludf.DUMMYFUNCTION("GOOGLETRANSLATE(B1823,""en"",""it"")"),"competitivo")</f>
        <v>competitivo</v>
      </c>
      <c r="G1823" s="2" t="str">
        <f ca="1">IFERROR(__xludf.DUMMYFUNCTION("GOOGLETRANSLATE(B1823,""en"",""de"")"),"wettbewerbsfähig")</f>
        <v>wettbewerbsfähig</v>
      </c>
      <c r="H1823" s="2" t="str">
        <f ca="1">IFERROR(__xludf.DUMMYFUNCTION("GOOGLETRANSLATE(B1823,""en"",""zh"")"),"竞争的")</f>
        <v>竞争的</v>
      </c>
      <c r="I1823" s="2" t="str">
        <f ca="1">IFERROR(__xludf.DUMMYFUNCTION("GOOGLETRANSLATE(B1823,""en"",""gd"")"),"farpaiseach")</f>
        <v>farpaiseach</v>
      </c>
    </row>
    <row r="1824" spans="1:9" ht="14.25" customHeight="1" x14ac:dyDescent="0.3">
      <c r="A1824" s="2">
        <v>1823</v>
      </c>
      <c r="B1824" s="3" t="s">
        <v>1831</v>
      </c>
      <c r="C1824" s="2" t="str">
        <f ca="1">IFERROR(__xludf.DUMMYFUNCTION("GOOGLETRANSLATE(B1824, ""en"",""es"")"),"realmente")</f>
        <v>realmente</v>
      </c>
      <c r="D1824" s="2" t="str">
        <f ca="1">IFERROR(__xludf.DUMMYFUNCTION("GOOGLETRANSLATE(B1824,""en"",""ig"")"),"nke nsiridi")</f>
        <v>nke nsiridi</v>
      </c>
      <c r="E1824" s="2" t="str">
        <f ca="1">IFERROR(__xludf.DUMMYFUNCTION("GOOGLETRANSLATE(B1824,""en"",""fr"")"),"vraiment")</f>
        <v>vraiment</v>
      </c>
      <c r="F1824" s="2" t="str">
        <f ca="1">IFERROR(__xludf.DUMMYFUNCTION("GOOGLETRANSLATE(B1824,""en"",""it"")"),"veramente")</f>
        <v>veramente</v>
      </c>
      <c r="G1824" s="2" t="str">
        <f ca="1">IFERROR(__xludf.DUMMYFUNCTION("GOOGLETRANSLATE(B1824,""en"",""de"")"),"wirklich")</f>
        <v>wirklich</v>
      </c>
      <c r="H1824" s="2" t="str">
        <f ca="1">IFERROR(__xludf.DUMMYFUNCTION("GOOGLETRANSLATE(B1824,""en"",""zh"")"),"真的")</f>
        <v>真的</v>
      </c>
      <c r="I1824" s="2" t="str">
        <f ca="1">IFERROR(__xludf.DUMMYFUNCTION("GOOGLETRANSLATE(B1824,""en"",""gd"")"),"dha-rìribh")</f>
        <v>dha-rìribh</v>
      </c>
    </row>
    <row r="1825" spans="1:9" ht="14.25" customHeight="1" x14ac:dyDescent="0.3">
      <c r="A1825" s="2">
        <v>1824</v>
      </c>
      <c r="B1825" s="3" t="s">
        <v>1832</v>
      </c>
      <c r="C1825" s="2" t="str">
        <f ca="1">IFERROR(__xludf.DUMMYFUNCTION("GOOGLETRANSLATE(B1825, ""en"",""es"")"),"Hola")</f>
        <v>Hola</v>
      </c>
      <c r="D1825" s="2" t="str">
        <f ca="1">IFERROR(__xludf.DUMMYFUNCTION("GOOGLETRANSLATE(B1825,""en"",""ig"")"),"ndewo hi")</f>
        <v>ndewo hi</v>
      </c>
      <c r="E1825" s="2" t="str">
        <f ca="1">IFERROR(__xludf.DUMMYFUNCTION("GOOGLETRANSLATE(B1825,""en"",""fr"")"),"Salut")</f>
        <v>Salut</v>
      </c>
      <c r="F1825" s="2" t="str">
        <f ca="1">IFERROR(__xludf.DUMMYFUNCTION("GOOGLETRANSLATE(B1825,""en"",""it"")"),"CIAO")</f>
        <v>CIAO</v>
      </c>
      <c r="G1825" s="2" t="str">
        <f ca="1">IFERROR(__xludf.DUMMYFUNCTION("GOOGLETRANSLATE(B1825,""en"",""de"")"),"Hi")</f>
        <v>Hi</v>
      </c>
      <c r="H1825" s="2" t="str">
        <f ca="1">IFERROR(__xludf.DUMMYFUNCTION("GOOGLETRANSLATE(B1825,""en"",""zh"")"),"你好")</f>
        <v>你好</v>
      </c>
      <c r="I1825" s="2" t="str">
        <f ca="1">IFERROR(__xludf.DUMMYFUNCTION("GOOGLETRANSLATE(B1825,""en"",""gd"")"),"Hi")</f>
        <v>Hi</v>
      </c>
    </row>
    <row r="1826" spans="1:9" ht="14.25" customHeight="1" x14ac:dyDescent="0.3">
      <c r="A1826" s="2">
        <v>1825</v>
      </c>
      <c r="B1826" s="3" t="s">
        <v>1833</v>
      </c>
      <c r="C1826" s="2" t="str">
        <f ca="1">IFERROR(__xludf.DUMMYFUNCTION("GOOGLETRANSLATE(B1826, ""en"",""es"")"),"amarillo")</f>
        <v>amarillo</v>
      </c>
      <c r="D1826" s="2" t="str">
        <f ca="1">IFERROR(__xludf.DUMMYFUNCTION("GOOGLETRANSLATE(B1826,""en"",""ig"")"),"odoodo")</f>
        <v>odoodo</v>
      </c>
      <c r="E1826" s="2" t="str">
        <f ca="1">IFERROR(__xludf.DUMMYFUNCTION("GOOGLETRANSLATE(B1826,""en"",""fr"")"),"jaune")</f>
        <v>jaune</v>
      </c>
      <c r="F1826" s="2" t="str">
        <f ca="1">IFERROR(__xludf.DUMMYFUNCTION("GOOGLETRANSLATE(B1826,""en"",""it"")"),"giallo")</f>
        <v>giallo</v>
      </c>
      <c r="G1826" s="2" t="str">
        <f ca="1">IFERROR(__xludf.DUMMYFUNCTION("GOOGLETRANSLATE(B1826,""en"",""de"")"),"Gelb")</f>
        <v>Gelb</v>
      </c>
      <c r="H1826" s="2" t="str">
        <f ca="1">IFERROR(__xludf.DUMMYFUNCTION("GOOGLETRANSLATE(B1826,""en"",""zh"")"),"黄色的")</f>
        <v>黄色的</v>
      </c>
      <c r="I1826" s="2" t="str">
        <f ca="1">IFERROR(__xludf.DUMMYFUNCTION("GOOGLETRANSLATE(B1826,""en"",""gd"")"),"buidhe")</f>
        <v>buidhe</v>
      </c>
    </row>
    <row r="1827" spans="1:9" ht="14.25" customHeight="1" x14ac:dyDescent="0.3">
      <c r="A1827" s="2">
        <v>1826</v>
      </c>
      <c r="B1827" s="3" t="s">
        <v>1834</v>
      </c>
      <c r="C1827" s="2" t="str">
        <f ca="1">IFERROR(__xludf.DUMMYFUNCTION("GOOGLETRANSLATE(B1827, ""en"",""es"")"),"hábito")</f>
        <v>hábito</v>
      </c>
      <c r="D1827" s="2" t="str">
        <f ca="1">IFERROR(__xludf.DUMMYFUNCTION("GOOGLETRANSLATE(B1827,""en"",""ig"")"),"agwa")</f>
        <v>agwa</v>
      </c>
      <c r="E1827" s="2" t="str">
        <f ca="1">IFERROR(__xludf.DUMMYFUNCTION("GOOGLETRANSLATE(B1827,""en"",""fr"")"),"habitude")</f>
        <v>habitude</v>
      </c>
      <c r="F1827" s="2" t="str">
        <f ca="1">IFERROR(__xludf.DUMMYFUNCTION("GOOGLETRANSLATE(B1827,""en"",""it"")"),"abitudine")</f>
        <v>abitudine</v>
      </c>
      <c r="G1827" s="2" t="str">
        <f ca="1">IFERROR(__xludf.DUMMYFUNCTION("GOOGLETRANSLATE(B1827,""en"",""de"")"),"Gewohnheit")</f>
        <v>Gewohnheit</v>
      </c>
      <c r="H1827" s="2" t="str">
        <f ca="1">IFERROR(__xludf.DUMMYFUNCTION("GOOGLETRANSLATE(B1827,""en"",""zh"")"),"习惯")</f>
        <v>习惯</v>
      </c>
      <c r="I1827" s="2" t="str">
        <f ca="1">IFERROR(__xludf.DUMMYFUNCTION("GOOGLETRANSLATE(B1827,""en"",""gd"")"),"cleachdadh")</f>
        <v>cleachdadh</v>
      </c>
    </row>
    <row r="1828" spans="1:9" ht="14.25" customHeight="1" x14ac:dyDescent="0.3">
      <c r="A1828" s="2">
        <v>1827</v>
      </c>
      <c r="B1828" s="3" t="s">
        <v>1835</v>
      </c>
      <c r="C1828" s="2" t="str">
        <f ca="1">IFERROR(__xludf.DUMMYFUNCTION("GOOGLETRANSLATE(B1828, ""en"",""es"")"),"disco")</f>
        <v>disco</v>
      </c>
      <c r="D1828" s="2" t="str">
        <f ca="1">IFERROR(__xludf.DUMMYFUNCTION("GOOGLETRANSLATE(B1828,""en"",""ig"")"),"disk")</f>
        <v>disk</v>
      </c>
      <c r="E1828" s="2" t="str">
        <f ca="1">IFERROR(__xludf.DUMMYFUNCTION("GOOGLETRANSLATE(B1828,""en"",""fr"")"),"disque")</f>
        <v>disque</v>
      </c>
      <c r="F1828" s="2" t="str">
        <f ca="1">IFERROR(__xludf.DUMMYFUNCTION("GOOGLETRANSLATE(B1828,""en"",""it"")"),"disco")</f>
        <v>disco</v>
      </c>
      <c r="G1828" s="2" t="str">
        <f ca="1">IFERROR(__xludf.DUMMYFUNCTION("GOOGLETRANSLATE(B1828,""en"",""de"")"),"Scheibe")</f>
        <v>Scheibe</v>
      </c>
      <c r="H1828" s="2" t="str">
        <f ca="1">IFERROR(__xludf.DUMMYFUNCTION("GOOGLETRANSLATE(B1828,""en"",""zh"")"),"磁盘")</f>
        <v>磁盘</v>
      </c>
      <c r="I1828" s="2" t="str">
        <f ca="1">IFERROR(__xludf.DUMMYFUNCTION("GOOGLETRANSLATE(B1828,""en"",""gd"")"),"diosc")</f>
        <v>diosc</v>
      </c>
    </row>
    <row r="1829" spans="1:9" ht="14.25" customHeight="1" x14ac:dyDescent="0.3">
      <c r="A1829" s="2">
        <v>1828</v>
      </c>
      <c r="B1829" s="3" t="s">
        <v>1836</v>
      </c>
      <c r="C1829" s="2" t="str">
        <f ca="1">IFERROR(__xludf.DUMMYFUNCTION("GOOGLETRANSLATE(B1829, ""en"",""es"")"),"centro")</f>
        <v>centro</v>
      </c>
      <c r="D1829" s="2" t="str">
        <f ca="1">IFERROR(__xludf.DUMMYFUNCTION("GOOGLETRANSLATE(B1829,""en"",""ig"")"),"isi")</f>
        <v>isi</v>
      </c>
      <c r="E1829" s="2" t="str">
        <f ca="1">IFERROR(__xludf.DUMMYFUNCTION("GOOGLETRANSLATE(B1829,""en"",""fr"")"),"cœur")</f>
        <v>cœur</v>
      </c>
      <c r="F1829" s="2" t="str">
        <f ca="1">IFERROR(__xludf.DUMMYFUNCTION("GOOGLETRANSLATE(B1829,""en"",""it"")"),"nucleo")</f>
        <v>nucleo</v>
      </c>
      <c r="G1829" s="2" t="str">
        <f ca="1">IFERROR(__xludf.DUMMYFUNCTION("GOOGLETRANSLATE(B1829,""en"",""de"")"),"Kern")</f>
        <v>Kern</v>
      </c>
      <c r="H1829" s="2" t="str">
        <f ca="1">IFERROR(__xludf.DUMMYFUNCTION("GOOGLETRANSLATE(B1829,""en"",""zh"")"),"核")</f>
        <v>核</v>
      </c>
      <c r="I1829" s="2" t="str">
        <f ca="1">IFERROR(__xludf.DUMMYFUNCTION("GOOGLETRANSLATE(B1829,""en"",""gd"")"),"Prìomh")</f>
        <v>Prìomh</v>
      </c>
    </row>
    <row r="1830" spans="1:9" ht="14.25" customHeight="1" x14ac:dyDescent="0.3">
      <c r="A1830" s="2">
        <v>1829</v>
      </c>
      <c r="B1830" s="3" t="s">
        <v>1837</v>
      </c>
      <c r="C1830" s="2" t="str">
        <f ca="1">IFERROR(__xludf.DUMMYFUNCTION("GOOGLETRANSLATE(B1830, ""en"",""es"")"),"emocional")</f>
        <v>emocional</v>
      </c>
      <c r="D1830" s="2" t="str">
        <f ca="1">IFERROR(__xludf.DUMMYFUNCTION("GOOGLETRANSLATE(B1830,""en"",""ig"")"),"kemmetuta obi")</f>
        <v>kemmetuta obi</v>
      </c>
      <c r="E1830" s="2" t="str">
        <f ca="1">IFERROR(__xludf.DUMMYFUNCTION("GOOGLETRANSLATE(B1830,""en"",""fr"")"),"émotionnel")</f>
        <v>émotionnel</v>
      </c>
      <c r="F1830" s="2" t="str">
        <f ca="1">IFERROR(__xludf.DUMMYFUNCTION("GOOGLETRANSLATE(B1830,""en"",""it"")"),"emotivo")</f>
        <v>emotivo</v>
      </c>
      <c r="G1830" s="2" t="str">
        <f ca="1">IFERROR(__xludf.DUMMYFUNCTION("GOOGLETRANSLATE(B1830,""en"",""de"")"),"emotional")</f>
        <v>emotional</v>
      </c>
      <c r="H1830" s="2" t="str">
        <f ca="1">IFERROR(__xludf.DUMMYFUNCTION("GOOGLETRANSLATE(B1830,""en"",""zh"")"),"情绪化")</f>
        <v>情绪化</v>
      </c>
      <c r="I1830" s="2" t="str">
        <f ca="1">IFERROR(__xludf.DUMMYFUNCTION("GOOGLETRANSLATE(B1830,""en"",""gd"")"),"tòcail")</f>
        <v>tòcail</v>
      </c>
    </row>
    <row r="1831" spans="1:9" ht="14.25" customHeight="1" x14ac:dyDescent="0.3">
      <c r="A1831" s="2">
        <v>1830</v>
      </c>
      <c r="B1831" s="3" t="s">
        <v>1838</v>
      </c>
      <c r="C1831" s="2" t="str">
        <f ca="1">IFERROR(__xludf.DUMMYFUNCTION("GOOGLETRANSLATE(B1831, ""en"",""es"")"),"aeronave")</f>
        <v>aeronave</v>
      </c>
      <c r="D1831" s="2" t="str">
        <f ca="1">IFERROR(__xludf.DUMMYFUNCTION("GOOGLETRANSLATE(B1831,""en"",""ig"")"),"ugbo elu")</f>
        <v>ugbo elu</v>
      </c>
      <c r="E1831" s="2" t="str">
        <f ca="1">IFERROR(__xludf.DUMMYFUNCTION("GOOGLETRANSLATE(B1831,""en"",""fr"")"),"avion")</f>
        <v>avion</v>
      </c>
      <c r="F1831" s="2" t="str">
        <f ca="1">IFERROR(__xludf.DUMMYFUNCTION("GOOGLETRANSLATE(B1831,""en"",""it"")"),"aereo")</f>
        <v>aereo</v>
      </c>
      <c r="G1831" s="2" t="str">
        <f ca="1">IFERROR(__xludf.DUMMYFUNCTION("GOOGLETRANSLATE(B1831,""en"",""de"")"),"Flugzeug")</f>
        <v>Flugzeug</v>
      </c>
      <c r="H1831" s="2" t="str">
        <f ca="1">IFERROR(__xludf.DUMMYFUNCTION("GOOGLETRANSLATE(B1831,""en"",""zh"")"),"飞机")</f>
        <v>飞机</v>
      </c>
      <c r="I1831" s="2" t="str">
        <f ca="1">IFERROR(__xludf.DUMMYFUNCTION("GOOGLETRANSLATE(B1831,""en"",""gd"")"),"Itealain")</f>
        <v>Itealain</v>
      </c>
    </row>
    <row r="1832" spans="1:9" ht="14.25" customHeight="1" x14ac:dyDescent="0.3">
      <c r="A1832" s="2">
        <v>1831</v>
      </c>
      <c r="B1832" s="3" t="s">
        <v>1839</v>
      </c>
      <c r="C1832" s="2" t="str">
        <f ca="1">IFERROR(__xludf.DUMMYFUNCTION("GOOGLETRANSLATE(B1832, ""en"",""es"")"),"ser")</f>
        <v>ser</v>
      </c>
      <c r="D1832" s="2" t="str">
        <f ca="1">IFERROR(__xludf.DUMMYFUNCTION("GOOGLETRANSLATE(B1832,""en"",""ig"")"),"nke onye")</f>
        <v>nke onye</v>
      </c>
      <c r="E1832" s="2" t="str">
        <f ca="1">IFERROR(__xludf.DUMMYFUNCTION("GOOGLETRANSLATE(B1832,""en"",""fr"")"),"soi")</f>
        <v>soi</v>
      </c>
      <c r="F1832" s="2" t="str">
        <f ca="1">IFERROR(__xludf.DUMMYFUNCTION("GOOGLETRANSLATE(B1832,""en"",""it"")"),"se stesso")</f>
        <v>se stesso</v>
      </c>
      <c r="G1832" s="2" t="str">
        <f ca="1">IFERROR(__xludf.DUMMYFUNCTION("GOOGLETRANSLATE(B1832,""en"",""de"")"),"selbst")</f>
        <v>selbst</v>
      </c>
      <c r="H1832" s="2" t="str">
        <f ca="1">IFERROR(__xludf.DUMMYFUNCTION("GOOGLETRANSLATE(B1832,""en"",""zh"")"),"自己")</f>
        <v>自己</v>
      </c>
      <c r="I1832" s="2" t="str">
        <f ca="1">IFERROR(__xludf.DUMMYFUNCTION("GOOGLETRANSLATE(B1832,""en"",""gd"")"),"fèin")</f>
        <v>fèin</v>
      </c>
    </row>
    <row r="1833" spans="1:9" ht="14.25" customHeight="1" x14ac:dyDescent="0.3">
      <c r="A1833" s="2">
        <v>1832</v>
      </c>
      <c r="B1833" s="3" t="s">
        <v>1840</v>
      </c>
      <c r="C1833" s="2" t="str">
        <f ca="1">IFERROR(__xludf.DUMMYFUNCTION("GOOGLETRANSLATE(B1833, ""en"",""es"")"),"metal")</f>
        <v>metal</v>
      </c>
      <c r="D1833" s="2" t="str">
        <f ca="1">IFERROR(__xludf.DUMMYFUNCTION("GOOGLETRANSLATE(B1833,""en"",""ig"")"),"metal")</f>
        <v>metal</v>
      </c>
      <c r="E1833" s="2" t="str">
        <f ca="1">IFERROR(__xludf.DUMMYFUNCTION("GOOGLETRANSLATE(B1833,""en"",""fr"")"),"métal")</f>
        <v>métal</v>
      </c>
      <c r="F1833" s="2" t="str">
        <f ca="1">IFERROR(__xludf.DUMMYFUNCTION("GOOGLETRANSLATE(B1833,""en"",""it"")"),"metallo")</f>
        <v>metallo</v>
      </c>
      <c r="G1833" s="2" t="str">
        <f ca="1">IFERROR(__xludf.DUMMYFUNCTION("GOOGLETRANSLATE(B1833,""en"",""de"")"),"Metall")</f>
        <v>Metall</v>
      </c>
      <c r="H1833" s="2" t="str">
        <f ca="1">IFERROR(__xludf.DUMMYFUNCTION("GOOGLETRANSLATE(B1833,""en"",""zh"")"),"金属")</f>
        <v>金属</v>
      </c>
      <c r="I1833" s="2" t="str">
        <f ca="1">IFERROR(__xludf.DUMMYFUNCTION("GOOGLETRANSLATE(B1833,""en"",""gd"")"),"meatailt")</f>
        <v>meatailt</v>
      </c>
    </row>
    <row r="1834" spans="1:9" ht="14.25" customHeight="1" x14ac:dyDescent="0.3">
      <c r="A1834" s="2">
        <v>1833</v>
      </c>
      <c r="B1834" s="3" t="s">
        <v>1841</v>
      </c>
      <c r="C1834" s="2" t="str">
        <f ca="1">IFERROR(__xludf.DUMMYFUNCTION("GOOGLETRANSLATE(B1834, ""en"",""es"")"),"existencia")</f>
        <v>existencia</v>
      </c>
      <c r="D1834" s="2" t="str">
        <f ca="1">IFERROR(__xludf.DUMMYFUNCTION("GOOGLETRANSLATE(B1834,""en"",""ig"")"),"odidi")</f>
        <v>odidi</v>
      </c>
      <c r="E1834" s="2" t="str">
        <f ca="1">IFERROR(__xludf.DUMMYFUNCTION("GOOGLETRANSLATE(B1834,""en"",""fr"")"),"existence")</f>
        <v>existence</v>
      </c>
      <c r="F1834" s="2" t="str">
        <f ca="1">IFERROR(__xludf.DUMMYFUNCTION("GOOGLETRANSLATE(B1834,""en"",""it"")"),"esistenza")</f>
        <v>esistenza</v>
      </c>
      <c r="G1834" s="2" t="str">
        <f ca="1">IFERROR(__xludf.DUMMYFUNCTION("GOOGLETRANSLATE(B1834,""en"",""de"")"),"Existenz")</f>
        <v>Existenz</v>
      </c>
      <c r="H1834" s="2" t="str">
        <f ca="1">IFERROR(__xludf.DUMMYFUNCTION("GOOGLETRANSLATE(B1834,""en"",""zh"")"),"存在")</f>
        <v>存在</v>
      </c>
      <c r="I1834" s="2" t="str">
        <f ca="1">IFERROR(__xludf.DUMMYFUNCTION("GOOGLETRANSLATE(B1834,""en"",""gd"")"),"a bhith ann")</f>
        <v>a bhith ann</v>
      </c>
    </row>
    <row r="1835" spans="1:9" ht="14.25" customHeight="1" x14ac:dyDescent="0.3">
      <c r="A1835" s="2">
        <v>1834</v>
      </c>
      <c r="B1835" s="3" t="s">
        <v>1842</v>
      </c>
      <c r="C1835" s="2" t="str">
        <f ca="1">IFERROR(__xludf.DUMMYFUNCTION("GOOGLETRANSLATE(B1835, ""en"",""es"")"),"hueso")</f>
        <v>hueso</v>
      </c>
      <c r="D1835" s="2" t="str">
        <f ca="1">IFERROR(__xludf.DUMMYFUNCTION("GOOGLETRANSLATE(B1835,""en"",""ig"")"),"okpukpu")</f>
        <v>okpukpu</v>
      </c>
      <c r="E1835" s="2" t="str">
        <f ca="1">IFERROR(__xludf.DUMMYFUNCTION("GOOGLETRANSLATE(B1835,""en"",""fr"")"),"os")</f>
        <v>os</v>
      </c>
      <c r="F1835" s="2" t="str">
        <f ca="1">IFERROR(__xludf.DUMMYFUNCTION("GOOGLETRANSLATE(B1835,""en"",""it"")"),"osso")</f>
        <v>osso</v>
      </c>
      <c r="G1835" s="2" t="str">
        <f ca="1">IFERROR(__xludf.DUMMYFUNCTION("GOOGLETRANSLATE(B1835,""en"",""de"")"),"Knochen")</f>
        <v>Knochen</v>
      </c>
      <c r="H1835" s="2" t="str">
        <f ca="1">IFERROR(__xludf.DUMMYFUNCTION("GOOGLETRANSLATE(B1835,""en"",""zh"")"),"骨")</f>
        <v>骨</v>
      </c>
      <c r="I1835" s="2" t="str">
        <f ca="1">IFERROR(__xludf.DUMMYFUNCTION("GOOGLETRANSLATE(B1835,""en"",""gd"")"),"cnàimh")</f>
        <v>cnàimh</v>
      </c>
    </row>
    <row r="1836" spans="1:9" ht="14.25" customHeight="1" x14ac:dyDescent="0.3">
      <c r="A1836" s="2">
        <v>1835</v>
      </c>
      <c r="B1836" s="3" t="s">
        <v>1843</v>
      </c>
      <c r="C1836" s="2" t="str">
        <f ca="1">IFERROR(__xludf.DUMMYFUNCTION("GOOGLETRANSLATE(B1836, ""en"",""es"")"),"panel")</f>
        <v>panel</v>
      </c>
      <c r="D1836" s="2" t="str">
        <f ca="1">IFERROR(__xludf.DUMMYFUNCTION("GOOGLETRANSLATE(B1836,""en"",""ig"")"),"panel")</f>
        <v>panel</v>
      </c>
      <c r="E1836" s="2" t="str">
        <f ca="1">IFERROR(__xludf.DUMMYFUNCTION("GOOGLETRANSLATE(B1836,""en"",""fr"")"),"panneau")</f>
        <v>panneau</v>
      </c>
      <c r="F1836" s="2" t="str">
        <f ca="1">IFERROR(__xludf.DUMMYFUNCTION("GOOGLETRANSLATE(B1836,""en"",""it"")"),"pannello")</f>
        <v>pannello</v>
      </c>
      <c r="G1836" s="2" t="str">
        <f ca="1">IFERROR(__xludf.DUMMYFUNCTION("GOOGLETRANSLATE(B1836,""en"",""de"")"),"Panel")</f>
        <v>Panel</v>
      </c>
      <c r="H1836" s="2" t="str">
        <f ca="1">IFERROR(__xludf.DUMMYFUNCTION("GOOGLETRANSLATE(B1836,""en"",""zh"")"),"控制板")</f>
        <v>控制板</v>
      </c>
      <c r="I1836" s="2" t="str">
        <f ca="1">IFERROR(__xludf.DUMMYFUNCTION("GOOGLETRANSLATE(B1836,""en"",""gd"")"),"Pannal")</f>
        <v>Pannal</v>
      </c>
    </row>
    <row r="1837" spans="1:9" ht="14.25" customHeight="1" x14ac:dyDescent="0.3">
      <c r="A1837" s="2">
        <v>1836</v>
      </c>
      <c r="B1837" s="3" t="s">
        <v>1844</v>
      </c>
      <c r="C1837" s="2" t="str">
        <f ca="1">IFERROR(__xludf.DUMMYFUNCTION("GOOGLETRANSLATE(B1837, ""en"",""es"")"),"principal")</f>
        <v>principal</v>
      </c>
      <c r="D1837" s="2" t="str">
        <f ca="1">IFERROR(__xludf.DUMMYFUNCTION("GOOGLETRANSLATE(B1837,""en"",""ig"")"),"prime")</f>
        <v>prime</v>
      </c>
      <c r="E1837" s="2" t="str">
        <f ca="1">IFERROR(__xludf.DUMMYFUNCTION("GOOGLETRANSLATE(B1837,""en"",""fr"")"),"prime")</f>
        <v>prime</v>
      </c>
      <c r="F1837" s="2" t="str">
        <f ca="1">IFERROR(__xludf.DUMMYFUNCTION("GOOGLETRANSLATE(B1837,""en"",""it"")"),"Prime")</f>
        <v>Prime</v>
      </c>
      <c r="G1837" s="2" t="str">
        <f ca="1">IFERROR(__xludf.DUMMYFUNCTION("GOOGLETRANSLATE(B1837,""en"",""de"")"),"Prime")</f>
        <v>Prime</v>
      </c>
      <c r="H1837" s="2" t="str">
        <f ca="1">IFERROR(__xludf.DUMMYFUNCTION("GOOGLETRANSLATE(B1837,""en"",""zh"")"),"主要的")</f>
        <v>主要的</v>
      </c>
      <c r="I1837" s="2" t="str">
        <f ca="1">IFERROR(__xludf.DUMMYFUNCTION("GOOGLETRANSLATE(B1837,""en"",""gd"")"),"Prime")</f>
        <v>Prime</v>
      </c>
    </row>
    <row r="1838" spans="1:9" ht="14.25" customHeight="1" x14ac:dyDescent="0.3">
      <c r="A1838" s="2">
        <v>1837</v>
      </c>
      <c r="B1838" s="3" t="s">
        <v>1845</v>
      </c>
      <c r="C1838" s="2" t="str">
        <f ca="1">IFERROR(__xludf.DUMMYFUNCTION("GOOGLETRANSLATE(B1838, ""en"",""es"")"),"cita")</f>
        <v>cita</v>
      </c>
      <c r="D1838" s="2" t="str">
        <f ca="1">IFERROR(__xludf.DUMMYFUNCTION("GOOGLETRANSLATE(B1838,""en"",""ig"")"),"oru")</f>
        <v>oru</v>
      </c>
      <c r="E1838" s="2" t="str">
        <f ca="1">IFERROR(__xludf.DUMMYFUNCTION("GOOGLETRANSLATE(B1838,""en"",""fr"")"),"rendez-vous")</f>
        <v>rendez-vous</v>
      </c>
      <c r="F1838" s="2" t="str">
        <f ca="1">IFERROR(__xludf.DUMMYFUNCTION("GOOGLETRANSLATE(B1838,""en"",""it"")"),"appuntamento")</f>
        <v>appuntamento</v>
      </c>
      <c r="G1838" s="2" t="str">
        <f ca="1">IFERROR(__xludf.DUMMYFUNCTION("GOOGLETRANSLATE(B1838,""en"",""de"")"),"Termin")</f>
        <v>Termin</v>
      </c>
      <c r="H1838" s="2" t="str">
        <f ca="1">IFERROR(__xludf.DUMMYFUNCTION("GOOGLETRANSLATE(B1838,""en"",""zh"")"),"预约")</f>
        <v>预约</v>
      </c>
      <c r="I1838" s="2" t="str">
        <f ca="1">IFERROR(__xludf.DUMMYFUNCTION("GOOGLETRANSLATE(B1838,""en"",""gd"")"),"Dreuchd")</f>
        <v>Dreuchd</v>
      </c>
    </row>
    <row r="1839" spans="1:9" ht="14.25" customHeight="1" x14ac:dyDescent="0.3">
      <c r="A1839" s="2">
        <v>1838</v>
      </c>
      <c r="B1839" s="3" t="s">
        <v>1846</v>
      </c>
      <c r="C1839" s="2" t="str">
        <f ca="1">IFERROR(__xludf.DUMMYFUNCTION("GOOGLETRANSLATE(B1839, ""en"",""es"")"),"enfatizar")</f>
        <v>enfatizar</v>
      </c>
      <c r="D1839" s="2" t="str">
        <f ca="1">IFERROR(__xludf.DUMMYFUNCTION("GOOGLETRANSLATE(B1839,""en"",""ig"")"),"ikwusi ike")</f>
        <v>ikwusi ike</v>
      </c>
      <c r="E1839" s="2" t="str">
        <f ca="1">IFERROR(__xludf.DUMMYFUNCTION("GOOGLETRANSLATE(B1839,""en"",""fr"")"),"souligner")</f>
        <v>souligner</v>
      </c>
      <c r="F1839" s="2" t="str">
        <f ca="1">IFERROR(__xludf.DUMMYFUNCTION("GOOGLETRANSLATE(B1839,""en"",""it"")"),"enfatizzare")</f>
        <v>enfatizzare</v>
      </c>
      <c r="G1839" s="2" t="str">
        <f ca="1">IFERROR(__xludf.DUMMYFUNCTION("GOOGLETRANSLATE(B1839,""en"",""de"")"),"betonen")</f>
        <v>betonen</v>
      </c>
      <c r="H1839" s="2" t="str">
        <f ca="1">IFERROR(__xludf.DUMMYFUNCTION("GOOGLETRANSLATE(B1839,""en"",""zh"")"),"强调")</f>
        <v>强调</v>
      </c>
      <c r="I1839" s="2" t="str">
        <f ca="1">IFERROR(__xludf.DUMMYFUNCTION("GOOGLETRANSLATE(B1839,""en"",""gd"")"),"Cuir cuideam air")</f>
        <v>Cuir cuideam air</v>
      </c>
    </row>
    <row r="1840" spans="1:9" ht="14.25" customHeight="1" x14ac:dyDescent="0.3">
      <c r="A1840" s="2">
        <v>1839</v>
      </c>
      <c r="B1840" s="3" t="s">
        <v>1847</v>
      </c>
      <c r="C1840" s="2" t="str">
        <f ca="1">IFERROR(__xludf.DUMMYFUNCTION("GOOGLETRANSLATE(B1840, ""en"",""es"")"),"máximo")</f>
        <v>máximo</v>
      </c>
      <c r="D1840" s="2" t="str">
        <f ca="1">IFERROR(__xludf.DUMMYFUNCTION("GOOGLETRANSLATE(B1840,""en"",""ig"")"),"nkacha")</f>
        <v>nkacha</v>
      </c>
      <c r="E1840" s="2" t="str">
        <f ca="1">IFERROR(__xludf.DUMMYFUNCTION("GOOGLETRANSLATE(B1840,""en"",""fr"")"),"maximum")</f>
        <v>maximum</v>
      </c>
      <c r="F1840" s="2" t="str">
        <f ca="1">IFERROR(__xludf.DUMMYFUNCTION("GOOGLETRANSLATE(B1840,""en"",""it"")"),"massimo")</f>
        <v>massimo</v>
      </c>
      <c r="G1840" s="2" t="str">
        <f ca="1">IFERROR(__xludf.DUMMYFUNCTION("GOOGLETRANSLATE(B1840,""en"",""de"")"),"maximal")</f>
        <v>maximal</v>
      </c>
      <c r="H1840" s="2" t="str">
        <f ca="1">IFERROR(__xludf.DUMMYFUNCTION("GOOGLETRANSLATE(B1840,""en"",""zh"")"),"最大限度")</f>
        <v>最大限度</v>
      </c>
      <c r="I1840" s="2" t="str">
        <f ca="1">IFERROR(__xludf.DUMMYFUNCTION("GOOGLETRANSLATE(B1840,""en"",""gd"")"),"as àirde")</f>
        <v>as àirde</v>
      </c>
    </row>
    <row r="1841" spans="1:9" ht="14.25" customHeight="1" x14ac:dyDescent="0.3">
      <c r="A1841" s="2">
        <v>1840</v>
      </c>
      <c r="B1841" s="3" t="s">
        <v>1848</v>
      </c>
      <c r="C1841" s="2" t="str">
        <f ca="1">IFERROR(__xludf.DUMMYFUNCTION("GOOGLETRANSLATE(B1841, ""en"",""es"")"),"efectivamente")</f>
        <v>efectivamente</v>
      </c>
      <c r="D1841" s="2" t="str">
        <f ca="1">IFERROR(__xludf.DUMMYFUNCTION("GOOGLETRANSLATE(B1841,""en"",""ig"")"),"nke kwere")</f>
        <v>nke kwere</v>
      </c>
      <c r="E1841" s="2" t="str">
        <f ca="1">IFERROR(__xludf.DUMMYFUNCTION("GOOGLETRANSLATE(B1841,""en"",""fr"")"),"effectivement")</f>
        <v>effectivement</v>
      </c>
      <c r="F1841" s="2" t="str">
        <f ca="1">IFERROR(__xludf.DUMMYFUNCTION("GOOGLETRANSLATE(B1841,""en"",""it"")"),"effettivamente")</f>
        <v>effettivamente</v>
      </c>
      <c r="G1841" s="2" t="str">
        <f ca="1">IFERROR(__xludf.DUMMYFUNCTION("GOOGLETRANSLATE(B1841,""en"",""de"")"),"effektiv")</f>
        <v>effektiv</v>
      </c>
      <c r="H1841" s="2" t="str">
        <f ca="1">IFERROR(__xludf.DUMMYFUNCTION("GOOGLETRANSLATE(B1841,""en"",""zh"")"),"有效地")</f>
        <v>有效地</v>
      </c>
      <c r="I1841" s="2" t="str">
        <f ca="1">IFERROR(__xludf.DUMMYFUNCTION("GOOGLETRANSLATE(B1841,""en"",""gd"")"),"gu h-èifeachdach")</f>
        <v>gu h-èifeachdach</v>
      </c>
    </row>
    <row r="1842" spans="1:9" ht="14.25" customHeight="1" x14ac:dyDescent="0.3">
      <c r="A1842" s="2">
        <v>1841</v>
      </c>
      <c r="B1842" s="3" t="s">
        <v>1849</v>
      </c>
      <c r="C1842" s="2" t="str">
        <f ca="1">IFERROR(__xludf.DUMMYFUNCTION("GOOGLETRANSLATE(B1842, ""en"",""es"")"),"en otra parte")</f>
        <v>en otra parte</v>
      </c>
      <c r="D1842" s="2" t="str">
        <f ca="1">IFERROR(__xludf.DUMMYFUNCTION("GOOGLETRANSLATE(B1842,""en"",""ig"")"),"ebe ozo")</f>
        <v>ebe ozo</v>
      </c>
      <c r="E1842" s="2" t="str">
        <f ca="1">IFERROR(__xludf.DUMMYFUNCTION("GOOGLETRANSLATE(B1842,""en"",""fr"")"),"autre part")</f>
        <v>autre part</v>
      </c>
      <c r="F1842" s="2" t="str">
        <f ca="1">IFERROR(__xludf.DUMMYFUNCTION("GOOGLETRANSLATE(B1842,""en"",""it"")"),"altrove")</f>
        <v>altrove</v>
      </c>
      <c r="G1842" s="2" t="str">
        <f ca="1">IFERROR(__xludf.DUMMYFUNCTION("GOOGLETRANSLATE(B1842,""en"",""de"")"),"anderswo")</f>
        <v>anderswo</v>
      </c>
      <c r="H1842" s="2" t="str">
        <f ca="1">IFERROR(__xludf.DUMMYFUNCTION("GOOGLETRANSLATE(B1842,""en"",""zh"")"),"别处")</f>
        <v>别处</v>
      </c>
      <c r="I1842" s="2" t="str">
        <f ca="1">IFERROR(__xludf.DUMMYFUNCTION("GOOGLETRANSLATE(B1842,""en"",""gd"")"),"An àite eile")</f>
        <v>An àite eile</v>
      </c>
    </row>
    <row r="1843" spans="1:9" ht="14.25" customHeight="1" x14ac:dyDescent="0.3">
      <c r="A1843" s="2">
        <v>1842</v>
      </c>
      <c r="B1843" s="3" t="s">
        <v>1850</v>
      </c>
      <c r="C1843" s="2" t="str">
        <f ca="1">IFERROR(__xludf.DUMMYFUNCTION("GOOGLETRANSLATE(B1843, ""en"",""es"")"),"molestar")</f>
        <v>molestar</v>
      </c>
      <c r="D1843" s="2" t="str">
        <f ca="1">IFERROR(__xludf.DUMMYFUNCTION("GOOGLETRANSLATE(B1843,""en"",""ig"")"),"inye nsogbu")</f>
        <v>inye nsogbu</v>
      </c>
      <c r="E1843" s="2" t="str">
        <f ca="1">IFERROR(__xludf.DUMMYFUNCTION("GOOGLETRANSLATE(B1843,""en"",""fr"")"),"déranger")</f>
        <v>déranger</v>
      </c>
      <c r="F1843" s="2" t="str">
        <f ca="1">IFERROR(__xludf.DUMMYFUNCTION("GOOGLETRANSLATE(B1843,""en"",""it"")"),"fastidio")</f>
        <v>fastidio</v>
      </c>
      <c r="G1843" s="2" t="str">
        <f ca="1">IFERROR(__xludf.DUMMYFUNCTION("GOOGLETRANSLATE(B1843,""en"",""de"")"),"sich kümmern")</f>
        <v>sich kümmern</v>
      </c>
      <c r="H1843" s="2" t="str">
        <f ca="1">IFERROR(__xludf.DUMMYFUNCTION("GOOGLETRANSLATE(B1843,""en"",""zh"")"),"打扰")</f>
        <v>打扰</v>
      </c>
      <c r="I1843" s="2" t="str">
        <f ca="1">IFERROR(__xludf.DUMMYFUNCTION("GOOGLETRANSLATE(B1843,""en"",""gd"")"),"bother")</f>
        <v>bother</v>
      </c>
    </row>
    <row r="1844" spans="1:9" ht="14.25" customHeight="1" x14ac:dyDescent="0.3">
      <c r="A1844" s="2">
        <v>1843</v>
      </c>
      <c r="B1844" s="3" t="s">
        <v>1851</v>
      </c>
      <c r="C1844" s="2" t="str">
        <f ca="1">IFERROR(__xludf.DUMMYFUNCTION("GOOGLETRANSLATE(B1844, ""en"",""es"")"),"iniciativa")</f>
        <v>iniciativa</v>
      </c>
      <c r="D1844" s="2" t="str">
        <f ca="1">IFERROR(__xludf.DUMMYFUNCTION("GOOGLETRANSLATE(B1844,""en"",""ig"")"),"igba")</f>
        <v>igba</v>
      </c>
      <c r="E1844" s="2" t="str">
        <f ca="1">IFERROR(__xludf.DUMMYFUNCTION("GOOGLETRANSLATE(B1844,""en"",""fr"")"),"initiative")</f>
        <v>initiative</v>
      </c>
      <c r="F1844" s="2" t="str">
        <f ca="1">IFERROR(__xludf.DUMMYFUNCTION("GOOGLETRANSLATE(B1844,""en"",""it"")"),"iniziativa")</f>
        <v>iniziativa</v>
      </c>
      <c r="G1844" s="2" t="str">
        <f ca="1">IFERROR(__xludf.DUMMYFUNCTION("GOOGLETRANSLATE(B1844,""en"",""de"")"),"Initiative")</f>
        <v>Initiative</v>
      </c>
      <c r="H1844" s="2" t="str">
        <f ca="1">IFERROR(__xludf.DUMMYFUNCTION("GOOGLETRANSLATE(B1844,""en"",""zh"")"),"倡议")</f>
        <v>倡议</v>
      </c>
      <c r="I1844" s="2" t="str">
        <f ca="1">IFERROR(__xludf.DUMMYFUNCTION("GOOGLETRANSLATE(B1844,""en"",""gd"")"),"Iomairt")</f>
        <v>Iomairt</v>
      </c>
    </row>
    <row r="1845" spans="1:9" ht="14.25" customHeight="1" x14ac:dyDescent="0.3">
      <c r="A1845" s="2">
        <v>1844</v>
      </c>
      <c r="B1845" s="3" t="s">
        <v>1852</v>
      </c>
      <c r="C1845" s="2" t="str">
        <f ca="1">IFERROR(__xludf.DUMMYFUNCTION("GOOGLETRANSLATE(B1845, ""en"",""es"")"),"afilado")</f>
        <v>afilado</v>
      </c>
      <c r="D1845" s="2" t="str">
        <f ca="1">IFERROR(__xludf.DUMMYFUNCTION("GOOGLETRANSLATE(B1845,""en"",""ig"")"),"nke dinko")</f>
        <v>nke dinko</v>
      </c>
      <c r="E1845" s="2" t="str">
        <f ca="1">IFERROR(__xludf.DUMMYFUNCTION("GOOGLETRANSLATE(B1845,""en"",""fr"")"),"pointu")</f>
        <v>pointu</v>
      </c>
      <c r="F1845" s="2" t="str">
        <f ca="1">IFERROR(__xludf.DUMMYFUNCTION("GOOGLETRANSLATE(B1845,""en"",""it"")"),"affilato")</f>
        <v>affilato</v>
      </c>
      <c r="G1845" s="2" t="str">
        <f ca="1">IFERROR(__xludf.DUMMYFUNCTION("GOOGLETRANSLATE(B1845,""en"",""de"")"),"scharf")</f>
        <v>scharf</v>
      </c>
      <c r="H1845" s="2" t="str">
        <f ca="1">IFERROR(__xludf.DUMMYFUNCTION("GOOGLETRANSLATE(B1845,""en"",""zh"")"),"锋利的")</f>
        <v>锋利的</v>
      </c>
      <c r="I1845" s="2" t="str">
        <f ca="1">IFERROR(__xludf.DUMMYFUNCTION("GOOGLETRANSLATE(B1845,""en"",""gd"")"),"biorach")</f>
        <v>biorach</v>
      </c>
    </row>
    <row r="1846" spans="1:9" ht="14.25" customHeight="1" x14ac:dyDescent="0.3">
      <c r="A1846" s="2">
        <v>1845</v>
      </c>
      <c r="B1846" s="3" t="s">
        <v>1853</v>
      </c>
      <c r="C1846" s="2" t="str">
        <f ca="1">IFERROR(__xludf.DUMMYFUNCTION("GOOGLETRANSLATE(B1846, ""en"",""es"")"),"dieta")</f>
        <v>dieta</v>
      </c>
      <c r="D1846" s="2" t="str">
        <f ca="1">IFERROR(__xludf.DUMMYFUNCTION("GOOGLETRANSLATE(B1846,""en"",""ig"")"),"nri")</f>
        <v>nri</v>
      </c>
      <c r="E1846" s="2" t="str">
        <f ca="1">IFERROR(__xludf.DUMMYFUNCTION("GOOGLETRANSLATE(B1846,""en"",""fr"")"),"régime")</f>
        <v>régime</v>
      </c>
      <c r="F1846" s="2" t="str">
        <f ca="1">IFERROR(__xludf.DUMMYFUNCTION("GOOGLETRANSLATE(B1846,""en"",""it"")"),"dieta")</f>
        <v>dieta</v>
      </c>
      <c r="G1846" s="2" t="str">
        <f ca="1">IFERROR(__xludf.DUMMYFUNCTION("GOOGLETRANSLATE(B1846,""en"",""de"")"),"Diät")</f>
        <v>Diät</v>
      </c>
      <c r="H1846" s="2" t="str">
        <f ca="1">IFERROR(__xludf.DUMMYFUNCTION("GOOGLETRANSLATE(B1846,""en"",""zh"")"),"饮食")</f>
        <v>饮食</v>
      </c>
      <c r="I1846" s="2" t="str">
        <f ca="1">IFERROR(__xludf.DUMMYFUNCTION("GOOGLETRANSLATE(B1846,""en"",""gd"")"),"daithead")</f>
        <v>daithead</v>
      </c>
    </row>
    <row r="1847" spans="1:9" ht="14.25" customHeight="1" x14ac:dyDescent="0.3">
      <c r="A1847" s="2">
        <v>1846</v>
      </c>
      <c r="B1847" s="3" t="s">
        <v>1854</v>
      </c>
      <c r="C1847" s="2" t="str">
        <f ca="1">IFERROR(__xludf.DUMMYFUNCTION("GOOGLETRANSLATE(B1847, ""en"",""es"")"),"movimiento")</f>
        <v>movimiento</v>
      </c>
      <c r="D1847" s="2" t="str">
        <f ca="1">IFERROR(__xludf.DUMMYFUNCTION("GOOGLETRANSLATE(B1847,""en"",""ig"")"),"ukporo")</f>
        <v>ukporo</v>
      </c>
      <c r="E1847" s="2" t="str">
        <f ca="1">IFERROR(__xludf.DUMMYFUNCTION("GOOGLETRANSLATE(B1847,""en"",""fr"")"),"mouvement")</f>
        <v>mouvement</v>
      </c>
      <c r="F1847" s="2" t="str">
        <f ca="1">IFERROR(__xludf.DUMMYFUNCTION("GOOGLETRANSLATE(B1847,""en"",""it"")"),"movimento")</f>
        <v>movimento</v>
      </c>
      <c r="G1847" s="2" t="str">
        <f ca="1">IFERROR(__xludf.DUMMYFUNCTION("GOOGLETRANSLATE(B1847,""en"",""de"")"),"Bewegung")</f>
        <v>Bewegung</v>
      </c>
      <c r="H1847" s="2" t="str">
        <f ca="1">IFERROR(__xludf.DUMMYFUNCTION("GOOGLETRANSLATE(B1847,""en"",""zh"")"),"运动")</f>
        <v>运动</v>
      </c>
      <c r="I1847" s="2" t="str">
        <f ca="1">IFERROR(__xludf.DUMMYFUNCTION("GOOGLETRANSLATE(B1847,""en"",""gd"")"),"Gluasad")</f>
        <v>Gluasad</v>
      </c>
    </row>
    <row r="1848" spans="1:9" ht="14.25" customHeight="1" x14ac:dyDescent="0.3">
      <c r="A1848" s="2">
        <v>1847</v>
      </c>
      <c r="B1848" s="3" t="s">
        <v>1855</v>
      </c>
      <c r="C1848" s="2" t="str">
        <f ca="1">IFERROR(__xludf.DUMMYFUNCTION("GOOGLETRANSLATE(B1848, ""en"",""es"")"),"gris")</f>
        <v>gris</v>
      </c>
      <c r="D1848" s="2" t="str">
        <f ca="1">IFERROR(__xludf.DUMMYFUNCTION("GOOGLETRANSLATE(B1848,""en"",""ig"")"),"awo")</f>
        <v>awo</v>
      </c>
      <c r="E1848" s="2" t="str">
        <f ca="1">IFERROR(__xludf.DUMMYFUNCTION("GOOGLETRANSLATE(B1848,""en"",""fr"")"),"gris")</f>
        <v>gris</v>
      </c>
      <c r="F1848" s="2" t="str">
        <f ca="1">IFERROR(__xludf.DUMMYFUNCTION("GOOGLETRANSLATE(B1848,""en"",""it"")"),"grigio")</f>
        <v>grigio</v>
      </c>
      <c r="G1848" s="2" t="str">
        <f ca="1">IFERROR(__xludf.DUMMYFUNCTION("GOOGLETRANSLATE(B1848,""en"",""de"")"),"grau")</f>
        <v>grau</v>
      </c>
      <c r="H1848" s="2" t="str">
        <f ca="1">IFERROR(__xludf.DUMMYFUNCTION("GOOGLETRANSLATE(B1848,""en"",""zh"")"),"灰色的")</f>
        <v>灰色的</v>
      </c>
      <c r="I1848" s="2" t="str">
        <f ca="1">IFERROR(__xludf.DUMMYFUNCTION("GOOGLETRANSLATE(B1848,""en"",""gd"")"),"glas")</f>
        <v>glas</v>
      </c>
    </row>
    <row r="1849" spans="1:9" ht="14.25" customHeight="1" x14ac:dyDescent="0.3">
      <c r="A1849" s="2">
        <v>1848</v>
      </c>
      <c r="B1849" s="3" t="s">
        <v>1856</v>
      </c>
      <c r="C1849" s="2" t="str">
        <f ca="1">IFERROR(__xludf.DUMMYFUNCTION("GOOGLETRANSLATE(B1849, ""en"",""es"")"),"el plastico")</f>
        <v>el plastico</v>
      </c>
      <c r="D1849" s="2" t="str">
        <f ca="1">IFERROR(__xludf.DUMMYFUNCTION("GOOGLETRANSLATE(B1849,""en"",""ig"")"),"plasitiki")</f>
        <v>plasitiki</v>
      </c>
      <c r="E1849" s="2" t="str">
        <f ca="1">IFERROR(__xludf.DUMMYFUNCTION("GOOGLETRANSLATE(B1849,""en"",""fr"")"),"Plastique")</f>
        <v>Plastique</v>
      </c>
      <c r="F1849" s="2" t="str">
        <f ca="1">IFERROR(__xludf.DUMMYFUNCTION("GOOGLETRANSLATE(B1849,""en"",""it"")"),"plastica")</f>
        <v>plastica</v>
      </c>
      <c r="G1849" s="2" t="str">
        <f ca="1">IFERROR(__xludf.DUMMYFUNCTION("GOOGLETRANSLATE(B1849,""en"",""de"")"),"Plastik")</f>
        <v>Plastik</v>
      </c>
      <c r="H1849" s="2" t="str">
        <f ca="1">IFERROR(__xludf.DUMMYFUNCTION("GOOGLETRANSLATE(B1849,""en"",""zh"")"),"塑料")</f>
        <v>塑料</v>
      </c>
      <c r="I1849" s="2" t="str">
        <f ca="1">IFERROR(__xludf.DUMMYFUNCTION("GOOGLETRANSLATE(B1849,""en"",""gd"")"),"plastaig")</f>
        <v>plastaig</v>
      </c>
    </row>
    <row r="1850" spans="1:9" ht="14.25" customHeight="1" x14ac:dyDescent="0.3">
      <c r="A1850" s="2">
        <v>1849</v>
      </c>
      <c r="B1850" s="3" t="s">
        <v>1857</v>
      </c>
      <c r="C1850" s="2" t="str">
        <f ca="1">IFERROR(__xludf.DUMMYFUNCTION("GOOGLETRANSLATE(B1850, ""en"",""es"")"),"complicar")</f>
        <v>complicar</v>
      </c>
      <c r="D1850" s="2" t="str">
        <f ca="1">IFERROR(__xludf.DUMMYFUNCTION("GOOGLETRANSLATE(B1850,""en"",""ig"")"),"ihikosi")</f>
        <v>ihikosi</v>
      </c>
      <c r="E1850" s="2" t="str">
        <f ca="1">IFERROR(__xludf.DUMMYFUNCTION("GOOGLETRANSLATE(B1850,""en"",""fr"")"),"compliquer")</f>
        <v>compliquer</v>
      </c>
      <c r="F1850" s="2" t="str">
        <f ca="1">IFERROR(__xludf.DUMMYFUNCTION("GOOGLETRANSLATE(B1850,""en"",""it"")"),"complicato")</f>
        <v>complicato</v>
      </c>
      <c r="G1850" s="2" t="str">
        <f ca="1">IFERROR(__xludf.DUMMYFUNCTION("GOOGLETRANSLATE(B1850,""en"",""de"")"),"komplizieren")</f>
        <v>komplizieren</v>
      </c>
      <c r="H1850" s="2" t="str">
        <f ca="1">IFERROR(__xludf.DUMMYFUNCTION("GOOGLETRANSLATE(B1850,""en"",""zh"")"),"复杂")</f>
        <v>复杂</v>
      </c>
      <c r="I1850" s="2" t="str">
        <f ca="1">IFERROR(__xludf.DUMMYFUNCTION("GOOGLETRANSLATE(B1850,""en"",""gd"")"),"iom-fhillte")</f>
        <v>iom-fhillte</v>
      </c>
    </row>
    <row r="1851" spans="1:9" ht="14.25" customHeight="1" x14ac:dyDescent="0.3">
      <c r="A1851" s="2">
        <v>1850</v>
      </c>
      <c r="B1851" s="3" t="s">
        <v>1858</v>
      </c>
      <c r="C1851" s="2" t="str">
        <f ca="1">IFERROR(__xludf.DUMMYFUNCTION("GOOGLETRANSLATE(B1851, ""en"",""es"")"),"disciplina")</f>
        <v>disciplina</v>
      </c>
      <c r="D1851" s="2" t="str">
        <f ca="1">IFERROR(__xludf.DUMMYFUNCTION("GOOGLETRANSLATE(B1851,""en"",""ig"")"),"ozuzu")</f>
        <v>ozuzu</v>
      </c>
      <c r="E1851" s="2" t="str">
        <f ca="1">IFERROR(__xludf.DUMMYFUNCTION("GOOGLETRANSLATE(B1851,""en"",""fr"")"),"discipline")</f>
        <v>discipline</v>
      </c>
      <c r="F1851" s="2" t="str">
        <f ca="1">IFERROR(__xludf.DUMMYFUNCTION("GOOGLETRANSLATE(B1851,""en"",""it"")"),"disciplina")</f>
        <v>disciplina</v>
      </c>
      <c r="G1851" s="2" t="str">
        <f ca="1">IFERROR(__xludf.DUMMYFUNCTION("GOOGLETRANSLATE(B1851,""en"",""de"")"),"Disziplin")</f>
        <v>Disziplin</v>
      </c>
      <c r="H1851" s="2" t="str">
        <f ca="1">IFERROR(__xludf.DUMMYFUNCTION("GOOGLETRANSLATE(B1851,""en"",""zh"")"),"纪律")</f>
        <v>纪律</v>
      </c>
      <c r="I1851" s="2" t="str">
        <f ca="1">IFERROR(__xludf.DUMMYFUNCTION("GOOGLETRANSLATE(B1851,""en"",""gd"")"),"smachd")</f>
        <v>smachd</v>
      </c>
    </row>
    <row r="1852" spans="1:9" ht="14.25" customHeight="1" x14ac:dyDescent="0.3">
      <c r="A1852" s="2">
        <v>1851</v>
      </c>
      <c r="B1852" s="3" t="s">
        <v>1859</v>
      </c>
      <c r="C1852" s="2" t="str">
        <f ca="1">IFERROR(__xludf.DUMMYFUNCTION("GOOGLETRANSLATE(B1852, ""en"",""es"")"),"decepcionar")</f>
        <v>decepcionar</v>
      </c>
      <c r="D1852" s="2" t="str">
        <f ca="1">IFERROR(__xludf.DUMMYFUNCTION("GOOGLETRANSLATE(B1852,""en"",""ig"")"),"idisapointi")</f>
        <v>idisapointi</v>
      </c>
      <c r="E1852" s="2" t="str">
        <f ca="1">IFERROR(__xludf.DUMMYFUNCTION("GOOGLETRANSLATE(B1852,""en"",""fr"")"),"décevoir")</f>
        <v>décevoir</v>
      </c>
      <c r="F1852" s="2" t="str">
        <f ca="1">IFERROR(__xludf.DUMMYFUNCTION("GOOGLETRANSLATE(B1852,""en"",""it"")"),"deludere")</f>
        <v>deludere</v>
      </c>
      <c r="G1852" s="2" t="str">
        <f ca="1">IFERROR(__xludf.DUMMYFUNCTION("GOOGLETRANSLATE(B1852,""en"",""de"")"),"enttäuschen")</f>
        <v>enttäuschen</v>
      </c>
      <c r="H1852" s="2" t="str">
        <f ca="1">IFERROR(__xludf.DUMMYFUNCTION("GOOGLETRANSLATE(B1852,""en"",""zh"")"),"辜负")</f>
        <v>辜负</v>
      </c>
      <c r="I1852" s="2" t="str">
        <f ca="1">IFERROR(__xludf.DUMMYFUNCTION("GOOGLETRANSLATE(B1852,""en"",""gd"")"),"briseadh-dùil")</f>
        <v>briseadh-dùil</v>
      </c>
    </row>
    <row r="1853" spans="1:9" ht="14.25" customHeight="1" x14ac:dyDescent="0.3">
      <c r="A1853" s="2">
        <v>1852</v>
      </c>
      <c r="B1853" s="3" t="s">
        <v>1860</v>
      </c>
      <c r="C1853" s="2" t="str">
        <f ca="1">IFERROR(__xludf.DUMMYFUNCTION("GOOGLETRANSLATE(B1853, ""en"",""es"")"),"jefe")</f>
        <v>jefe</v>
      </c>
      <c r="D1853" s="2" t="str">
        <f ca="1">IFERROR(__xludf.DUMMYFUNCTION("GOOGLETRANSLATE(B1853,""en"",""ig"")"),"onyeisi")</f>
        <v>onyeisi</v>
      </c>
      <c r="E1853" s="2" t="str">
        <f ca="1">IFERROR(__xludf.DUMMYFUNCTION("GOOGLETRANSLATE(B1853,""en"",""fr"")"),"chef")</f>
        <v>chef</v>
      </c>
      <c r="F1853" s="2" t="str">
        <f ca="1">IFERROR(__xludf.DUMMYFUNCTION("GOOGLETRANSLATE(B1853,""en"",""it"")"),"capo")</f>
        <v>capo</v>
      </c>
      <c r="G1853" s="2" t="str">
        <f ca="1">IFERROR(__xludf.DUMMYFUNCTION("GOOGLETRANSLATE(B1853,""en"",""de"")"),"Chef")</f>
        <v>Chef</v>
      </c>
      <c r="H1853" s="2" t="str">
        <f ca="1">IFERROR(__xludf.DUMMYFUNCTION("GOOGLETRANSLATE(B1853,""en"",""zh"")"),"老板")</f>
        <v>老板</v>
      </c>
      <c r="I1853" s="2" t="str">
        <f ca="1">IFERROR(__xludf.DUMMYFUNCTION("GOOGLETRANSLATE(B1853,""en"",""gd"")"),"ceannard")</f>
        <v>ceannard</v>
      </c>
    </row>
    <row r="1854" spans="1:9" ht="14.25" customHeight="1" x14ac:dyDescent="0.3">
      <c r="A1854" s="2">
        <v>1853</v>
      </c>
      <c r="B1854" s="3" t="s">
        <v>1861</v>
      </c>
      <c r="C1854" s="2" t="str">
        <f ca="1">IFERROR(__xludf.DUMMYFUNCTION("GOOGLETRANSLATE(B1854, ""en"",""es"")"),"suposición")</f>
        <v>suposición</v>
      </c>
      <c r="D1854" s="2" t="str">
        <f ca="1">IFERROR(__xludf.DUMMYFUNCTION("GOOGLETRANSLATE(B1854,""en"",""ig"")"),"mwere")</f>
        <v>mwere</v>
      </c>
      <c r="E1854" s="2" t="str">
        <f ca="1">IFERROR(__xludf.DUMMYFUNCTION("GOOGLETRANSLATE(B1854,""en"",""fr"")"),"hypothèse")</f>
        <v>hypothèse</v>
      </c>
      <c r="F1854" s="2" t="str">
        <f ca="1">IFERROR(__xludf.DUMMYFUNCTION("GOOGLETRANSLATE(B1854,""en"",""it"")"),"assunzione")</f>
        <v>assunzione</v>
      </c>
      <c r="G1854" s="2" t="str">
        <f ca="1">IFERROR(__xludf.DUMMYFUNCTION("GOOGLETRANSLATE(B1854,""en"",""de"")"),"Annahme")</f>
        <v>Annahme</v>
      </c>
      <c r="H1854" s="2" t="str">
        <f ca="1">IFERROR(__xludf.DUMMYFUNCTION("GOOGLETRANSLATE(B1854,""en"",""zh"")"),"假设")</f>
        <v>假设</v>
      </c>
      <c r="I1854" s="2" t="str">
        <f ca="1">IFERROR(__xludf.DUMMYFUNCTION("GOOGLETRANSLATE(B1854,""en"",""gd"")"),"barail")</f>
        <v>barail</v>
      </c>
    </row>
    <row r="1855" spans="1:9" ht="14.25" customHeight="1" x14ac:dyDescent="0.3">
      <c r="A1855" s="2">
        <v>1854</v>
      </c>
      <c r="B1855" s="3" t="s">
        <v>1862</v>
      </c>
      <c r="C1855" s="2" t="str">
        <f ca="1">IFERROR(__xludf.DUMMYFUNCTION("GOOGLETRANSLATE(B1855, ""en"",""es"")"),"congelar")</f>
        <v>congelar</v>
      </c>
      <c r="D1855" s="2" t="str">
        <f ca="1">IFERROR(__xludf.DUMMYFUNCTION("GOOGLETRANSLATE(B1855,""en"",""ig"")"),"ifriizi")</f>
        <v>ifriizi</v>
      </c>
      <c r="E1855" s="2" t="str">
        <f ca="1">IFERROR(__xludf.DUMMYFUNCTION("GOOGLETRANSLATE(B1855,""en"",""fr"")"),"geler")</f>
        <v>geler</v>
      </c>
      <c r="F1855" s="2" t="str">
        <f ca="1">IFERROR(__xludf.DUMMYFUNCTION("GOOGLETRANSLATE(B1855,""en"",""it"")"),"congelare")</f>
        <v>congelare</v>
      </c>
      <c r="G1855" s="2" t="str">
        <f ca="1">IFERROR(__xludf.DUMMYFUNCTION("GOOGLETRANSLATE(B1855,""en"",""de"")"),"einfrieren")</f>
        <v>einfrieren</v>
      </c>
      <c r="H1855" s="2" t="str">
        <f ca="1">IFERROR(__xludf.DUMMYFUNCTION("GOOGLETRANSLATE(B1855,""en"",""zh"")"),"冻结")</f>
        <v>冻结</v>
      </c>
      <c r="I1855" s="2" t="str">
        <f ca="1">IFERROR(__xludf.DUMMYFUNCTION("GOOGLETRANSLATE(B1855,""en"",""gd"")"),"reothadh")</f>
        <v>reothadh</v>
      </c>
    </row>
    <row r="1856" spans="1:9" ht="14.25" customHeight="1" x14ac:dyDescent="0.3">
      <c r="A1856" s="2">
        <v>1855</v>
      </c>
      <c r="B1856" s="3" t="s">
        <v>1863</v>
      </c>
      <c r="C1856" s="2" t="str">
        <f ca="1">IFERROR(__xludf.DUMMYFUNCTION("GOOGLETRANSLATE(B1856, ""en"",""es"")"),"extremo")</f>
        <v>extremo</v>
      </c>
      <c r="D1856" s="2" t="str">
        <f ca="1">IFERROR(__xludf.DUMMYFUNCTION("GOOGLETRANSLATE(B1856,""en"",""ig"")"),"mgwucha")</f>
        <v>mgwucha</v>
      </c>
      <c r="E1856" s="2" t="str">
        <f ca="1">IFERROR(__xludf.DUMMYFUNCTION("GOOGLETRANSLATE(B1856,""en"",""fr"")"),"extrême")</f>
        <v>extrême</v>
      </c>
      <c r="F1856" s="2" t="str">
        <f ca="1">IFERROR(__xludf.DUMMYFUNCTION("GOOGLETRANSLATE(B1856,""en"",""it"")"),"estremo")</f>
        <v>estremo</v>
      </c>
      <c r="G1856" s="2" t="str">
        <f ca="1">IFERROR(__xludf.DUMMYFUNCTION("GOOGLETRANSLATE(B1856,""en"",""de"")"),"extrem")</f>
        <v>extrem</v>
      </c>
      <c r="H1856" s="2" t="str">
        <f ca="1">IFERROR(__xludf.DUMMYFUNCTION("GOOGLETRANSLATE(B1856,""en"",""zh"")"),"极端")</f>
        <v>极端</v>
      </c>
      <c r="I1856" s="2" t="str">
        <f ca="1">IFERROR(__xludf.DUMMYFUNCTION("GOOGLETRANSLATE(B1856,""en"",""gd"")"),"fìor")</f>
        <v>fìor</v>
      </c>
    </row>
    <row r="1857" spans="1:9" ht="14.25" customHeight="1" x14ac:dyDescent="0.3">
      <c r="A1857" s="2">
        <v>1856</v>
      </c>
      <c r="B1857" s="3" t="s">
        <v>1864</v>
      </c>
      <c r="C1857" s="2" t="str">
        <f ca="1">IFERROR(__xludf.DUMMYFUNCTION("GOOGLETRANSLATE(B1857, ""en"",""es"")"),"paso")</f>
        <v>paso</v>
      </c>
      <c r="D1857" s="2" t="str">
        <f ca="1">IFERROR(__xludf.DUMMYFUNCTION("GOOGLETRANSLATE(B1857,""en"",""ig"")"),"onuuzo")</f>
        <v>onuuzo</v>
      </c>
      <c r="E1857" s="2" t="str">
        <f ca="1">IFERROR(__xludf.DUMMYFUNCTION("GOOGLETRANSLATE(B1857,""en"",""fr"")"),"passage")</f>
        <v>passage</v>
      </c>
      <c r="F1857" s="2" t="str">
        <f ca="1">IFERROR(__xludf.DUMMYFUNCTION("GOOGLETRANSLATE(B1857,""en"",""it"")"),"passaggio")</f>
        <v>passaggio</v>
      </c>
      <c r="G1857" s="2" t="str">
        <f ca="1">IFERROR(__xludf.DUMMYFUNCTION("GOOGLETRANSLATE(B1857,""en"",""de"")"),"Passage")</f>
        <v>Passage</v>
      </c>
      <c r="H1857" s="2" t="str">
        <f ca="1">IFERROR(__xludf.DUMMYFUNCTION("GOOGLETRANSLATE(B1857,""en"",""zh"")"),"通道")</f>
        <v>通道</v>
      </c>
      <c r="I1857" s="2" t="str">
        <f ca="1">IFERROR(__xludf.DUMMYFUNCTION("GOOGLETRANSLATE(B1857,""en"",""gd"")"),"trannsa")</f>
        <v>trannsa</v>
      </c>
    </row>
    <row r="1858" spans="1:9" ht="14.25" customHeight="1" x14ac:dyDescent="0.3">
      <c r="A1858" s="2">
        <v>1857</v>
      </c>
      <c r="B1858" s="3" t="s">
        <v>1865</v>
      </c>
      <c r="C1858" s="2" t="str">
        <f ca="1">IFERROR(__xludf.DUMMYFUNCTION("GOOGLETRANSLATE(B1858, ""en"",""es"")"),"reputación")</f>
        <v>reputación</v>
      </c>
      <c r="D1858" s="2" t="str">
        <f ca="1">IFERROR(__xludf.DUMMYFUNCTION("GOOGLETRANSLATE(B1858,""en"",""ig"")"),"onodu")</f>
        <v>onodu</v>
      </c>
      <c r="E1858" s="2" t="str">
        <f ca="1">IFERROR(__xludf.DUMMYFUNCTION("GOOGLETRANSLATE(B1858,""en"",""fr"")"),"réputation")</f>
        <v>réputation</v>
      </c>
      <c r="F1858" s="2" t="str">
        <f ca="1">IFERROR(__xludf.DUMMYFUNCTION("GOOGLETRANSLATE(B1858,""en"",""it"")"),"reputazione")</f>
        <v>reputazione</v>
      </c>
      <c r="G1858" s="2" t="str">
        <f ca="1">IFERROR(__xludf.DUMMYFUNCTION("GOOGLETRANSLATE(B1858,""en"",""de"")"),"Ruf")</f>
        <v>Ruf</v>
      </c>
      <c r="H1858" s="2" t="str">
        <f ca="1">IFERROR(__xludf.DUMMYFUNCTION("GOOGLETRANSLATE(B1858,""en"",""zh"")"),"名声")</f>
        <v>名声</v>
      </c>
      <c r="I1858" s="2" t="str">
        <f ca="1">IFERROR(__xludf.DUMMYFUNCTION("GOOGLETRANSLATE(B1858,""en"",""gd"")"),"cliù")</f>
        <v>cliù</v>
      </c>
    </row>
    <row r="1859" spans="1:9" ht="14.25" customHeight="1" x14ac:dyDescent="0.3">
      <c r="A1859" s="2">
        <v>1858</v>
      </c>
      <c r="B1859" s="3" t="s">
        <v>1866</v>
      </c>
      <c r="C1859" s="2" t="str">
        <f ca="1">IFERROR(__xludf.DUMMYFUNCTION("GOOGLETRANSLATE(B1859, ""en"",""es"")"),"adelante")</f>
        <v>adelante</v>
      </c>
      <c r="D1859" s="2" t="str">
        <f ca="1">IFERROR(__xludf.DUMMYFUNCTION("GOOGLETRANSLATE(B1859,""en"",""ig"")"),"pụta")</f>
        <v>pụta</v>
      </c>
      <c r="E1859" s="2" t="str">
        <f ca="1">IFERROR(__xludf.DUMMYFUNCTION("GOOGLETRANSLATE(B1859,""en"",""fr"")"),"en avant")</f>
        <v>en avant</v>
      </c>
      <c r="F1859" s="2" t="str">
        <f ca="1">IFERROR(__xludf.DUMMYFUNCTION("GOOGLETRANSLATE(B1859,""en"",""it"")"),"via")</f>
        <v>via</v>
      </c>
      <c r="G1859" s="2" t="str">
        <f ca="1">IFERROR(__xludf.DUMMYFUNCTION("GOOGLETRANSLATE(B1859,""en"",""de"")"),"weiter")</f>
        <v>weiter</v>
      </c>
      <c r="H1859" s="2" t="str">
        <f ca="1">IFERROR(__xludf.DUMMYFUNCTION("GOOGLETRANSLATE(B1859,""en"",""zh"")"),"向前")</f>
        <v>向前</v>
      </c>
      <c r="I1859" s="2" t="str">
        <f ca="1">IFERROR(__xludf.DUMMYFUNCTION("GOOGLETRANSLATE(B1859,""en"",""gd"")"),"air aoir")</f>
        <v>air aoir</v>
      </c>
    </row>
    <row r="1860" spans="1:9" ht="14.25" customHeight="1" x14ac:dyDescent="0.3">
      <c r="A1860" s="2">
        <v>1859</v>
      </c>
      <c r="B1860" s="3" t="s">
        <v>1867</v>
      </c>
      <c r="C1860" s="2" t="str">
        <f ca="1">IFERROR(__xludf.DUMMYFUNCTION("GOOGLETRANSLATE(B1860, ""en"",""es"")"),"negociación")</f>
        <v>negociación</v>
      </c>
      <c r="D1860" s="2" t="str">
        <f ca="1">IFERROR(__xludf.DUMMYFUNCTION("GOOGLETRANSLATE(B1860,""en"",""ig"")"),"mkpakorita")</f>
        <v>mkpakorita</v>
      </c>
      <c r="E1860" s="2" t="str">
        <f ca="1">IFERROR(__xludf.DUMMYFUNCTION("GOOGLETRANSLATE(B1860,""en"",""fr"")"),"négociation")</f>
        <v>négociation</v>
      </c>
      <c r="F1860" s="2" t="str">
        <f ca="1">IFERROR(__xludf.DUMMYFUNCTION("GOOGLETRANSLATE(B1860,""en"",""it"")"),"negoziazione")</f>
        <v>negoziazione</v>
      </c>
      <c r="G1860" s="2" t="str">
        <f ca="1">IFERROR(__xludf.DUMMYFUNCTION("GOOGLETRANSLATE(B1860,""en"",""de"")"),"Verhandlung")</f>
        <v>Verhandlung</v>
      </c>
      <c r="H1860" s="2" t="str">
        <f ca="1">IFERROR(__xludf.DUMMYFUNCTION("GOOGLETRANSLATE(B1860,""en"",""zh"")"),"谈判")</f>
        <v>谈判</v>
      </c>
      <c r="I1860" s="2" t="str">
        <f ca="1">IFERROR(__xludf.DUMMYFUNCTION("GOOGLETRANSLATE(B1860,""en"",""gd"")"),"Co-rèiteachadh")</f>
        <v>Co-rèiteachadh</v>
      </c>
    </row>
    <row r="1861" spans="1:9" ht="14.25" customHeight="1" x14ac:dyDescent="0.3">
      <c r="A1861" s="2">
        <v>1860</v>
      </c>
      <c r="B1861" s="3" t="s">
        <v>1868</v>
      </c>
      <c r="C1861" s="2" t="str">
        <f ca="1">IFERROR(__xludf.DUMMYFUNCTION("GOOGLETRANSLATE(B1861, ""en"",""es"")"),"mecanismo")</f>
        <v>mecanismo</v>
      </c>
      <c r="D1861" s="2" t="str">
        <f ca="1">IFERROR(__xludf.DUMMYFUNCTION("GOOGLETRANSLATE(B1861,""en"",""ig"")"),"usoro")</f>
        <v>usoro</v>
      </c>
      <c r="E1861" s="2" t="str">
        <f ca="1">IFERROR(__xludf.DUMMYFUNCTION("GOOGLETRANSLATE(B1861,""en"",""fr"")"),"mécanisme")</f>
        <v>mécanisme</v>
      </c>
      <c r="F1861" s="2" t="str">
        <f ca="1">IFERROR(__xludf.DUMMYFUNCTION("GOOGLETRANSLATE(B1861,""en"",""it"")"),"meccanismo")</f>
        <v>meccanismo</v>
      </c>
      <c r="G1861" s="2" t="str">
        <f ca="1">IFERROR(__xludf.DUMMYFUNCTION("GOOGLETRANSLATE(B1861,""en"",""de"")"),"Mechanismus")</f>
        <v>Mechanismus</v>
      </c>
      <c r="H1861" s="2" t="str">
        <f ca="1">IFERROR(__xludf.DUMMYFUNCTION("GOOGLETRANSLATE(B1861,""en"",""zh"")"),"机制")</f>
        <v>机制</v>
      </c>
      <c r="I1861" s="2" t="str">
        <f ca="1">IFERROR(__xludf.DUMMYFUNCTION("GOOGLETRANSLATE(B1861,""en"",""gd"")"),"uidheamachd")</f>
        <v>uidheamachd</v>
      </c>
    </row>
    <row r="1862" spans="1:9" ht="14.25" customHeight="1" x14ac:dyDescent="0.3">
      <c r="A1862" s="2">
        <v>1861</v>
      </c>
      <c r="B1862" s="3" t="s">
        <v>1869</v>
      </c>
      <c r="C1862" s="2" t="str">
        <f ca="1">IFERROR(__xludf.DUMMYFUNCTION("GOOGLETRANSLATE(B1862, ""en"",""es"")"),"abrigo")</f>
        <v>abrigo</v>
      </c>
      <c r="D1862" s="2" t="str">
        <f ca="1">IFERROR(__xludf.DUMMYFUNCTION("GOOGLETRANSLATE(B1862,""en"",""ig"")"),"ahuanu")</f>
        <v>ahuanu</v>
      </c>
      <c r="E1862" s="2" t="str">
        <f ca="1">IFERROR(__xludf.DUMMYFUNCTION("GOOGLETRANSLATE(B1862,""en"",""fr"")"),"manteau")</f>
        <v>manteau</v>
      </c>
      <c r="F1862" s="2" t="str">
        <f ca="1">IFERROR(__xludf.DUMMYFUNCTION("GOOGLETRANSLATE(B1862,""en"",""it"")"),"cappotto")</f>
        <v>cappotto</v>
      </c>
      <c r="G1862" s="2" t="str">
        <f ca="1">IFERROR(__xludf.DUMMYFUNCTION("GOOGLETRANSLATE(B1862,""en"",""de"")"),"Mantel")</f>
        <v>Mantel</v>
      </c>
      <c r="H1862" s="2" t="str">
        <f ca="1">IFERROR(__xludf.DUMMYFUNCTION("GOOGLETRANSLATE(B1862,""en"",""zh"")"),"外套")</f>
        <v>外套</v>
      </c>
      <c r="I1862" s="2" t="str">
        <f ca="1">IFERROR(__xludf.DUMMYFUNCTION("GOOGLETRANSLATE(B1862,""en"",""gd"")"),"còta")</f>
        <v>còta</v>
      </c>
    </row>
    <row r="1863" spans="1:9" ht="14.25" customHeight="1" x14ac:dyDescent="0.3">
      <c r="A1863" s="2">
        <v>1862</v>
      </c>
      <c r="B1863" s="3" t="s">
        <v>1870</v>
      </c>
      <c r="C1863" s="2" t="str">
        <f ca="1">IFERROR(__xludf.DUMMYFUNCTION("GOOGLETRANSLATE(B1863, ""en"",""es"")"),"democracia")</f>
        <v>democracia</v>
      </c>
      <c r="D1863" s="2" t="str">
        <f ca="1">IFERROR(__xludf.DUMMYFUNCTION("GOOGLETRANSLATE(B1863,""en"",""ig"")"),"ochi di nkiti")</f>
        <v>ochi di nkiti</v>
      </c>
      <c r="E1863" s="2" t="str">
        <f ca="1">IFERROR(__xludf.DUMMYFUNCTION("GOOGLETRANSLATE(B1863,""en"",""fr"")"),"démocratie")</f>
        <v>démocratie</v>
      </c>
      <c r="F1863" s="2" t="str">
        <f ca="1">IFERROR(__xludf.DUMMYFUNCTION("GOOGLETRANSLATE(B1863,""en"",""it"")"),"democrazia")</f>
        <v>democrazia</v>
      </c>
      <c r="G1863" s="2" t="str">
        <f ca="1">IFERROR(__xludf.DUMMYFUNCTION("GOOGLETRANSLATE(B1863,""en"",""de"")"),"Demokratie")</f>
        <v>Demokratie</v>
      </c>
      <c r="H1863" s="2" t="str">
        <f ca="1">IFERROR(__xludf.DUMMYFUNCTION("GOOGLETRANSLATE(B1863,""en"",""zh"")"),"民主")</f>
        <v>民主</v>
      </c>
      <c r="I1863" s="2" t="str">
        <f ca="1">IFERROR(__xludf.DUMMYFUNCTION("GOOGLETRANSLATE(B1863,""en"",""gd"")"),"Deamocrasaidh")</f>
        <v>Deamocrasaidh</v>
      </c>
    </row>
    <row r="1864" spans="1:9" ht="14.25" customHeight="1" x14ac:dyDescent="0.3">
      <c r="A1864" s="2">
        <v>1863</v>
      </c>
      <c r="B1864" s="3" t="s">
        <v>1871</v>
      </c>
      <c r="C1864" s="2" t="str">
        <f ca="1">IFERROR(__xludf.DUMMYFUNCTION("GOOGLETRANSLATE(B1864, ""en"",""es"")"),"bolsillo")</f>
        <v>bolsillo</v>
      </c>
      <c r="D1864" s="2" t="str">
        <f ca="1">IFERROR(__xludf.DUMMYFUNCTION("GOOGLETRANSLATE(B1864,""en"",""ig"")"),"akpa efe")</f>
        <v>akpa efe</v>
      </c>
      <c r="E1864" s="2" t="str">
        <f ca="1">IFERROR(__xludf.DUMMYFUNCTION("GOOGLETRANSLATE(B1864,""en"",""fr"")"),"poche")</f>
        <v>poche</v>
      </c>
      <c r="F1864" s="2" t="str">
        <f ca="1">IFERROR(__xludf.DUMMYFUNCTION("GOOGLETRANSLATE(B1864,""en"",""it"")"),"tasca")</f>
        <v>tasca</v>
      </c>
      <c r="G1864" s="2" t="str">
        <f ca="1">IFERROR(__xludf.DUMMYFUNCTION("GOOGLETRANSLATE(B1864,""en"",""de"")"),"Tasche")</f>
        <v>Tasche</v>
      </c>
      <c r="H1864" s="2" t="str">
        <f ca="1">IFERROR(__xludf.DUMMYFUNCTION("GOOGLETRANSLATE(B1864,""en"",""zh"")"),"口袋")</f>
        <v>口袋</v>
      </c>
      <c r="I1864" s="2" t="str">
        <f ca="1">IFERROR(__xludf.DUMMYFUNCTION("GOOGLETRANSLATE(B1864,""en"",""gd"")"),"pòcaid")</f>
        <v>pòcaid</v>
      </c>
    </row>
    <row r="1865" spans="1:9" ht="14.25" customHeight="1" x14ac:dyDescent="0.3">
      <c r="A1865" s="2">
        <v>1864</v>
      </c>
      <c r="B1865" s="3" t="s">
        <v>1872</v>
      </c>
      <c r="C1865" s="2" t="str">
        <f ca="1">IFERROR(__xludf.DUMMYFUNCTION("GOOGLETRANSLATE(B1865, ""en"",""es"")"),"afortunado")</f>
        <v>afortunado</v>
      </c>
      <c r="D1865" s="2" t="str">
        <f ca="1">IFERROR(__xludf.DUMMYFUNCTION("GOOGLETRANSLATE(B1865,""en"",""ig"")"),"kechioma")</f>
        <v>kechioma</v>
      </c>
      <c r="E1865" s="2" t="str">
        <f ca="1">IFERROR(__xludf.DUMMYFUNCTION("GOOGLETRANSLATE(B1865,""en"",""fr"")"),"chanceux")</f>
        <v>chanceux</v>
      </c>
      <c r="F1865" s="2" t="str">
        <f ca="1">IFERROR(__xludf.DUMMYFUNCTION("GOOGLETRANSLATE(B1865,""en"",""it"")"),"fortunato")</f>
        <v>fortunato</v>
      </c>
      <c r="G1865" s="2" t="str">
        <f ca="1">IFERROR(__xludf.DUMMYFUNCTION("GOOGLETRANSLATE(B1865,""en"",""de"")"),"glücklich")</f>
        <v>glücklich</v>
      </c>
      <c r="H1865" s="2" t="str">
        <f ca="1">IFERROR(__xludf.DUMMYFUNCTION("GOOGLETRANSLATE(B1865,""en"",""zh"")"),"幸运的")</f>
        <v>幸运的</v>
      </c>
      <c r="I1865" s="2" t="str">
        <f ca="1">IFERROR(__xludf.DUMMYFUNCTION("GOOGLETRANSLATE(B1865,""en"",""gd"")"),"fortanach")</f>
        <v>fortanach</v>
      </c>
    </row>
    <row r="1866" spans="1:9" ht="14.25" customHeight="1" x14ac:dyDescent="0.3">
      <c r="A1866" s="2">
        <v>1865</v>
      </c>
      <c r="B1866" s="3" t="s">
        <v>1873</v>
      </c>
      <c r="C1866" s="2" t="str">
        <f ca="1">IFERROR(__xludf.DUMMYFUNCTION("GOOGLETRANSLATE(B1866, ""en"",""es"")"),"chocar")</f>
        <v>chocar</v>
      </c>
      <c r="D1866" s="2" t="str">
        <f ca="1">IFERROR(__xludf.DUMMYFUNCTION("GOOGLETRANSLATE(B1866,""en"",""ig"")"),"okuku")</f>
        <v>okuku</v>
      </c>
      <c r="E1866" s="2" t="str">
        <f ca="1">IFERROR(__xludf.DUMMYFUNCTION("GOOGLETRANSLATE(B1866,""en"",""fr"")"),"accident")</f>
        <v>accident</v>
      </c>
      <c r="F1866" s="2" t="str">
        <f ca="1">IFERROR(__xludf.DUMMYFUNCTION("GOOGLETRANSLATE(B1866,""en"",""it"")"),"incidente")</f>
        <v>incidente</v>
      </c>
      <c r="G1866" s="2" t="str">
        <f ca="1">IFERROR(__xludf.DUMMYFUNCTION("GOOGLETRANSLATE(B1866,""en"",""de"")"),"Absturz")</f>
        <v>Absturz</v>
      </c>
      <c r="H1866" s="2" t="str">
        <f ca="1">IFERROR(__xludf.DUMMYFUNCTION("GOOGLETRANSLATE(B1866,""en"",""zh"")"),"碰撞")</f>
        <v>碰撞</v>
      </c>
      <c r="I1866" s="2" t="str">
        <f ca="1">IFERROR(__xludf.DUMMYFUNCTION("GOOGLETRANSLATE(B1866,""en"",""gd"")"),"tubaist")</f>
        <v>tubaist</v>
      </c>
    </row>
    <row r="1867" spans="1:9" ht="14.25" customHeight="1" x14ac:dyDescent="0.3">
      <c r="A1867" s="2">
        <v>1866</v>
      </c>
      <c r="B1867" s="3" t="s">
        <v>1874</v>
      </c>
      <c r="C1867" s="2" t="str">
        <f ca="1">IFERROR(__xludf.DUMMYFUNCTION("GOOGLETRANSLATE(B1867, ""en"",""es"")"),"observación")</f>
        <v>observación</v>
      </c>
      <c r="D1867" s="2" t="str">
        <f ca="1">IFERROR(__xludf.DUMMYFUNCTION("GOOGLETRANSLATE(B1867,""en"",""ig"")"),"nleruanya")</f>
        <v>nleruanya</v>
      </c>
      <c r="E1867" s="2" t="str">
        <f ca="1">IFERROR(__xludf.DUMMYFUNCTION("GOOGLETRANSLATE(B1867,""en"",""fr"")"),"observation")</f>
        <v>observation</v>
      </c>
      <c r="F1867" s="2" t="str">
        <f ca="1">IFERROR(__xludf.DUMMYFUNCTION("GOOGLETRANSLATE(B1867,""en"",""it"")"),"osservazione")</f>
        <v>osservazione</v>
      </c>
      <c r="G1867" s="2" t="str">
        <f ca="1">IFERROR(__xludf.DUMMYFUNCTION("GOOGLETRANSLATE(B1867,""en"",""de"")"),"Überwachung")</f>
        <v>Überwachung</v>
      </c>
      <c r="H1867" s="2" t="str">
        <f ca="1">IFERROR(__xludf.DUMMYFUNCTION("GOOGLETRANSLATE(B1867,""en"",""zh"")"),"观察")</f>
        <v>观察</v>
      </c>
      <c r="I1867" s="2" t="str">
        <f ca="1">IFERROR(__xludf.DUMMYFUNCTION("GOOGLETRANSLATE(B1867,""en"",""gd"")"),"amharc")</f>
        <v>amharc</v>
      </c>
    </row>
    <row r="1868" spans="1:9" ht="14.25" customHeight="1" x14ac:dyDescent="0.3">
      <c r="A1868" s="2">
        <v>1867</v>
      </c>
      <c r="B1868" s="3" t="s">
        <v>1875</v>
      </c>
      <c r="C1868" s="2" t="str">
        <f ca="1">IFERROR(__xludf.DUMMYFUNCTION("GOOGLETRANSLATE(B1868, ""en"",""es"")"),"carne")</f>
        <v>carne</v>
      </c>
      <c r="D1868" s="2" t="str">
        <f ca="1">IFERROR(__xludf.DUMMYFUNCTION("GOOGLETRANSLATE(B1868,""en"",""ig"")"),"anu anu")</f>
        <v>anu anu</v>
      </c>
      <c r="E1868" s="2" t="str">
        <f ca="1">IFERROR(__xludf.DUMMYFUNCTION("GOOGLETRANSLATE(B1868,""en"",""fr"")"),"viande")</f>
        <v>viande</v>
      </c>
      <c r="F1868" s="2" t="str">
        <f ca="1">IFERROR(__xludf.DUMMYFUNCTION("GOOGLETRANSLATE(B1868,""en"",""it"")"),"carne")</f>
        <v>carne</v>
      </c>
      <c r="G1868" s="2" t="str">
        <f ca="1">IFERROR(__xludf.DUMMYFUNCTION("GOOGLETRANSLATE(B1868,""en"",""de"")"),"Fleisch")</f>
        <v>Fleisch</v>
      </c>
      <c r="H1868" s="2" t="str">
        <f ca="1">IFERROR(__xludf.DUMMYFUNCTION("GOOGLETRANSLATE(B1868,""en"",""zh"")"),"肉")</f>
        <v>肉</v>
      </c>
      <c r="I1868" s="2" t="str">
        <f ca="1">IFERROR(__xludf.DUMMYFUNCTION("GOOGLETRANSLATE(B1868,""en"",""gd"")"),"feòil")</f>
        <v>feòil</v>
      </c>
    </row>
    <row r="1869" spans="1:9" ht="14.25" customHeight="1" x14ac:dyDescent="0.3">
      <c r="A1869" s="2">
        <v>1868</v>
      </c>
      <c r="B1869" s="3" t="s">
        <v>1876</v>
      </c>
      <c r="C1869" s="2" t="str">
        <f ca="1">IFERROR(__xludf.DUMMYFUNCTION("GOOGLETRANSLATE(B1869, ""en"",""es"")"),"concentración")</f>
        <v>concentración</v>
      </c>
      <c r="D1869" s="2" t="str">
        <f ca="1">IFERROR(__xludf.DUMMYFUNCTION("GOOGLETRANSLATE(B1869,""en"",""ig"")"),"ntinye echiche")</f>
        <v>ntinye echiche</v>
      </c>
      <c r="E1869" s="2" t="str">
        <f ca="1">IFERROR(__xludf.DUMMYFUNCTION("GOOGLETRANSLATE(B1869,""en"",""fr"")"),"concentration")</f>
        <v>concentration</v>
      </c>
      <c r="F1869" s="2" t="str">
        <f ca="1">IFERROR(__xludf.DUMMYFUNCTION("GOOGLETRANSLATE(B1869,""en"",""it"")"),"concentrazione")</f>
        <v>concentrazione</v>
      </c>
      <c r="G1869" s="2" t="str">
        <f ca="1">IFERROR(__xludf.DUMMYFUNCTION("GOOGLETRANSLATE(B1869,""en"",""de"")"),"Konzentration")</f>
        <v>Konzentration</v>
      </c>
      <c r="H1869" s="2" t="str">
        <f ca="1">IFERROR(__xludf.DUMMYFUNCTION("GOOGLETRANSLATE(B1869,""en"",""zh"")"),"专注")</f>
        <v>专注</v>
      </c>
      <c r="I1869" s="2" t="str">
        <f ca="1">IFERROR(__xludf.DUMMYFUNCTION("GOOGLETRANSLATE(B1869,""en"",""gd"")"),"dùmhlachd")</f>
        <v>dùmhlachd</v>
      </c>
    </row>
    <row r="1870" spans="1:9" ht="14.25" customHeight="1" x14ac:dyDescent="0.3">
      <c r="A1870" s="2">
        <v>1869</v>
      </c>
      <c r="B1870" s="3" t="s">
        <v>1877</v>
      </c>
      <c r="C1870" s="2" t="str">
        <f ca="1">IFERROR(__xludf.DUMMYFUNCTION("GOOGLETRANSLATE(B1870, ""en"",""es"")"),"implicación")</f>
        <v>implicación</v>
      </c>
      <c r="D1870" s="2" t="str">
        <f ca="1">IFERROR(__xludf.DUMMYFUNCTION("GOOGLETRANSLATE(B1870,""en"",""ig"")"),"imeputa")</f>
        <v>imeputa</v>
      </c>
      <c r="E1870" s="2" t="str">
        <f ca="1">IFERROR(__xludf.DUMMYFUNCTION("GOOGLETRANSLATE(B1870,""en"",""fr"")"),"implication")</f>
        <v>implication</v>
      </c>
      <c r="F1870" s="2" t="str">
        <f ca="1">IFERROR(__xludf.DUMMYFUNCTION("GOOGLETRANSLATE(B1870,""en"",""it"")"),"coinvolgimento")</f>
        <v>coinvolgimento</v>
      </c>
      <c r="G1870" s="2" t="str">
        <f ca="1">IFERROR(__xludf.DUMMYFUNCTION("GOOGLETRANSLATE(B1870,""en"",""de"")"),"Implikation")</f>
        <v>Implikation</v>
      </c>
      <c r="H1870" s="2" t="str">
        <f ca="1">IFERROR(__xludf.DUMMYFUNCTION("GOOGLETRANSLATE(B1870,""en"",""zh"")"),"含义")</f>
        <v>含义</v>
      </c>
      <c r="I1870" s="2" t="str">
        <f ca="1">IFERROR(__xludf.DUMMYFUNCTION("GOOGLETRANSLATE(B1870,""en"",""gd"")"),"Buadhair")</f>
        <v>Buadhair</v>
      </c>
    </row>
    <row r="1871" spans="1:9" ht="14.25" customHeight="1" x14ac:dyDescent="0.3">
      <c r="A1871" s="2">
        <v>1870</v>
      </c>
      <c r="B1871" s="3" t="s">
        <v>1878</v>
      </c>
      <c r="C1871" s="2" t="str">
        <f ca="1">IFERROR(__xludf.DUMMYFUNCTION("GOOGLETRANSLATE(B1871, ""en"",""es"")"),"merecer")</f>
        <v>merecer</v>
      </c>
      <c r="D1871" s="2" t="str">
        <f ca="1">IFERROR(__xludf.DUMMYFUNCTION("GOOGLETRANSLATE(B1871,""en"",""ig"")"),"ikwesi")</f>
        <v>ikwesi</v>
      </c>
      <c r="E1871" s="2" t="str">
        <f ca="1">IFERROR(__xludf.DUMMYFUNCTION("GOOGLETRANSLATE(B1871,""en"",""fr"")"),"mériter")</f>
        <v>mériter</v>
      </c>
      <c r="F1871" s="2" t="str">
        <f ca="1">IFERROR(__xludf.DUMMYFUNCTION("GOOGLETRANSLATE(B1871,""en"",""it"")"),"meritare")</f>
        <v>meritare</v>
      </c>
      <c r="G1871" s="2" t="str">
        <f ca="1">IFERROR(__xludf.DUMMYFUNCTION("GOOGLETRANSLATE(B1871,""en"",""de"")"),"verdienen")</f>
        <v>verdienen</v>
      </c>
      <c r="H1871" s="2" t="str">
        <f ca="1">IFERROR(__xludf.DUMMYFUNCTION("GOOGLETRANSLATE(B1871,""en"",""zh"")"),"应得")</f>
        <v>应得</v>
      </c>
      <c r="I1871" s="2" t="str">
        <f ca="1">IFERROR(__xludf.DUMMYFUNCTION("GOOGLETRANSLATE(B1871,""en"",""gd"")"),"airidh air")</f>
        <v>airidh air</v>
      </c>
    </row>
    <row r="1872" spans="1:9" ht="14.25" customHeight="1" x14ac:dyDescent="0.3">
      <c r="A1872" s="2">
        <v>1871</v>
      </c>
      <c r="B1872" s="3" t="s">
        <v>1879</v>
      </c>
      <c r="C1872" s="2" t="str">
        <f ca="1">IFERROR(__xludf.DUMMYFUNCTION("GOOGLETRANSLATE(B1872, ""en"",""es"")"),"inusual")</f>
        <v>inusual</v>
      </c>
      <c r="D1872" s="2" t="str">
        <f ca="1">IFERROR(__xludf.DUMMYFUNCTION("GOOGLETRANSLATE(B1872,""en"",""ig"")"),"ebughieme")</f>
        <v>ebughieme</v>
      </c>
      <c r="E1872" s="2" t="str">
        <f ca="1">IFERROR(__xludf.DUMMYFUNCTION("GOOGLETRANSLATE(B1872,""en"",""fr"")"),"inhabituel")</f>
        <v>inhabituel</v>
      </c>
      <c r="F1872" s="2" t="str">
        <f ca="1">IFERROR(__xludf.DUMMYFUNCTION("GOOGLETRANSLATE(B1872,""en"",""it"")"),"insolito")</f>
        <v>insolito</v>
      </c>
      <c r="G1872" s="2" t="str">
        <f ca="1">IFERROR(__xludf.DUMMYFUNCTION("GOOGLETRANSLATE(B1872,""en"",""de"")"),"ungewöhnlich")</f>
        <v>ungewöhnlich</v>
      </c>
      <c r="H1872" s="2" t="str">
        <f ca="1">IFERROR(__xludf.DUMMYFUNCTION("GOOGLETRANSLATE(B1872,""en"",""zh"")"),"异常")</f>
        <v>异常</v>
      </c>
      <c r="I1872" s="2" t="str">
        <f ca="1">IFERROR(__xludf.DUMMYFUNCTION("GOOGLETRANSLATE(B1872,""en"",""gd"")"),"neo-àbhaisteach")</f>
        <v>neo-àbhaisteach</v>
      </c>
    </row>
    <row r="1873" spans="1:9" ht="14.25" customHeight="1" x14ac:dyDescent="0.3">
      <c r="A1873" s="2">
        <v>1872</v>
      </c>
      <c r="B1873" s="3" t="s">
        <v>1880</v>
      </c>
      <c r="C1873" s="2" t="str">
        <f ca="1">IFERROR(__xludf.DUMMYFUNCTION("GOOGLETRANSLATE(B1873, ""en"",""es"")"),"defender")</f>
        <v>defender</v>
      </c>
      <c r="D1873" s="2" t="str">
        <f ca="1">IFERROR(__xludf.DUMMYFUNCTION("GOOGLETRANSLATE(B1873,""en"",""ig"")"),"ize eze")</f>
        <v>ize eze</v>
      </c>
      <c r="E1873" s="2" t="str">
        <f ca="1">IFERROR(__xludf.DUMMYFUNCTION("GOOGLETRANSLATE(B1873,""en"",""fr"")"),"défendre")</f>
        <v>défendre</v>
      </c>
      <c r="F1873" s="2" t="str">
        <f ca="1">IFERROR(__xludf.DUMMYFUNCTION("GOOGLETRANSLATE(B1873,""en"",""it"")"),"difendere")</f>
        <v>difendere</v>
      </c>
      <c r="G1873" s="2" t="str">
        <f ca="1">IFERROR(__xludf.DUMMYFUNCTION("GOOGLETRANSLATE(B1873,""en"",""de"")"),"verteidigen")</f>
        <v>verteidigen</v>
      </c>
      <c r="H1873" s="2" t="str">
        <f ca="1">IFERROR(__xludf.DUMMYFUNCTION("GOOGLETRANSLATE(B1873,""en"",""zh"")"),"保卫")</f>
        <v>保卫</v>
      </c>
      <c r="I1873" s="2" t="str">
        <f ca="1">IFERROR(__xludf.DUMMYFUNCTION("GOOGLETRANSLATE(B1873,""en"",""gd"")"),"dìon")</f>
        <v>dìon</v>
      </c>
    </row>
    <row r="1874" spans="1:9" ht="14.25" customHeight="1" x14ac:dyDescent="0.3">
      <c r="A1874" s="2">
        <v>1873</v>
      </c>
      <c r="B1874" s="3" t="s">
        <v>1881</v>
      </c>
      <c r="C1874" s="2" t="str">
        <f ca="1">IFERROR(__xludf.DUMMYFUNCTION("GOOGLETRANSLATE(B1874, ""en"",""es"")"),"clásico")</f>
        <v>clásico</v>
      </c>
      <c r="D1874" s="2" t="str">
        <f ca="1">IFERROR(__xludf.DUMMYFUNCTION("GOOGLETRANSLATE(B1874,""en"",""ig"")"),"asị")</f>
        <v>asị</v>
      </c>
      <c r="E1874" s="2" t="str">
        <f ca="1">IFERROR(__xludf.DUMMYFUNCTION("GOOGLETRANSLATE(B1874,""en"",""fr"")"),"classique")</f>
        <v>classique</v>
      </c>
      <c r="F1874" s="2" t="str">
        <f ca="1">IFERROR(__xludf.DUMMYFUNCTION("GOOGLETRANSLATE(B1874,""en"",""it"")"),"classico")</f>
        <v>classico</v>
      </c>
      <c r="G1874" s="2" t="str">
        <f ca="1">IFERROR(__xludf.DUMMYFUNCTION("GOOGLETRANSLATE(B1874,""en"",""de"")"),"klassisch")</f>
        <v>klassisch</v>
      </c>
      <c r="H1874" s="2" t="str">
        <f ca="1">IFERROR(__xludf.DUMMYFUNCTION("GOOGLETRANSLATE(B1874,""en"",""zh"")"),"经典的")</f>
        <v>经典的</v>
      </c>
      <c r="I1874" s="2" t="str">
        <f ca="1">IFERROR(__xludf.DUMMYFUNCTION("GOOGLETRANSLATE(B1874,""en"",""gd"")"),"clasaig")</f>
        <v>clasaig</v>
      </c>
    </row>
    <row r="1875" spans="1:9" ht="14.25" customHeight="1" x14ac:dyDescent="0.3">
      <c r="A1875" s="2">
        <v>1874</v>
      </c>
      <c r="B1875" s="3" t="s">
        <v>1882</v>
      </c>
      <c r="C1875" s="2" t="str">
        <f ca="1">IFERROR(__xludf.DUMMYFUNCTION("GOOGLETRANSLATE(B1875, ""en"",""es"")"),"rey")</f>
        <v>rey</v>
      </c>
      <c r="D1875" s="2" t="str">
        <f ca="1">IFERROR(__xludf.DUMMYFUNCTION("GOOGLETRANSLATE(B1875,""en"",""ig"")"),"eze")</f>
        <v>eze</v>
      </c>
      <c r="E1875" s="2" t="str">
        <f ca="1">IFERROR(__xludf.DUMMYFUNCTION("GOOGLETRANSLATE(B1875,""en"",""fr"")"),"roi")</f>
        <v>roi</v>
      </c>
      <c r="F1875" s="2" t="str">
        <f ca="1">IFERROR(__xludf.DUMMYFUNCTION("GOOGLETRANSLATE(B1875,""en"",""it"")"),"re")</f>
        <v>re</v>
      </c>
      <c r="G1875" s="2" t="str">
        <f ca="1">IFERROR(__xludf.DUMMYFUNCTION("GOOGLETRANSLATE(B1875,""en"",""de"")"),"König")</f>
        <v>König</v>
      </c>
      <c r="H1875" s="2" t="str">
        <f ca="1">IFERROR(__xludf.DUMMYFUNCTION("GOOGLETRANSLATE(B1875,""en"",""zh"")"),"国王")</f>
        <v>国王</v>
      </c>
      <c r="I1875" s="2" t="str">
        <f ca="1">IFERROR(__xludf.DUMMYFUNCTION("GOOGLETRANSLATE(B1875,""en"",""gd"")"),"rìgh")</f>
        <v>rìgh</v>
      </c>
    </row>
    <row r="1876" spans="1:9" ht="14.25" customHeight="1" x14ac:dyDescent="0.3">
      <c r="A1876" s="2">
        <v>1875</v>
      </c>
      <c r="B1876" s="3" t="s">
        <v>1883</v>
      </c>
      <c r="C1876" s="2" t="str">
        <f ca="1">IFERROR(__xludf.DUMMYFUNCTION("GOOGLETRANSLATE(B1876, ""en"",""es"")"),"interacción")</f>
        <v>interacción</v>
      </c>
      <c r="D1876" s="2" t="str">
        <f ca="1">IFERROR(__xludf.DUMMYFUNCTION("GOOGLETRANSLATE(B1876,""en"",""ig"")"),"nkukoria uka")</f>
        <v>nkukoria uka</v>
      </c>
      <c r="E1876" s="2" t="str">
        <f ca="1">IFERROR(__xludf.DUMMYFUNCTION("GOOGLETRANSLATE(B1876,""en"",""fr"")"),"interaction")</f>
        <v>interaction</v>
      </c>
      <c r="F1876" s="2" t="str">
        <f ca="1">IFERROR(__xludf.DUMMYFUNCTION("GOOGLETRANSLATE(B1876,""en"",""it"")"),"interazione")</f>
        <v>interazione</v>
      </c>
      <c r="G1876" s="2" t="str">
        <f ca="1">IFERROR(__xludf.DUMMYFUNCTION("GOOGLETRANSLATE(B1876,""en"",""de"")"),"Interaktion")</f>
        <v>Interaktion</v>
      </c>
      <c r="H1876" s="2" t="str">
        <f ca="1">IFERROR(__xludf.DUMMYFUNCTION("GOOGLETRANSLATE(B1876,""en"",""zh"")"),"相互作用")</f>
        <v>相互作用</v>
      </c>
      <c r="I1876" s="2" t="str">
        <f ca="1">IFERROR(__xludf.DUMMYFUNCTION("GOOGLETRANSLATE(B1876,""en"",""gd"")"),"Eadar-obrachadh")</f>
        <v>Eadar-obrachadh</v>
      </c>
    </row>
    <row r="1877" spans="1:9" ht="14.25" customHeight="1" x14ac:dyDescent="0.3">
      <c r="A1877" s="2">
        <v>1876</v>
      </c>
      <c r="B1877" s="3" t="s">
        <v>1884</v>
      </c>
      <c r="C1877" s="2" t="str">
        <f ca="1">IFERROR(__xludf.DUMMYFUNCTION("GOOGLETRANSLATE(B1877, ""en"",""es"")"),"reparar")</f>
        <v>reparar</v>
      </c>
      <c r="D1877" s="2" t="str">
        <f ca="1">IFERROR(__xludf.DUMMYFUNCTION("GOOGLETRANSLATE(B1877,""en"",""ig"")"),"ndozi")</f>
        <v>ndozi</v>
      </c>
      <c r="E1877" s="2" t="str">
        <f ca="1">IFERROR(__xludf.DUMMYFUNCTION("GOOGLETRANSLATE(B1877,""en"",""fr"")"),"réparation")</f>
        <v>réparation</v>
      </c>
      <c r="F1877" s="2" t="str">
        <f ca="1">IFERROR(__xludf.DUMMYFUNCTION("GOOGLETRANSLATE(B1877,""en"",""it"")"),"riparazione")</f>
        <v>riparazione</v>
      </c>
      <c r="G1877" s="2" t="str">
        <f ca="1">IFERROR(__xludf.DUMMYFUNCTION("GOOGLETRANSLATE(B1877,""en"",""de"")"),"Reparatur")</f>
        <v>Reparatur</v>
      </c>
      <c r="H1877" s="2" t="str">
        <f ca="1">IFERROR(__xludf.DUMMYFUNCTION("GOOGLETRANSLATE(B1877,""en"",""zh"")"),"维修")</f>
        <v>维修</v>
      </c>
      <c r="I1877" s="2" t="str">
        <f ca="1">IFERROR(__xludf.DUMMYFUNCTION("GOOGLETRANSLATE(B1877,""en"",""gd"")"),"càradh")</f>
        <v>càradh</v>
      </c>
    </row>
    <row r="1878" spans="1:9" ht="14.25" customHeight="1" x14ac:dyDescent="0.3">
      <c r="A1878" s="2">
        <v>1877</v>
      </c>
      <c r="B1878" s="3" t="s">
        <v>1885</v>
      </c>
      <c r="C1878" s="2" t="str">
        <f ca="1">IFERROR(__xludf.DUMMYFUNCTION("GOOGLETRANSLATE(B1878, ""en"",""es"")"),"colapsar")</f>
        <v>colapsar</v>
      </c>
      <c r="D1878" s="2" t="str">
        <f ca="1">IFERROR(__xludf.DUMMYFUNCTION("GOOGLETRANSLATE(B1878,""en"",""ig"")"),"ida")</f>
        <v>ida</v>
      </c>
      <c r="E1878" s="2" t="str">
        <f ca="1">IFERROR(__xludf.DUMMYFUNCTION("GOOGLETRANSLATE(B1878,""en"",""fr"")"),"effondrement")</f>
        <v>effondrement</v>
      </c>
      <c r="F1878" s="2" t="str">
        <f ca="1">IFERROR(__xludf.DUMMYFUNCTION("GOOGLETRANSLATE(B1878,""en"",""it"")"),"crollo")</f>
        <v>crollo</v>
      </c>
      <c r="G1878" s="2" t="str">
        <f ca="1">IFERROR(__xludf.DUMMYFUNCTION("GOOGLETRANSLATE(B1878,""en"",""de"")"),"Zusammenbruch")</f>
        <v>Zusammenbruch</v>
      </c>
      <c r="H1878" s="2" t="str">
        <f ca="1">IFERROR(__xludf.DUMMYFUNCTION("GOOGLETRANSLATE(B1878,""en"",""zh"")"),"坍塌")</f>
        <v>坍塌</v>
      </c>
      <c r="I1878" s="2" t="str">
        <f ca="1">IFERROR(__xludf.DUMMYFUNCTION("GOOGLETRANSLATE(B1878,""en"",""gd"")"),"tuiteam")</f>
        <v>tuiteam</v>
      </c>
    </row>
    <row r="1879" spans="1:9" ht="14.25" customHeight="1" x14ac:dyDescent="0.3">
      <c r="A1879" s="2">
        <v>1878</v>
      </c>
      <c r="B1879" s="3" t="s">
        <v>1886</v>
      </c>
      <c r="C1879" s="2" t="str">
        <f ca="1">IFERROR(__xludf.DUMMYFUNCTION("GOOGLETRANSLATE(B1879, ""en"",""es"")"),"pedir prestado")</f>
        <v>pedir prestado</v>
      </c>
      <c r="D1879" s="2" t="str">
        <f ca="1">IFERROR(__xludf.DUMMYFUNCTION("GOOGLETRANSLATE(B1879,""en"",""ig"")"),"ibiri")</f>
        <v>ibiri</v>
      </c>
      <c r="E1879" s="2" t="str">
        <f ca="1">IFERROR(__xludf.DUMMYFUNCTION("GOOGLETRANSLATE(B1879,""en"",""fr"")"),"emprunter")</f>
        <v>emprunter</v>
      </c>
      <c r="F1879" s="2" t="str">
        <f ca="1">IFERROR(__xludf.DUMMYFUNCTION("GOOGLETRANSLATE(B1879,""en"",""it"")"),"prestito")</f>
        <v>prestito</v>
      </c>
      <c r="G1879" s="2" t="str">
        <f ca="1">IFERROR(__xludf.DUMMYFUNCTION("GOOGLETRANSLATE(B1879,""en"",""de"")"),"ausleihen")</f>
        <v>ausleihen</v>
      </c>
      <c r="H1879" s="2" t="str">
        <f ca="1">IFERROR(__xludf.DUMMYFUNCTION("GOOGLETRANSLATE(B1879,""en"",""zh"")"),"借")</f>
        <v>借</v>
      </c>
      <c r="I1879" s="2" t="str">
        <f ca="1">IFERROR(__xludf.DUMMYFUNCTION("GOOGLETRANSLATE(B1879,""en"",""gd"")"),"iasad")</f>
        <v>iasad</v>
      </c>
    </row>
    <row r="1880" spans="1:9" ht="14.25" customHeight="1" x14ac:dyDescent="0.3">
      <c r="A1880" s="2">
        <v>1879</v>
      </c>
      <c r="B1880" s="3" t="s">
        <v>1887</v>
      </c>
      <c r="C1880" s="2" t="str">
        <f ca="1">IFERROR(__xludf.DUMMYFUNCTION("GOOGLETRANSLATE(B1880, ""en"",""es"")"),"fundamental")</f>
        <v>fundamental</v>
      </c>
      <c r="D1880" s="2" t="str">
        <f ca="1">IFERROR(__xludf.DUMMYFUNCTION("GOOGLETRANSLATE(B1880,""en"",""ig"")"),"kedimkpa")</f>
        <v>kedimkpa</v>
      </c>
      <c r="E1880" s="2" t="str">
        <f ca="1">IFERROR(__xludf.DUMMYFUNCTION("GOOGLETRANSLATE(B1880,""en"",""fr"")"),"fondamental")</f>
        <v>fondamental</v>
      </c>
      <c r="F1880" s="2" t="str">
        <f ca="1">IFERROR(__xludf.DUMMYFUNCTION("GOOGLETRANSLATE(B1880,""en"",""it"")"),"fondamentale")</f>
        <v>fondamentale</v>
      </c>
      <c r="G1880" s="2" t="str">
        <f ca="1">IFERROR(__xludf.DUMMYFUNCTION("GOOGLETRANSLATE(B1880,""en"",""de"")"),"grundlegend")</f>
        <v>grundlegend</v>
      </c>
      <c r="H1880" s="2" t="str">
        <f ca="1">IFERROR(__xludf.DUMMYFUNCTION("GOOGLETRANSLATE(B1880,""en"",""zh"")"),"基本的")</f>
        <v>基本的</v>
      </c>
      <c r="I1880" s="2" t="str">
        <f ca="1">IFERROR(__xludf.DUMMYFUNCTION("GOOGLETRANSLATE(B1880,""en"",""gd"")"),"bunait")</f>
        <v>bunait</v>
      </c>
    </row>
    <row r="1881" spans="1:9" ht="14.25" customHeight="1" x14ac:dyDescent="0.3">
      <c r="A1881" s="2">
        <v>1880</v>
      </c>
      <c r="B1881" s="3" t="s">
        <v>1888</v>
      </c>
      <c r="C1881" s="2" t="str">
        <f ca="1">IFERROR(__xludf.DUMMYFUNCTION("GOOGLETRANSLATE(B1881, ""en"",""es"")"),"plato")</f>
        <v>plato</v>
      </c>
      <c r="D1881" s="2" t="str">
        <f ca="1">IFERROR(__xludf.DUMMYFUNCTION("GOOGLETRANSLATE(B1881,""en"",""ig"")"),"ite nri")</f>
        <v>ite nri</v>
      </c>
      <c r="E1881" s="2" t="str">
        <f ca="1">IFERROR(__xludf.DUMMYFUNCTION("GOOGLETRANSLATE(B1881,""en"",""fr"")"),"plat")</f>
        <v>plat</v>
      </c>
      <c r="F1881" s="2" t="str">
        <f ca="1">IFERROR(__xludf.DUMMYFUNCTION("GOOGLETRANSLATE(B1881,""en"",""it"")"),"piatto")</f>
        <v>piatto</v>
      </c>
      <c r="G1881" s="2" t="str">
        <f ca="1">IFERROR(__xludf.DUMMYFUNCTION("GOOGLETRANSLATE(B1881,""en"",""de"")"),"Gericht")</f>
        <v>Gericht</v>
      </c>
      <c r="H1881" s="2" t="str">
        <f ca="1">IFERROR(__xludf.DUMMYFUNCTION("GOOGLETRANSLATE(B1881,""en"",""zh"")"),"盘子")</f>
        <v>盘子</v>
      </c>
      <c r="I1881" s="2" t="str">
        <f ca="1">IFERROR(__xludf.DUMMYFUNCTION("GOOGLETRANSLATE(B1881,""en"",""gd"")"),"mias")</f>
        <v>mias</v>
      </c>
    </row>
    <row r="1882" spans="1:9" ht="14.25" customHeight="1" x14ac:dyDescent="0.3">
      <c r="A1882" s="2">
        <v>1881</v>
      </c>
      <c r="B1882" s="3" t="s">
        <v>1889</v>
      </c>
      <c r="C1882" s="2" t="str">
        <f ca="1">IFERROR(__xludf.DUMMYFUNCTION("GOOGLETRANSLATE(B1882, ""en"",""es"")"),"en el extranjero")</f>
        <v>en el extranjero</v>
      </c>
      <c r="D1882" s="2" t="str">
        <f ca="1">IFERROR(__xludf.DUMMYFUNCTION("GOOGLETRANSLATE(B1882,""en"",""ig"")"),"ofesi")</f>
        <v>ofesi</v>
      </c>
      <c r="E1882" s="2" t="str">
        <f ca="1">IFERROR(__xludf.DUMMYFUNCTION("GOOGLETRANSLATE(B1882,""en"",""fr"")"),"à l'étranger")</f>
        <v>à l'étranger</v>
      </c>
      <c r="F1882" s="2" t="str">
        <f ca="1">IFERROR(__xludf.DUMMYFUNCTION("GOOGLETRANSLATE(B1882,""en"",""it"")"),"all'estero")</f>
        <v>all'estero</v>
      </c>
      <c r="G1882" s="2" t="str">
        <f ca="1">IFERROR(__xludf.DUMMYFUNCTION("GOOGLETRANSLATE(B1882,""en"",""de"")"),"im Ausland")</f>
        <v>im Ausland</v>
      </c>
      <c r="H1882" s="2" t="str">
        <f ca="1">IFERROR(__xludf.DUMMYFUNCTION("GOOGLETRANSLATE(B1882,""en"",""zh"")"),"国外")</f>
        <v>国外</v>
      </c>
      <c r="I1882" s="2" t="str">
        <f ca="1">IFERROR(__xludf.DUMMYFUNCTION("GOOGLETRANSLATE(B1882,""en"",""gd"")"),"thall thairis")</f>
        <v>thall thairis</v>
      </c>
    </row>
    <row r="1883" spans="1:9" ht="14.25" customHeight="1" x14ac:dyDescent="0.3">
      <c r="A1883" s="2">
        <v>1882</v>
      </c>
      <c r="B1883" s="3" t="s">
        <v>1890</v>
      </c>
      <c r="C1883" s="2" t="str">
        <f ca="1">IFERROR(__xludf.DUMMYFUNCTION("GOOGLETRANSLATE(B1883, ""en"",""es"")"),"alma")</f>
        <v>alma</v>
      </c>
      <c r="D1883" s="2" t="str">
        <f ca="1">IFERROR(__xludf.DUMMYFUNCTION("GOOGLETRANSLATE(B1883,""en"",""ig"")"),"mmuo")</f>
        <v>mmuo</v>
      </c>
      <c r="E1883" s="2" t="str">
        <f ca="1">IFERROR(__xludf.DUMMYFUNCTION("GOOGLETRANSLATE(B1883,""en"",""fr"")"),"âme")</f>
        <v>âme</v>
      </c>
      <c r="F1883" s="2" t="str">
        <f ca="1">IFERROR(__xludf.DUMMYFUNCTION("GOOGLETRANSLATE(B1883,""en"",""it"")"),"anima")</f>
        <v>anima</v>
      </c>
      <c r="G1883" s="2" t="str">
        <f ca="1">IFERROR(__xludf.DUMMYFUNCTION("GOOGLETRANSLATE(B1883,""en"",""de"")"),"Seele")</f>
        <v>Seele</v>
      </c>
      <c r="H1883" s="2" t="str">
        <f ca="1">IFERROR(__xludf.DUMMYFUNCTION("GOOGLETRANSLATE(B1883,""en"",""zh"")"),"灵魂")</f>
        <v>灵魂</v>
      </c>
      <c r="I1883" s="2" t="str">
        <f ca="1">IFERROR(__xludf.DUMMYFUNCTION("GOOGLETRANSLATE(B1883,""en"",""gd"")"),"anam")</f>
        <v>anam</v>
      </c>
    </row>
    <row r="1884" spans="1:9" ht="14.25" customHeight="1" x14ac:dyDescent="0.3">
      <c r="A1884" s="2">
        <v>1883</v>
      </c>
      <c r="B1884" s="3" t="s">
        <v>1891</v>
      </c>
      <c r="C1884" s="2" t="str">
        <f ca="1">IFERROR(__xludf.DUMMYFUNCTION("GOOGLETRANSLATE(B1884, ""en"",""es"")"),"capaz")</f>
        <v>capaz</v>
      </c>
      <c r="D1884" s="2" t="str">
        <f ca="1">IFERROR(__xludf.DUMMYFUNCTION("GOOGLETRANSLATE(B1884,""en"",""ig"")"),"keike")</f>
        <v>keike</v>
      </c>
      <c r="E1884" s="2" t="str">
        <f ca="1">IFERROR(__xludf.DUMMYFUNCTION("GOOGLETRANSLATE(B1884,""en"",""fr"")"),"capable")</f>
        <v>capable</v>
      </c>
      <c r="F1884" s="2" t="str">
        <f ca="1">IFERROR(__xludf.DUMMYFUNCTION("GOOGLETRANSLATE(B1884,""en"",""it"")"),"capace")</f>
        <v>capace</v>
      </c>
      <c r="G1884" s="2" t="str">
        <f ca="1">IFERROR(__xludf.DUMMYFUNCTION("GOOGLETRANSLATE(B1884,""en"",""de"")"),"fähig")</f>
        <v>fähig</v>
      </c>
      <c r="H1884" s="2" t="str">
        <f ca="1">IFERROR(__xludf.DUMMYFUNCTION("GOOGLETRANSLATE(B1884,""en"",""zh"")"),"有能力的")</f>
        <v>有能力的</v>
      </c>
      <c r="I1884" s="2" t="str">
        <f ca="1">IFERROR(__xludf.DUMMYFUNCTION("GOOGLETRANSLATE(B1884,""en"",""gd"")"),"comasach")</f>
        <v>comasach</v>
      </c>
    </row>
    <row r="1885" spans="1:9" ht="14.25" customHeight="1" x14ac:dyDescent="0.3">
      <c r="A1885" s="2">
        <v>1884</v>
      </c>
      <c r="B1885" s="3" t="s">
        <v>1892</v>
      </c>
      <c r="C1885" s="2" t="str">
        <f ca="1">IFERROR(__xludf.DUMMYFUNCTION("GOOGLETRANSLATE(B1885, ""en"",""es"")"),"fracaso")</f>
        <v>fracaso</v>
      </c>
      <c r="D1885" s="2" t="str">
        <f ca="1">IFERROR(__xludf.DUMMYFUNCTION("GOOGLETRANSLATE(B1885,""en"",""ig"")"),"imeri")</f>
        <v>imeri</v>
      </c>
      <c r="E1885" s="2" t="str">
        <f ca="1">IFERROR(__xludf.DUMMYFUNCTION("GOOGLETRANSLATE(B1885,""en"",""fr"")"),"défaite")</f>
        <v>défaite</v>
      </c>
      <c r="F1885" s="2" t="str">
        <f ca="1">IFERROR(__xludf.DUMMYFUNCTION("GOOGLETRANSLATE(B1885,""en"",""it"")"),"sconfitta")</f>
        <v>sconfitta</v>
      </c>
      <c r="G1885" s="2" t="str">
        <f ca="1">IFERROR(__xludf.DUMMYFUNCTION("GOOGLETRANSLATE(B1885,""en"",""de"")"),"Verlust")</f>
        <v>Verlust</v>
      </c>
      <c r="H1885" s="2" t="str">
        <f ca="1">IFERROR(__xludf.DUMMYFUNCTION("GOOGLETRANSLATE(B1885,""en"",""zh"")"),"打败")</f>
        <v>打败</v>
      </c>
      <c r="I1885" s="2" t="str">
        <f ca="1">IFERROR(__xludf.DUMMYFUNCTION("GOOGLETRANSLATE(B1885,""en"",""gd"")"),"a 'chùis")</f>
        <v>a 'chùis</v>
      </c>
    </row>
    <row r="1886" spans="1:9" ht="14.25" customHeight="1" x14ac:dyDescent="0.3">
      <c r="A1886" s="2">
        <v>1885</v>
      </c>
      <c r="B1886" s="3" t="s">
        <v>1893</v>
      </c>
      <c r="C1886" s="2" t="str">
        <f ca="1">IFERROR(__xludf.DUMMYFUNCTION("GOOGLETRANSLATE(B1886, ""en"",""es"")"),"presidencial")</f>
        <v>presidencial</v>
      </c>
      <c r="D1886" s="2" t="str">
        <f ca="1">IFERROR(__xludf.DUMMYFUNCTION("GOOGLETRANSLATE(B1886,""en"",""ig"")"),"onye ochichiisinu")</f>
        <v>onye ochichiisinu</v>
      </c>
      <c r="E1886" s="2" t="str">
        <f ca="1">IFERROR(__xludf.DUMMYFUNCTION("GOOGLETRANSLATE(B1886,""en"",""fr"")"),"présidentiel")</f>
        <v>présidentiel</v>
      </c>
      <c r="F1886" s="2" t="str">
        <f ca="1">IFERROR(__xludf.DUMMYFUNCTION("GOOGLETRANSLATE(B1886,""en"",""it"")"),"presidenziale")</f>
        <v>presidenziale</v>
      </c>
      <c r="G1886" s="2" t="str">
        <f ca="1">IFERROR(__xludf.DUMMYFUNCTION("GOOGLETRANSLATE(B1886,""en"",""de"")"),"Präsidentschaft")</f>
        <v>Präsidentschaft</v>
      </c>
      <c r="H1886" s="2" t="str">
        <f ca="1">IFERROR(__xludf.DUMMYFUNCTION("GOOGLETRANSLATE(B1886,""en"",""zh"")"),"总统")</f>
        <v>总统</v>
      </c>
      <c r="I1886" s="2" t="str">
        <f ca="1">IFERROR(__xludf.DUMMYFUNCTION("GOOGLETRANSLATE(B1886,""en"",""gd"")"),"Ceann-suidhe")</f>
        <v>Ceann-suidhe</v>
      </c>
    </row>
    <row r="1887" spans="1:9" ht="14.25" customHeight="1" x14ac:dyDescent="0.3">
      <c r="A1887" s="2">
        <v>1886</v>
      </c>
      <c r="B1887" s="3" t="s">
        <v>1894</v>
      </c>
      <c r="C1887" s="2" t="str">
        <f ca="1">IFERROR(__xludf.DUMMYFUNCTION("GOOGLETRANSLATE(B1887, ""en"",""es"")"),"perfectamente")</f>
        <v>perfectamente</v>
      </c>
      <c r="D1887" s="2" t="str">
        <f ca="1">IFERROR(__xludf.DUMMYFUNCTION("GOOGLETRANSLATE(B1887,""en"",""ig"")"),"nke zuru oke")</f>
        <v>nke zuru oke</v>
      </c>
      <c r="E1887" s="2" t="str">
        <f ca="1">IFERROR(__xludf.DUMMYFUNCTION("GOOGLETRANSLATE(B1887,""en"",""fr"")"),"à la perfection")</f>
        <v>à la perfection</v>
      </c>
      <c r="F1887" s="2" t="str">
        <f ca="1">IFERROR(__xludf.DUMMYFUNCTION("GOOGLETRANSLATE(B1887,""en"",""it"")"),"perfettamente")</f>
        <v>perfettamente</v>
      </c>
      <c r="G1887" s="2" t="str">
        <f ca="1">IFERROR(__xludf.DUMMYFUNCTION("GOOGLETRANSLATE(B1887,""en"",""de"")"),"perfekt")</f>
        <v>perfekt</v>
      </c>
      <c r="H1887" s="2" t="str">
        <f ca="1">IFERROR(__xludf.DUMMYFUNCTION("GOOGLETRANSLATE(B1887,""en"",""zh"")"),"完美")</f>
        <v>完美</v>
      </c>
      <c r="I1887" s="2" t="str">
        <f ca="1">IFERROR(__xludf.DUMMYFUNCTION("GOOGLETRANSLATE(B1887,""en"",""gd"")"),"gu foirfe")</f>
        <v>gu foirfe</v>
      </c>
    </row>
    <row r="1888" spans="1:9" ht="14.25" customHeight="1" x14ac:dyDescent="0.3">
      <c r="A1888" s="2">
        <v>1887</v>
      </c>
      <c r="B1888" s="3" t="s">
        <v>1895</v>
      </c>
      <c r="C1888" s="2" t="str">
        <f ca="1">IFERROR(__xludf.DUMMYFUNCTION("GOOGLETRANSLATE(B1888, ""en"",""es"")"),"mejorar")</f>
        <v>mejorar</v>
      </c>
      <c r="D1888" s="2" t="str">
        <f ca="1">IFERROR(__xludf.DUMMYFUNCTION("GOOGLETRANSLATE(B1888,""en"",""ig"")"),"ikwakota")</f>
        <v>ikwakota</v>
      </c>
      <c r="E1888" s="2" t="str">
        <f ca="1">IFERROR(__xludf.DUMMYFUNCTION("GOOGLETRANSLATE(B1888,""en"",""fr"")"),"améliorer")</f>
        <v>améliorer</v>
      </c>
      <c r="F1888" s="2" t="str">
        <f ca="1">IFERROR(__xludf.DUMMYFUNCTION("GOOGLETRANSLATE(B1888,""en"",""it"")"),"migliorare")</f>
        <v>migliorare</v>
      </c>
      <c r="G1888" s="2" t="str">
        <f ca="1">IFERROR(__xludf.DUMMYFUNCTION("GOOGLETRANSLATE(B1888,""en"",""de"")"),"erweitern")</f>
        <v>erweitern</v>
      </c>
      <c r="H1888" s="2" t="str">
        <f ca="1">IFERROR(__xludf.DUMMYFUNCTION("GOOGLETRANSLATE(B1888,""en"",""zh"")"),"提高")</f>
        <v>提高</v>
      </c>
      <c r="I1888" s="2" t="str">
        <f ca="1">IFERROR(__xludf.DUMMYFUNCTION("GOOGLETRANSLATE(B1888,""en"",""gd"")"),"leasaich")</f>
        <v>leasaich</v>
      </c>
    </row>
    <row r="1889" spans="1:9" ht="14.25" customHeight="1" x14ac:dyDescent="0.3">
      <c r="A1889" s="2">
        <v>1888</v>
      </c>
      <c r="B1889" s="3" t="s">
        <v>1896</v>
      </c>
      <c r="C1889" s="2" t="str">
        <f ca="1">IFERROR(__xludf.DUMMYFUNCTION("GOOGLETRANSLATE(B1889, ""en"",""es"")"),"orgulloso")</f>
        <v>orgulloso</v>
      </c>
      <c r="D1889" s="2" t="str">
        <f ca="1">IFERROR(__xludf.DUMMYFUNCTION("GOOGLETRANSLATE(B1889,""en"",""ig"")"),"ikpa nganga")</f>
        <v>ikpa nganga</v>
      </c>
      <c r="E1889" s="2" t="str">
        <f ca="1">IFERROR(__xludf.DUMMYFUNCTION("GOOGLETRANSLATE(B1889,""en"",""fr"")"),"fier")</f>
        <v>fier</v>
      </c>
      <c r="F1889" s="2" t="str">
        <f ca="1">IFERROR(__xludf.DUMMYFUNCTION("GOOGLETRANSLATE(B1889,""en"",""it"")"),"orgoglioso")</f>
        <v>orgoglioso</v>
      </c>
      <c r="G1889" s="2" t="str">
        <f ca="1">IFERROR(__xludf.DUMMYFUNCTION("GOOGLETRANSLATE(B1889,""en"",""de"")"),"stolz")</f>
        <v>stolz</v>
      </c>
      <c r="H1889" s="2" t="str">
        <f ca="1">IFERROR(__xludf.DUMMYFUNCTION("GOOGLETRANSLATE(B1889,""en"",""zh"")"),"自豪的")</f>
        <v>自豪的</v>
      </c>
      <c r="I1889" s="2" t="str">
        <f ca="1">IFERROR(__xludf.DUMMYFUNCTION("GOOGLETRANSLATE(B1889,""en"",""gd"")"),"Pròis")</f>
        <v>Pròis</v>
      </c>
    </row>
    <row r="1890" spans="1:9" ht="14.25" customHeight="1" x14ac:dyDescent="0.3">
      <c r="A1890" s="2">
        <v>1889</v>
      </c>
      <c r="B1890" s="3" t="s">
        <v>1897</v>
      </c>
      <c r="C1890" s="2" t="str">
        <f ca="1">IFERROR(__xludf.DUMMYFUNCTION("GOOGLETRANSLATE(B1890, ""en"",""es"")"),"emergencia")</f>
        <v>emergencia</v>
      </c>
      <c r="D1890" s="2" t="str">
        <f ca="1">IFERROR(__xludf.DUMMYFUNCTION("GOOGLETRANSLATE(B1890,""en"",""ig"")"),"emajensii")</f>
        <v>emajensii</v>
      </c>
      <c r="E1890" s="2" t="str">
        <f ca="1">IFERROR(__xludf.DUMMYFUNCTION("GOOGLETRANSLATE(B1890,""en"",""fr"")"),"urgence")</f>
        <v>urgence</v>
      </c>
      <c r="F1890" s="2" t="str">
        <f ca="1">IFERROR(__xludf.DUMMYFUNCTION("GOOGLETRANSLATE(B1890,""en"",""it"")"),"emergenza")</f>
        <v>emergenza</v>
      </c>
      <c r="G1890" s="2" t="str">
        <f ca="1">IFERROR(__xludf.DUMMYFUNCTION("GOOGLETRANSLATE(B1890,""en"",""de"")"),"Notfall")</f>
        <v>Notfall</v>
      </c>
      <c r="H1890" s="2" t="str">
        <f ca="1">IFERROR(__xludf.DUMMYFUNCTION("GOOGLETRANSLATE(B1890,""en"",""zh"")"),"紧急情况")</f>
        <v>紧急情况</v>
      </c>
      <c r="I1890" s="2" t="str">
        <f ca="1">IFERROR(__xludf.DUMMYFUNCTION("GOOGLETRANSLATE(B1890,""en"",""gd"")"),"Èiginn")</f>
        <v>Èiginn</v>
      </c>
    </row>
    <row r="1891" spans="1:9" ht="14.25" customHeight="1" x14ac:dyDescent="0.3">
      <c r="A1891" s="2">
        <v>1890</v>
      </c>
      <c r="B1891" s="3" t="s">
        <v>1898</v>
      </c>
      <c r="C1891" s="2" t="str">
        <f ca="1">IFERROR(__xludf.DUMMYFUNCTION("GOOGLETRANSLATE(B1891, ""en"",""es"")"),"educativo")</f>
        <v>educativo</v>
      </c>
      <c r="D1891" s="2" t="str">
        <f ca="1">IFERROR(__xludf.DUMMYFUNCTION("GOOGLETRANSLATE(B1891,""en"",""ig"")"),"agụmakwụkwọ")</f>
        <v>agụmakwụkwọ</v>
      </c>
      <c r="E1891" s="2" t="str">
        <f ca="1">IFERROR(__xludf.DUMMYFUNCTION("GOOGLETRANSLATE(B1891,""en"",""fr"")"),"éducatif")</f>
        <v>éducatif</v>
      </c>
      <c r="F1891" s="2" t="str">
        <f ca="1">IFERROR(__xludf.DUMMYFUNCTION("GOOGLETRANSLATE(B1891,""en"",""it"")"),"educativo")</f>
        <v>educativo</v>
      </c>
      <c r="G1891" s="2" t="str">
        <f ca="1">IFERROR(__xludf.DUMMYFUNCTION("GOOGLETRANSLATE(B1891,""en"",""de"")"),"lehrreich")</f>
        <v>lehrreich</v>
      </c>
      <c r="H1891" s="2" t="str">
        <f ca="1">IFERROR(__xludf.DUMMYFUNCTION("GOOGLETRANSLATE(B1891,""en"",""zh"")"),"教育")</f>
        <v>教育</v>
      </c>
      <c r="I1891" s="2" t="str">
        <f ca="1">IFERROR(__xludf.DUMMYFUNCTION("GOOGLETRANSLATE(B1891,""en"",""gd"")"),"Foghlam")</f>
        <v>Foghlam</v>
      </c>
    </row>
    <row r="1892" spans="1:9" ht="14.25" customHeight="1" x14ac:dyDescent="0.3">
      <c r="A1892" s="2">
        <v>1891</v>
      </c>
      <c r="B1892" s="3" t="s">
        <v>1899</v>
      </c>
      <c r="C1892" s="2" t="str">
        <f ca="1">IFERROR(__xludf.DUMMYFUNCTION("GOOGLETRANSLATE(B1892, ""en"",""es"")"),"distinguir")</f>
        <v>distinguir</v>
      </c>
      <c r="D1892" s="2" t="str">
        <f ca="1">IFERROR(__xludf.DUMMYFUNCTION("GOOGLETRANSLATE(B1892,""en"",""ig"")"),"ichiputa adimiiche")</f>
        <v>ichiputa adimiiche</v>
      </c>
      <c r="E1892" s="2" t="str">
        <f ca="1">IFERROR(__xludf.DUMMYFUNCTION("GOOGLETRANSLATE(B1892,""en"",""fr"")"),"distinguer")</f>
        <v>distinguer</v>
      </c>
      <c r="F1892" s="2" t="str">
        <f ca="1">IFERROR(__xludf.DUMMYFUNCTION("GOOGLETRANSLATE(B1892,""en"",""it"")"),"distinguere")</f>
        <v>distinguere</v>
      </c>
      <c r="G1892" s="2" t="str">
        <f ca="1">IFERROR(__xludf.DUMMYFUNCTION("GOOGLETRANSLATE(B1892,""en"",""de"")"),"unterscheiden")</f>
        <v>unterscheiden</v>
      </c>
      <c r="H1892" s="2" t="str">
        <f ca="1">IFERROR(__xludf.DUMMYFUNCTION("GOOGLETRANSLATE(B1892,""en"",""zh"")"),"区分")</f>
        <v>区分</v>
      </c>
      <c r="I1892" s="2" t="str">
        <f ca="1">IFERROR(__xludf.DUMMYFUNCTION("GOOGLETRANSLATE(B1892,""en"",""gd"")"),"dealachadh a dhèanamh eadar")</f>
        <v>dealachadh a dhèanamh eadar</v>
      </c>
    </row>
    <row r="1893" spans="1:9" ht="14.25" customHeight="1" x14ac:dyDescent="0.3">
      <c r="A1893" s="2">
        <v>1892</v>
      </c>
      <c r="B1893" s="3" t="s">
        <v>1900</v>
      </c>
      <c r="C1893" s="2" t="str">
        <f ca="1">IFERROR(__xludf.DUMMYFUNCTION("GOOGLETRANSLATE(B1893, ""en"",""es"")"),"sustancial")</f>
        <v>sustancial</v>
      </c>
      <c r="D1893" s="2" t="str">
        <f ca="1">IFERROR(__xludf.DUMMYFUNCTION("GOOGLETRANSLATE(B1893,""en"",""ig"")"),"ukwu otutu")</f>
        <v>ukwu otutu</v>
      </c>
      <c r="E1893" s="2" t="str">
        <f ca="1">IFERROR(__xludf.DUMMYFUNCTION("GOOGLETRANSLATE(B1893,""en"",""fr"")"),"substantiel")</f>
        <v>substantiel</v>
      </c>
      <c r="F1893" s="2" t="str">
        <f ca="1">IFERROR(__xludf.DUMMYFUNCTION("GOOGLETRANSLATE(B1893,""en"",""it"")"),"sostanziale")</f>
        <v>sostanziale</v>
      </c>
      <c r="G1893" s="2" t="str">
        <f ca="1">IFERROR(__xludf.DUMMYFUNCTION("GOOGLETRANSLATE(B1893,""en"",""de"")"),"substanziell")</f>
        <v>substanziell</v>
      </c>
      <c r="H1893" s="2" t="str">
        <f ca="1">IFERROR(__xludf.DUMMYFUNCTION("GOOGLETRANSLATE(B1893,""en"",""zh"")"),"重大的")</f>
        <v>重大的</v>
      </c>
      <c r="I1893" s="2" t="str">
        <f ca="1">IFERROR(__xludf.DUMMYFUNCTION("GOOGLETRANSLATE(B1893,""en"",""gd"")"),"susbainteach")</f>
        <v>susbainteach</v>
      </c>
    </row>
    <row r="1894" spans="1:9" ht="14.25" customHeight="1" x14ac:dyDescent="0.3">
      <c r="A1894" s="2">
        <v>1893</v>
      </c>
      <c r="B1894" s="3" t="s">
        <v>1901</v>
      </c>
      <c r="C1894" s="2" t="str">
        <f ca="1">IFERROR(__xludf.DUMMYFUNCTION("GOOGLETRANSLATE(B1894, ""en"",""es"")"),"cercano")</f>
        <v>cercano</v>
      </c>
      <c r="D1894" s="2" t="str">
        <f ca="1">IFERROR(__xludf.DUMMYFUNCTION("GOOGLETRANSLATE(B1894,""en"",""ig"")"),"Nọgide")</f>
        <v>Nọgide</v>
      </c>
      <c r="E1894" s="2" t="str">
        <f ca="1">IFERROR(__xludf.DUMMYFUNCTION("GOOGLETRANSLATE(B1894,""en"",""fr"")"),"proche")</f>
        <v>proche</v>
      </c>
      <c r="F1894" s="2" t="str">
        <f ca="1">IFERROR(__xludf.DUMMYFUNCTION("GOOGLETRANSLATE(B1894,""en"",""it"")"),"nelle vicinanze")</f>
        <v>nelle vicinanze</v>
      </c>
      <c r="G1894" s="2" t="str">
        <f ca="1">IFERROR(__xludf.DUMMYFUNCTION("GOOGLETRANSLATE(B1894,""en"",""de"")"),"nahe")</f>
        <v>nahe</v>
      </c>
      <c r="H1894" s="2" t="str">
        <f ca="1">IFERROR(__xludf.DUMMYFUNCTION("GOOGLETRANSLATE(B1894,""en"",""zh"")"),"附近")</f>
        <v>附近</v>
      </c>
      <c r="I1894" s="2" t="str">
        <f ca="1">IFERROR(__xludf.DUMMYFUNCTION("GOOGLETRANSLATE(B1894,""en"",""gd"")"),"faisg air làimh")</f>
        <v>faisg air làimh</v>
      </c>
    </row>
    <row r="1895" spans="1:9" ht="14.25" customHeight="1" x14ac:dyDescent="0.3">
      <c r="A1895" s="2">
        <v>1894</v>
      </c>
      <c r="B1895" s="3" t="s">
        <v>1902</v>
      </c>
      <c r="C1895" s="2" t="str">
        <f ca="1">IFERROR(__xludf.DUMMYFUNCTION("GOOGLETRANSLATE(B1895, ""en"",""es"")"),"fabricante")</f>
        <v>fabricante</v>
      </c>
      <c r="D1895" s="2" t="str">
        <f ca="1">IFERROR(__xludf.DUMMYFUNCTION("GOOGLETRANSLATE(B1895,""en"",""ig"")"),"mmewe")</f>
        <v>mmewe</v>
      </c>
      <c r="E1895" s="2" t="str">
        <f ca="1">IFERROR(__xludf.DUMMYFUNCTION("GOOGLETRANSLATE(B1895,""en"",""fr"")"),"fabricant")</f>
        <v>fabricant</v>
      </c>
      <c r="F1895" s="2" t="str">
        <f ca="1">IFERROR(__xludf.DUMMYFUNCTION("GOOGLETRANSLATE(B1895,""en"",""it"")"),"produttore")</f>
        <v>produttore</v>
      </c>
      <c r="G1895" s="2" t="str">
        <f ca="1">IFERROR(__xludf.DUMMYFUNCTION("GOOGLETRANSLATE(B1895,""en"",""de"")"),"Hersteller")</f>
        <v>Hersteller</v>
      </c>
      <c r="H1895" s="2" t="str">
        <f ca="1">IFERROR(__xludf.DUMMYFUNCTION("GOOGLETRANSLATE(B1895,""en"",""zh"")"),"制造商")</f>
        <v>制造商</v>
      </c>
      <c r="I1895" s="2" t="str">
        <f ca="1">IFERROR(__xludf.DUMMYFUNCTION("GOOGLETRANSLATE(B1895,""en"",""gd"")"),"neach-dèanamh")</f>
        <v>neach-dèanamh</v>
      </c>
    </row>
    <row r="1896" spans="1:9" ht="14.25" customHeight="1" x14ac:dyDescent="0.3">
      <c r="A1896" s="2">
        <v>1895</v>
      </c>
      <c r="B1896" s="3" t="s">
        <v>1903</v>
      </c>
      <c r="C1896" s="2" t="str">
        <f ca="1">IFERROR(__xludf.DUMMYFUNCTION("GOOGLETRANSLATE(B1896, ""en"",""es"")"),"deslizar")</f>
        <v>deslizar</v>
      </c>
      <c r="D1896" s="2" t="str">
        <f ca="1">IFERROR(__xludf.DUMMYFUNCTION("GOOGLETRANSLATE(B1896,""en"",""ig"")"),"slaid")</f>
        <v>slaid</v>
      </c>
      <c r="E1896" s="2" t="str">
        <f ca="1">IFERROR(__xludf.DUMMYFUNCTION("GOOGLETRANSLATE(B1896,""en"",""fr"")"),"glisser")</f>
        <v>glisser</v>
      </c>
      <c r="F1896" s="2" t="str">
        <f ca="1">IFERROR(__xludf.DUMMYFUNCTION("GOOGLETRANSLATE(B1896,""en"",""it"")"),"diapositiva")</f>
        <v>diapositiva</v>
      </c>
      <c r="G1896" s="2" t="str">
        <f ca="1">IFERROR(__xludf.DUMMYFUNCTION("GOOGLETRANSLATE(B1896,""en"",""de"")"),"gleiten")</f>
        <v>gleiten</v>
      </c>
      <c r="H1896" s="2" t="str">
        <f ca="1">IFERROR(__xludf.DUMMYFUNCTION("GOOGLETRANSLATE(B1896,""en"",""zh"")"),"滑动")</f>
        <v>滑动</v>
      </c>
      <c r="I1896" s="2" t="str">
        <f ca="1">IFERROR(__xludf.DUMMYFUNCTION("GOOGLETRANSLATE(B1896,""en"",""gd"")"),"sleamhnag")</f>
        <v>sleamhnag</v>
      </c>
    </row>
    <row r="1897" spans="1:9" ht="14.25" customHeight="1" x14ac:dyDescent="0.3">
      <c r="A1897" s="2">
        <v>1896</v>
      </c>
      <c r="B1897" s="3" t="s">
        <v>1904</v>
      </c>
      <c r="C1897" s="2" t="str">
        <f ca="1">IFERROR(__xludf.DUMMYFUNCTION("GOOGLETRANSLATE(B1897, ""en"",""es"")"),"valioso")</f>
        <v>valioso</v>
      </c>
      <c r="D1897" s="2" t="str">
        <f ca="1">IFERROR(__xludf.DUMMYFUNCTION("GOOGLETRANSLATE(B1897,""en"",""ig"")"),"kebara uru")</f>
        <v>kebara uru</v>
      </c>
      <c r="E1897" s="2" t="str">
        <f ca="1">IFERROR(__xludf.DUMMYFUNCTION("GOOGLETRANSLATE(B1897,""en"",""fr"")"),"précieux")</f>
        <v>précieux</v>
      </c>
      <c r="F1897" s="2" t="str">
        <f ca="1">IFERROR(__xludf.DUMMYFUNCTION("GOOGLETRANSLATE(B1897,""en"",""it"")"),"prezioso")</f>
        <v>prezioso</v>
      </c>
      <c r="G1897" s="2" t="str">
        <f ca="1">IFERROR(__xludf.DUMMYFUNCTION("GOOGLETRANSLATE(B1897,""en"",""de"")"),"wertvoll")</f>
        <v>wertvoll</v>
      </c>
      <c r="H1897" s="2" t="str">
        <f ca="1">IFERROR(__xludf.DUMMYFUNCTION("GOOGLETRANSLATE(B1897,""en"",""zh"")"),"有价值的")</f>
        <v>有价值的</v>
      </c>
      <c r="I1897" s="2" t="str">
        <f ca="1">IFERROR(__xludf.DUMMYFUNCTION("GOOGLETRANSLATE(B1897,""en"",""gd"")"),"luachmhor")</f>
        <v>luachmhor</v>
      </c>
    </row>
    <row r="1898" spans="1:9" ht="14.25" customHeight="1" x14ac:dyDescent="0.3">
      <c r="A1898" s="2">
        <v>1897</v>
      </c>
      <c r="B1898" s="3" t="s">
        <v>1905</v>
      </c>
      <c r="C1898" s="2" t="str">
        <f ca="1">IFERROR(__xludf.DUMMYFUNCTION("GOOGLETRANSLATE(B1898, ""en"",""es"")"),"personalmente")</f>
        <v>personalmente</v>
      </c>
      <c r="D1898" s="2" t="str">
        <f ca="1">IFERROR(__xludf.DUMMYFUNCTION("GOOGLETRANSLATE(B1898,""en"",""ig"")"),"onye ozo")</f>
        <v>onye ozo</v>
      </c>
      <c r="E1898" s="2" t="str">
        <f ca="1">IFERROR(__xludf.DUMMYFUNCTION("GOOGLETRANSLATE(B1898,""en"",""fr"")"),"personnellement")</f>
        <v>personnellement</v>
      </c>
      <c r="F1898" s="2" t="str">
        <f ca="1">IFERROR(__xludf.DUMMYFUNCTION("GOOGLETRANSLATE(B1898,""en"",""it"")"),"personalmente")</f>
        <v>personalmente</v>
      </c>
      <c r="G1898" s="2" t="str">
        <f ca="1">IFERROR(__xludf.DUMMYFUNCTION("GOOGLETRANSLATE(B1898,""en"",""de"")"),"persönlich")</f>
        <v>persönlich</v>
      </c>
      <c r="H1898" s="2" t="str">
        <f ca="1">IFERROR(__xludf.DUMMYFUNCTION("GOOGLETRANSLATE(B1898,""en"",""zh"")"),"亲自")</f>
        <v>亲自</v>
      </c>
      <c r="I1898" s="2" t="str">
        <f ca="1">IFERROR(__xludf.DUMMYFUNCTION("GOOGLETRANSLATE(B1898,""en"",""gd"")"),"gu pearsanta")</f>
        <v>gu pearsanta</v>
      </c>
    </row>
    <row r="1899" spans="1:9" ht="14.25" customHeight="1" x14ac:dyDescent="0.3">
      <c r="A1899" s="2">
        <v>1898</v>
      </c>
      <c r="B1899" s="3" t="s">
        <v>1906</v>
      </c>
      <c r="C1899" s="2" t="str">
        <f ca="1">IFERROR(__xludf.DUMMYFUNCTION("GOOGLETRANSLATE(B1899, ""en"",""es"")"),"mama")</f>
        <v>mama</v>
      </c>
      <c r="D1899" s="2" t="str">
        <f ca="1">IFERROR(__xludf.DUMMYFUNCTION("GOOGLETRANSLATE(B1899,""en"",""ig"")"),"ara")</f>
        <v>ara</v>
      </c>
      <c r="E1899" s="2" t="str">
        <f ca="1">IFERROR(__xludf.DUMMYFUNCTION("GOOGLETRANSLATE(B1899,""en"",""fr"")"),"sein")</f>
        <v>sein</v>
      </c>
      <c r="F1899" s="2" t="str">
        <f ca="1">IFERROR(__xludf.DUMMYFUNCTION("GOOGLETRANSLATE(B1899,""en"",""it"")"),"seno")</f>
        <v>seno</v>
      </c>
      <c r="G1899" s="2" t="str">
        <f ca="1">IFERROR(__xludf.DUMMYFUNCTION("GOOGLETRANSLATE(B1899,""en"",""de"")"),"Brust")</f>
        <v>Brust</v>
      </c>
      <c r="H1899" s="2" t="str">
        <f ca="1">IFERROR(__xludf.DUMMYFUNCTION("GOOGLETRANSLATE(B1899,""en"",""zh"")"),"胸部")</f>
        <v>胸部</v>
      </c>
      <c r="I1899" s="2" t="str">
        <f ca="1">IFERROR(__xludf.DUMMYFUNCTION("GOOGLETRANSLATE(B1899,""en"",""gd"")"),"broilleach")</f>
        <v>broilleach</v>
      </c>
    </row>
    <row r="1900" spans="1:9" ht="14.25" customHeight="1" x14ac:dyDescent="0.3">
      <c r="A1900" s="2">
        <v>1899</v>
      </c>
      <c r="B1900" s="3" t="s">
        <v>1907</v>
      </c>
      <c r="C1900" s="2" t="str">
        <f ca="1">IFERROR(__xludf.DUMMYFUNCTION("GOOGLETRANSLATE(B1900, ""en"",""es"")"),"afrontar")</f>
        <v>afrontar</v>
      </c>
      <c r="D1900" s="2" t="str">
        <f ca="1">IFERROR(__xludf.DUMMYFUNCTION("GOOGLETRANSLATE(B1900,""en"",""ig"")"),"ịnagide")</f>
        <v>ịnagide</v>
      </c>
      <c r="E1900" s="2" t="str">
        <f ca="1">IFERROR(__xludf.DUMMYFUNCTION("GOOGLETRANSLATE(B1900,""en"",""fr"")"),"faire face")</f>
        <v>faire face</v>
      </c>
      <c r="F1900" s="2" t="str">
        <f ca="1">IFERROR(__xludf.DUMMYFUNCTION("GOOGLETRANSLATE(B1900,""en"",""it"")"),"far fronte")</f>
        <v>far fronte</v>
      </c>
      <c r="G1900" s="2" t="str">
        <f ca="1">IFERROR(__xludf.DUMMYFUNCTION("GOOGLETRANSLATE(B1900,""en"",""de"")"),"bewältigen")</f>
        <v>bewältigen</v>
      </c>
      <c r="H1900" s="2" t="str">
        <f ca="1">IFERROR(__xludf.DUMMYFUNCTION("GOOGLETRANSLATE(B1900,""en"",""zh"")"),"应付")</f>
        <v>应付</v>
      </c>
      <c r="I1900" s="2" t="str">
        <f ca="1">IFERROR(__xludf.DUMMYFUNCTION("GOOGLETRANSLATE(B1900,""en"",""gd"")"),"Cope")</f>
        <v>Cope</v>
      </c>
    </row>
    <row r="1901" spans="1:9" ht="14.25" customHeight="1" x14ac:dyDescent="0.3">
      <c r="A1901" s="2">
        <v>1900</v>
      </c>
      <c r="B1901" s="3" t="s">
        <v>1908</v>
      </c>
      <c r="C1901" s="2" t="str">
        <f ca="1">IFERROR(__xludf.DUMMYFUNCTION("GOOGLETRANSLATE(B1901, ""en"",""es"")"),"aproximadamente")</f>
        <v>aproximadamente</v>
      </c>
      <c r="D1901" s="2" t="str">
        <f ca="1">IFERROR(__xludf.DUMMYFUNCTION("GOOGLETRANSLATE(B1901,""en"",""ig"")"),"odika")</f>
        <v>odika</v>
      </c>
      <c r="E1901" s="2" t="str">
        <f ca="1">IFERROR(__xludf.DUMMYFUNCTION("GOOGLETRANSLATE(B1901,""en"",""fr"")"),"environ")</f>
        <v>environ</v>
      </c>
      <c r="F1901" s="2" t="str">
        <f ca="1">IFERROR(__xludf.DUMMYFUNCTION("GOOGLETRANSLATE(B1901,""en"",""it"")"),"circa")</f>
        <v>circa</v>
      </c>
      <c r="G1901" s="2" t="str">
        <f ca="1">IFERROR(__xludf.DUMMYFUNCTION("GOOGLETRANSLATE(B1901,""en"",""de"")"),"etwa")</f>
        <v>etwa</v>
      </c>
      <c r="H1901" s="2" t="str">
        <f ca="1">IFERROR(__xludf.DUMMYFUNCTION("GOOGLETRANSLATE(B1901,""en"",""zh"")"),"大约")</f>
        <v>大约</v>
      </c>
      <c r="I1901" s="2" t="str">
        <f ca="1">IFERROR(__xludf.DUMMYFUNCTION("GOOGLETRANSLATE(B1901,""en"",""gd"")"),"mu dheidhinn")</f>
        <v>mu dheidhinn</v>
      </c>
    </row>
    <row r="1902" spans="1:9" ht="14.25" customHeight="1" x14ac:dyDescent="0.3">
      <c r="A1902" s="2">
        <v>1901</v>
      </c>
      <c r="B1902" s="3" t="s">
        <v>1909</v>
      </c>
      <c r="C1902" s="2" t="str">
        <f ca="1">IFERROR(__xludf.DUMMYFUNCTION("GOOGLETRANSLATE(B1902, ""en"",""es"")"),"alojamiento")</f>
        <v>alojamiento</v>
      </c>
      <c r="D1902" s="2" t="str">
        <f ca="1">IFERROR(__xludf.DUMMYFUNCTION("GOOGLETRANSLATE(B1902,""en"",""ig"")"),"ulo")</f>
        <v>ulo</v>
      </c>
      <c r="E1902" s="2" t="str">
        <f ca="1">IFERROR(__xludf.DUMMYFUNCTION("GOOGLETRANSLATE(B1902,""en"",""fr"")"),"hébergement")</f>
        <v>hébergement</v>
      </c>
      <c r="F1902" s="2" t="str">
        <f ca="1">IFERROR(__xludf.DUMMYFUNCTION("GOOGLETRANSLATE(B1902,""en"",""it"")"),"alloggio")</f>
        <v>alloggio</v>
      </c>
      <c r="G1902" s="2" t="str">
        <f ca="1">IFERROR(__xludf.DUMMYFUNCTION("GOOGLETRANSLATE(B1902,""en"",""de"")"),"Unterkunft")</f>
        <v>Unterkunft</v>
      </c>
      <c r="H1902" s="2" t="str">
        <f ca="1">IFERROR(__xludf.DUMMYFUNCTION("GOOGLETRANSLATE(B1902,""en"",""zh"")"),"住宿")</f>
        <v>住宿</v>
      </c>
      <c r="I1902" s="2" t="str">
        <f ca="1">IFERROR(__xludf.DUMMYFUNCTION("GOOGLETRANSLATE(B1902,""en"",""gd"")"),"Àite-fuirich")</f>
        <v>Àite-fuirich</v>
      </c>
    </row>
    <row r="1903" spans="1:9" ht="14.25" customHeight="1" x14ac:dyDescent="0.3">
      <c r="A1903" s="2">
        <v>1902</v>
      </c>
      <c r="B1903" s="3" t="s">
        <v>1910</v>
      </c>
      <c r="C1903" s="2" t="str">
        <f ca="1">IFERROR(__xludf.DUMMYFUNCTION("GOOGLETRANSLATE(B1903, ""en"",""es"")"),"destacar")</f>
        <v>destacar</v>
      </c>
      <c r="D1903" s="2" t="str">
        <f ca="1">IFERROR(__xludf.DUMMYFUNCTION("GOOGLETRANSLATE(B1903,""en"",""ig"")"),"mee ka ọ pụta ìhè")</f>
        <v>mee ka ọ pụta ìhè</v>
      </c>
      <c r="E1903" s="2" t="str">
        <f ca="1">IFERROR(__xludf.DUMMYFUNCTION("GOOGLETRANSLATE(B1903,""en"",""fr"")"),"souligner")</f>
        <v>souligner</v>
      </c>
      <c r="F1903" s="2" t="str">
        <f ca="1">IFERROR(__xludf.DUMMYFUNCTION("GOOGLETRANSLATE(B1903,""en"",""it"")"),"evidenziare")</f>
        <v>evidenziare</v>
      </c>
      <c r="G1903" s="2" t="str">
        <f ca="1">IFERROR(__xludf.DUMMYFUNCTION("GOOGLETRANSLATE(B1903,""en"",""de"")"),"Markieren")</f>
        <v>Markieren</v>
      </c>
      <c r="H1903" s="2" t="str">
        <f ca="1">IFERROR(__xludf.DUMMYFUNCTION("GOOGLETRANSLATE(B1903,""en"",""zh"")"),"强调")</f>
        <v>强调</v>
      </c>
      <c r="I1903" s="2" t="str">
        <f ca="1">IFERROR(__xludf.DUMMYFUNCTION("GOOGLETRANSLATE(B1903,""en"",""gd"")"),"Comharraich")</f>
        <v>Comharraich</v>
      </c>
    </row>
    <row r="1904" spans="1:9" ht="14.25" customHeight="1" x14ac:dyDescent="0.3">
      <c r="A1904" s="2">
        <v>1903</v>
      </c>
      <c r="B1904" s="3" t="s">
        <v>1911</v>
      </c>
      <c r="C1904" s="2" t="str">
        <f ca="1">IFERROR(__xludf.DUMMYFUNCTION("GOOGLETRANSLATE(B1904, ""en"",""es"")"),"reportero")</f>
        <v>reportero</v>
      </c>
      <c r="D1904" s="2" t="str">
        <f ca="1">IFERROR(__xludf.DUMMYFUNCTION("GOOGLETRANSLATE(B1904,""en"",""ig"")"),"repota nwaanyi")</f>
        <v>repota nwaanyi</v>
      </c>
      <c r="E1904" s="2" t="str">
        <f ca="1">IFERROR(__xludf.DUMMYFUNCTION("GOOGLETRANSLATE(B1904,""en"",""fr"")"),"journaliste")</f>
        <v>journaliste</v>
      </c>
      <c r="F1904" s="2" t="str">
        <f ca="1">IFERROR(__xludf.DUMMYFUNCTION("GOOGLETRANSLATE(B1904,""en"",""it"")"),"reporter")</f>
        <v>reporter</v>
      </c>
      <c r="G1904" s="2" t="str">
        <f ca="1">IFERROR(__xludf.DUMMYFUNCTION("GOOGLETRANSLATE(B1904,""en"",""de"")"),"Reporter")</f>
        <v>Reporter</v>
      </c>
      <c r="H1904" s="2" t="str">
        <f ca="1">IFERROR(__xludf.DUMMYFUNCTION("GOOGLETRANSLATE(B1904,""en"",""zh"")"),"记者")</f>
        <v>记者</v>
      </c>
      <c r="I1904" s="2" t="str">
        <f ca="1">IFERROR(__xludf.DUMMYFUNCTION("GOOGLETRANSLATE(B1904,""en"",""gd"")"),"Neach-aithris")</f>
        <v>Neach-aithris</v>
      </c>
    </row>
    <row r="1905" spans="1:9" ht="14.25" customHeight="1" x14ac:dyDescent="0.3">
      <c r="A1905" s="2">
        <v>1904</v>
      </c>
      <c r="B1905" s="3" t="s">
        <v>1912</v>
      </c>
      <c r="C1905" s="2" t="str">
        <f ca="1">IFERROR(__xludf.DUMMYFUNCTION("GOOGLETRANSLATE(B1905, ""en"",""es"")"),"clima")</f>
        <v>clima</v>
      </c>
      <c r="D1905" s="2" t="str">
        <f ca="1">IFERROR(__xludf.DUMMYFUNCTION("GOOGLETRANSLATE(B1905,""en"",""ig"")"),"klimeti")</f>
        <v>klimeti</v>
      </c>
      <c r="E1905" s="2" t="str">
        <f ca="1">IFERROR(__xludf.DUMMYFUNCTION("GOOGLETRANSLATE(B1905,""en"",""fr"")"),"climat")</f>
        <v>climat</v>
      </c>
      <c r="F1905" s="2" t="str">
        <f ca="1">IFERROR(__xludf.DUMMYFUNCTION("GOOGLETRANSLATE(B1905,""en"",""it"")"),"clima")</f>
        <v>clima</v>
      </c>
      <c r="G1905" s="2" t="str">
        <f ca="1">IFERROR(__xludf.DUMMYFUNCTION("GOOGLETRANSLATE(B1905,""en"",""de"")"),"Klima")</f>
        <v>Klima</v>
      </c>
      <c r="H1905" s="2" t="str">
        <f ca="1">IFERROR(__xludf.DUMMYFUNCTION("GOOGLETRANSLATE(B1905,""en"",""zh"")"),"气候")</f>
        <v>气候</v>
      </c>
      <c r="I1905" s="2" t="str">
        <f ca="1">IFERROR(__xludf.DUMMYFUNCTION("GOOGLETRANSLATE(B1905,""en"",""gd"")"),"Gnàth-shìde")</f>
        <v>Gnàth-shìde</v>
      </c>
    </row>
    <row r="1906" spans="1:9" ht="14.25" customHeight="1" x14ac:dyDescent="0.3">
      <c r="A1906" s="2">
        <v>1905</v>
      </c>
      <c r="B1906" s="3" t="s">
        <v>1913</v>
      </c>
      <c r="C1906" s="2" t="str">
        <f ca="1">IFERROR(__xludf.DUMMYFUNCTION("GOOGLETRANSLATE(B1906, ""en"",""es"")"),"camisa")</f>
        <v>camisa</v>
      </c>
      <c r="D1906" s="2" t="str">
        <f ca="1">IFERROR(__xludf.DUMMYFUNCTION("GOOGLETRANSLATE(B1906,""en"",""ig"")"),"uwe")</f>
        <v>uwe</v>
      </c>
      <c r="E1906" s="2" t="str">
        <f ca="1">IFERROR(__xludf.DUMMYFUNCTION("GOOGLETRANSLATE(B1906,""en"",""fr"")"),"chemise")</f>
        <v>chemise</v>
      </c>
      <c r="F1906" s="2" t="str">
        <f ca="1">IFERROR(__xludf.DUMMYFUNCTION("GOOGLETRANSLATE(B1906,""en"",""it"")"),"camicia")</f>
        <v>camicia</v>
      </c>
      <c r="G1906" s="2" t="str">
        <f ca="1">IFERROR(__xludf.DUMMYFUNCTION("GOOGLETRANSLATE(B1906,""en"",""de"")"),"Hemd")</f>
        <v>Hemd</v>
      </c>
      <c r="H1906" s="2" t="str">
        <f ca="1">IFERROR(__xludf.DUMMYFUNCTION("GOOGLETRANSLATE(B1906,""en"",""zh"")"),"衬衫")</f>
        <v>衬衫</v>
      </c>
      <c r="I1906" s="2" t="str">
        <f ca="1">IFERROR(__xludf.DUMMYFUNCTION("GOOGLETRANSLATE(B1906,""en"",""gd"")"),"Lèine")</f>
        <v>Lèine</v>
      </c>
    </row>
    <row r="1907" spans="1:9" ht="14.25" customHeight="1" x14ac:dyDescent="0.3">
      <c r="A1907" s="2">
        <v>1906</v>
      </c>
      <c r="B1907" s="3" t="s">
        <v>1914</v>
      </c>
      <c r="C1907" s="2" t="str">
        <f ca="1">IFERROR(__xludf.DUMMYFUNCTION("GOOGLETRANSLATE(B1907, ""en"",""es"")"),"excepción")</f>
        <v>excepción</v>
      </c>
      <c r="D1907" s="2" t="str">
        <f ca="1">IFERROR(__xludf.DUMMYFUNCTION("GOOGLETRANSLATE(B1907,""en"",""ig"")"),"beluso")</f>
        <v>beluso</v>
      </c>
      <c r="E1907" s="2" t="str">
        <f ca="1">IFERROR(__xludf.DUMMYFUNCTION("GOOGLETRANSLATE(B1907,""en"",""fr"")"),"exception")</f>
        <v>exception</v>
      </c>
      <c r="F1907" s="2" t="str">
        <f ca="1">IFERROR(__xludf.DUMMYFUNCTION("GOOGLETRANSLATE(B1907,""en"",""it"")"),"eccezione")</f>
        <v>eccezione</v>
      </c>
      <c r="G1907" s="2" t="str">
        <f ca="1">IFERROR(__xludf.DUMMYFUNCTION("GOOGLETRANSLATE(B1907,""en"",""de"")"),"Ausnahme")</f>
        <v>Ausnahme</v>
      </c>
      <c r="H1907" s="2" t="str">
        <f ca="1">IFERROR(__xludf.DUMMYFUNCTION("GOOGLETRANSLATE(B1907,""en"",""zh"")"),"例外")</f>
        <v>例外</v>
      </c>
      <c r="I1907" s="2" t="str">
        <f ca="1">IFERROR(__xludf.DUMMYFUNCTION("GOOGLETRANSLATE(B1907,""en"",""gd"")"),"eisgeachd")</f>
        <v>eisgeachd</v>
      </c>
    </row>
    <row r="1908" spans="1:9" ht="14.25" customHeight="1" x14ac:dyDescent="0.3">
      <c r="A1908" s="2">
        <v>1907</v>
      </c>
      <c r="B1908" s="3" t="s">
        <v>1915</v>
      </c>
      <c r="C1908" s="2" t="str">
        <f ca="1">IFERROR(__xludf.DUMMYFUNCTION("GOOGLETRANSLATE(B1908, ""en"",""es"")"),"corporación")</f>
        <v>corporación</v>
      </c>
      <c r="D1908" s="2" t="str">
        <f ca="1">IFERROR(__xludf.DUMMYFUNCTION("GOOGLETRANSLATE(B1908,""en"",""ig"")"),"kopoporation")</f>
        <v>kopoporation</v>
      </c>
      <c r="E1908" s="2" t="str">
        <f ca="1">IFERROR(__xludf.DUMMYFUNCTION("GOOGLETRANSLATE(B1908,""en"",""fr"")"),"société")</f>
        <v>société</v>
      </c>
      <c r="F1908" s="2" t="str">
        <f ca="1">IFERROR(__xludf.DUMMYFUNCTION("GOOGLETRANSLATE(B1908,""en"",""it"")"),"società")</f>
        <v>società</v>
      </c>
      <c r="G1908" s="2" t="str">
        <f ca="1">IFERROR(__xludf.DUMMYFUNCTION("GOOGLETRANSLATE(B1908,""en"",""de"")"),"Konzern")</f>
        <v>Konzern</v>
      </c>
      <c r="H1908" s="2" t="str">
        <f ca="1">IFERROR(__xludf.DUMMYFUNCTION("GOOGLETRANSLATE(B1908,""en"",""zh"")"),"公司")</f>
        <v>公司</v>
      </c>
      <c r="I1908" s="2" t="str">
        <f ca="1">IFERROR(__xludf.DUMMYFUNCTION("GOOGLETRANSLATE(B1908,""en"",""gd"")"),"Corporra")</f>
        <v>Corporra</v>
      </c>
    </row>
    <row r="1909" spans="1:9" ht="14.25" customHeight="1" x14ac:dyDescent="0.3">
      <c r="A1909" s="2">
        <v>1908</v>
      </c>
      <c r="B1909" s="3" t="s">
        <v>1916</v>
      </c>
      <c r="C1909" s="2" t="str">
        <f ca="1">IFERROR(__xludf.DUMMYFUNCTION("GOOGLETRANSLATE(B1909, ""en"",""es"")"),"chip")</f>
        <v>chip</v>
      </c>
      <c r="D1909" s="2" t="str">
        <f ca="1">IFERROR(__xludf.DUMMYFUNCTION("GOOGLETRANSLATE(B1909,""en"",""ig"")"),"mgbawa")</f>
        <v>mgbawa</v>
      </c>
      <c r="E1909" s="2" t="str">
        <f ca="1">IFERROR(__xludf.DUMMYFUNCTION("GOOGLETRANSLATE(B1909,""en"",""fr"")"),"ébrécher")</f>
        <v>ébrécher</v>
      </c>
      <c r="F1909" s="2" t="str">
        <f ca="1">IFERROR(__xludf.DUMMYFUNCTION("GOOGLETRANSLATE(B1909,""en"",""it"")"),"patata fritta")</f>
        <v>patata fritta</v>
      </c>
      <c r="G1909" s="2" t="str">
        <f ca="1">IFERROR(__xludf.DUMMYFUNCTION("GOOGLETRANSLATE(B1909,""en"",""de"")"),"Chip")</f>
        <v>Chip</v>
      </c>
      <c r="H1909" s="2" t="str">
        <f ca="1">IFERROR(__xludf.DUMMYFUNCTION("GOOGLETRANSLATE(B1909,""en"",""zh"")"),"芯片")</f>
        <v>芯片</v>
      </c>
      <c r="I1909" s="2" t="str">
        <f ca="1">IFERROR(__xludf.DUMMYFUNCTION("GOOGLETRANSLATE(B1909,""en"",""gd"")"),"chip")</f>
        <v>chip</v>
      </c>
    </row>
    <row r="1910" spans="1:9" ht="14.25" customHeight="1" x14ac:dyDescent="0.3">
      <c r="A1910" s="2">
        <v>1909</v>
      </c>
      <c r="B1910" s="3" t="s">
        <v>1917</v>
      </c>
      <c r="C1910" s="2" t="str">
        <f ca="1">IFERROR(__xludf.DUMMYFUNCTION("GOOGLETRANSLATE(B1910, ""en"",""es"")"),"ganador")</f>
        <v>ganador</v>
      </c>
      <c r="D1910" s="2" t="str">
        <f ca="1">IFERROR(__xludf.DUMMYFUNCTION("GOOGLETRANSLATE(B1910,""en"",""ig"")"),"onyemmeri nwaanyi")</f>
        <v>onyemmeri nwaanyi</v>
      </c>
      <c r="E1910" s="2" t="str">
        <f ca="1">IFERROR(__xludf.DUMMYFUNCTION("GOOGLETRANSLATE(B1910,""en"",""fr"")"),"gagnant")</f>
        <v>gagnant</v>
      </c>
      <c r="F1910" s="2" t="str">
        <f ca="1">IFERROR(__xludf.DUMMYFUNCTION("GOOGLETRANSLATE(B1910,""en"",""it"")"),"vincitore")</f>
        <v>vincitore</v>
      </c>
      <c r="G1910" s="2" t="str">
        <f ca="1">IFERROR(__xludf.DUMMYFUNCTION("GOOGLETRANSLATE(B1910,""en"",""de"")"),"Gewinner")</f>
        <v>Gewinner</v>
      </c>
      <c r="H1910" s="2" t="str">
        <f ca="1">IFERROR(__xludf.DUMMYFUNCTION("GOOGLETRANSLATE(B1910,""en"",""zh"")"),"优胜者")</f>
        <v>优胜者</v>
      </c>
      <c r="I1910" s="2" t="str">
        <f ca="1">IFERROR(__xludf.DUMMYFUNCTION("GOOGLETRANSLATE(B1910,""en"",""gd"")"),"buannaiche")</f>
        <v>buannaiche</v>
      </c>
    </row>
    <row r="1911" spans="1:9" ht="14.25" customHeight="1" x14ac:dyDescent="0.3">
      <c r="A1911" s="2">
        <v>1910</v>
      </c>
      <c r="B1911" s="3" t="s">
        <v>1918</v>
      </c>
      <c r="C1911" s="2" t="str">
        <f ca="1">IFERROR(__xludf.DUMMYFUNCTION("GOOGLETRANSLATE(B1911, ""en"",""es"")"),"encontrar")</f>
        <v>encontrar</v>
      </c>
      <c r="D1911" s="2" t="str">
        <f ca="1">IFERROR(__xludf.DUMMYFUNCTION("GOOGLETRANSLATE(B1911,""en"",""ig"")"),"ipiakwute")</f>
        <v>ipiakwute</v>
      </c>
      <c r="E1911" s="2" t="str">
        <f ca="1">IFERROR(__xludf.DUMMYFUNCTION("GOOGLETRANSLATE(B1911,""en"",""fr"")"),"rencontre")</f>
        <v>rencontre</v>
      </c>
      <c r="F1911" s="2" t="str">
        <f ca="1">IFERROR(__xludf.DUMMYFUNCTION("GOOGLETRANSLATE(B1911,""en"",""it"")"),"incontrare")</f>
        <v>incontrare</v>
      </c>
      <c r="G1911" s="2" t="str">
        <f ca="1">IFERROR(__xludf.DUMMYFUNCTION("GOOGLETRANSLATE(B1911,""en"",""de"")"),"begegnen")</f>
        <v>begegnen</v>
      </c>
      <c r="H1911" s="2" t="str">
        <f ca="1">IFERROR(__xludf.DUMMYFUNCTION("GOOGLETRANSLATE(B1911,""en"",""zh"")"),"遇到")</f>
        <v>遇到</v>
      </c>
      <c r="I1911" s="2" t="str">
        <f ca="1">IFERROR(__xludf.DUMMYFUNCTION("GOOGLETRANSLATE(B1911,""en"",""gd"")"),"tachairt")</f>
        <v>tachairt</v>
      </c>
    </row>
    <row r="1912" spans="1:9" ht="14.25" customHeight="1" x14ac:dyDescent="0.3">
      <c r="A1912" s="2">
        <v>1911</v>
      </c>
      <c r="B1912" s="3" t="s">
        <v>1919</v>
      </c>
      <c r="C1912" s="2" t="str">
        <f ca="1">IFERROR(__xludf.DUMMYFUNCTION("GOOGLETRANSLATE(B1912, ""en"",""es"")"),"marrón")</f>
        <v>marrón</v>
      </c>
      <c r="D1912" s="2" t="str">
        <f ca="1">IFERROR(__xludf.DUMMYFUNCTION("GOOGLETRANSLATE(B1912,""en"",""ig"")"),"brawu")</f>
        <v>brawu</v>
      </c>
      <c r="E1912" s="2" t="str">
        <f ca="1">IFERROR(__xludf.DUMMYFUNCTION("GOOGLETRANSLATE(B1912,""en"",""fr"")"),"brun")</f>
        <v>brun</v>
      </c>
      <c r="F1912" s="2" t="str">
        <f ca="1">IFERROR(__xludf.DUMMYFUNCTION("GOOGLETRANSLATE(B1912,""en"",""it"")"),"marrone")</f>
        <v>marrone</v>
      </c>
      <c r="G1912" s="2" t="str">
        <f ca="1">IFERROR(__xludf.DUMMYFUNCTION("GOOGLETRANSLATE(B1912,""en"",""de"")"),"braun")</f>
        <v>braun</v>
      </c>
      <c r="H1912" s="2" t="str">
        <f ca="1">IFERROR(__xludf.DUMMYFUNCTION("GOOGLETRANSLATE(B1912,""en"",""zh"")"),"棕色的")</f>
        <v>棕色的</v>
      </c>
      <c r="I1912" s="2" t="str">
        <f ca="1">IFERROR(__xludf.DUMMYFUNCTION("GOOGLETRANSLATE(B1912,""en"",""gd"")"),"donn")</f>
        <v>donn</v>
      </c>
    </row>
    <row r="1913" spans="1:9" ht="14.25" customHeight="1" x14ac:dyDescent="0.3">
      <c r="A1913" s="2">
        <v>1912</v>
      </c>
      <c r="B1913" s="3" t="s">
        <v>1920</v>
      </c>
      <c r="C1913" s="2" t="str">
        <f ca="1">IFERROR(__xludf.DUMMYFUNCTION("GOOGLETRANSLATE(B1913, ""en"",""es"")"),"respirar")</f>
        <v>respirar</v>
      </c>
      <c r="D1913" s="2" t="str">
        <f ca="1">IFERROR(__xludf.DUMMYFUNCTION("GOOGLETRANSLATE(B1913,""en"",""ig"")"),"ikuru ume")</f>
        <v>ikuru ume</v>
      </c>
      <c r="E1913" s="2" t="str">
        <f ca="1">IFERROR(__xludf.DUMMYFUNCTION("GOOGLETRANSLATE(B1913,""en"",""fr"")"),"respirer")</f>
        <v>respirer</v>
      </c>
      <c r="F1913" s="2" t="str">
        <f ca="1">IFERROR(__xludf.DUMMYFUNCTION("GOOGLETRANSLATE(B1913,""en"",""it"")"),"respirare")</f>
        <v>respirare</v>
      </c>
      <c r="G1913" s="2" t="str">
        <f ca="1">IFERROR(__xludf.DUMMYFUNCTION("GOOGLETRANSLATE(B1913,""en"",""de"")"),"atmen")</f>
        <v>atmen</v>
      </c>
      <c r="H1913" s="2" t="str">
        <f ca="1">IFERROR(__xludf.DUMMYFUNCTION("GOOGLETRANSLATE(B1913,""en"",""zh"")"),"呼吸")</f>
        <v>呼吸</v>
      </c>
      <c r="I1913" s="2" t="str">
        <f ca="1">IFERROR(__xludf.DUMMYFUNCTION("GOOGLETRANSLATE(B1913,""en"",""gd"")"),"Breather")</f>
        <v>Breather</v>
      </c>
    </row>
    <row r="1914" spans="1:9" ht="14.25" customHeight="1" x14ac:dyDescent="0.3">
      <c r="A1914" s="2">
        <v>1913</v>
      </c>
      <c r="B1914" s="3" t="s">
        <v>1921</v>
      </c>
      <c r="C1914" s="2" t="str">
        <f ca="1">IFERROR(__xludf.DUMMYFUNCTION("GOOGLETRANSLATE(B1914, ""en"",""es"")"),"disculpar")</f>
        <v>disculpar</v>
      </c>
      <c r="D1914" s="2" t="str">
        <f ca="1">IFERROR(__xludf.DUMMYFUNCTION("GOOGLETRANSLATE(B1914,""en"",""ig"")"),"igbaghara")</f>
        <v>igbaghara</v>
      </c>
      <c r="E1914" s="2" t="str">
        <f ca="1">IFERROR(__xludf.DUMMYFUNCTION("GOOGLETRANSLATE(B1914,""en"",""fr"")"),"excuse")</f>
        <v>excuse</v>
      </c>
      <c r="F1914" s="2" t="str">
        <f ca="1">IFERROR(__xludf.DUMMYFUNCTION("GOOGLETRANSLATE(B1914,""en"",""it"")"),"scusa")</f>
        <v>scusa</v>
      </c>
      <c r="G1914" s="2" t="str">
        <f ca="1">IFERROR(__xludf.DUMMYFUNCTION("GOOGLETRANSLATE(B1914,""en"",""de"")"),"Entschuldigung")</f>
        <v>Entschuldigung</v>
      </c>
      <c r="H1914" s="2" t="str">
        <f ca="1">IFERROR(__xludf.DUMMYFUNCTION("GOOGLETRANSLATE(B1914,""en"",""zh"")"),"借口")</f>
        <v>借口</v>
      </c>
      <c r="I1914" s="2" t="str">
        <f ca="1">IFERROR(__xludf.DUMMYFUNCTION("GOOGLETRANSLATE(B1914,""en"",""gd"")"),"leisgeul")</f>
        <v>leisgeul</v>
      </c>
    </row>
    <row r="1915" spans="1:9" ht="14.25" customHeight="1" x14ac:dyDescent="0.3">
      <c r="A1915" s="2">
        <v>1914</v>
      </c>
      <c r="B1915" s="3" t="s">
        <v>1922</v>
      </c>
      <c r="C1915" s="2" t="str">
        <f ca="1">IFERROR(__xludf.DUMMYFUNCTION("GOOGLETRANSLATE(B1915, ""en"",""es"")"),"parcialmente")</f>
        <v>parcialmente</v>
      </c>
      <c r="D1915" s="2" t="str">
        <f ca="1">IFERROR(__xludf.DUMMYFUNCTION("GOOGLETRANSLATE(B1915,""en"",""ig"")"),"ke n'otu")</f>
        <v>ke n'otu</v>
      </c>
      <c r="E1915" s="2" t="str">
        <f ca="1">IFERROR(__xludf.DUMMYFUNCTION("GOOGLETRANSLATE(B1915,""en"",""fr"")"),"partiellement")</f>
        <v>partiellement</v>
      </c>
      <c r="F1915" s="2" t="str">
        <f ca="1">IFERROR(__xludf.DUMMYFUNCTION("GOOGLETRANSLATE(B1915,""en"",""it"")"),"in parte")</f>
        <v>in parte</v>
      </c>
      <c r="G1915" s="2" t="str">
        <f ca="1">IFERROR(__xludf.DUMMYFUNCTION("GOOGLETRANSLATE(B1915,""en"",""de"")"),"teilweise")</f>
        <v>teilweise</v>
      </c>
      <c r="H1915" s="2" t="str">
        <f ca="1">IFERROR(__xludf.DUMMYFUNCTION("GOOGLETRANSLATE(B1915,""en"",""zh"")"),"部分地")</f>
        <v>部分地</v>
      </c>
      <c r="I1915" s="2" t="str">
        <f ca="1">IFERROR(__xludf.DUMMYFUNCTION("GOOGLETRANSLATE(B1915,""en"",""gd"")"),"ann am pàirt")</f>
        <v>ann am pàirt</v>
      </c>
    </row>
    <row r="1916" spans="1:9" ht="14.25" customHeight="1" x14ac:dyDescent="0.3">
      <c r="A1916" s="2">
        <v>1915</v>
      </c>
      <c r="B1916" s="3" t="s">
        <v>1923</v>
      </c>
      <c r="C1916" s="2" t="str">
        <f ca="1">IFERROR(__xludf.DUMMYFUNCTION("GOOGLETRANSLATE(B1916, ""en"",""es"")"),"tenis")</f>
        <v>tenis</v>
      </c>
      <c r="D1916" s="2" t="str">
        <f ca="1">IFERROR(__xludf.DUMMYFUNCTION("GOOGLETRANSLATE(B1916,""en"",""ig"")"),"tenis")</f>
        <v>tenis</v>
      </c>
      <c r="E1916" s="2" t="str">
        <f ca="1">IFERROR(__xludf.DUMMYFUNCTION("GOOGLETRANSLATE(B1916,""en"",""fr"")"),"tennis")</f>
        <v>tennis</v>
      </c>
      <c r="F1916" s="2" t="str">
        <f ca="1">IFERROR(__xludf.DUMMYFUNCTION("GOOGLETRANSLATE(B1916,""en"",""it"")"),"tennis")</f>
        <v>tennis</v>
      </c>
      <c r="G1916" s="2" t="str">
        <f ca="1">IFERROR(__xludf.DUMMYFUNCTION("GOOGLETRANSLATE(B1916,""en"",""de"")"),"Tennis")</f>
        <v>Tennis</v>
      </c>
      <c r="H1916" s="2" t="str">
        <f ca="1">IFERROR(__xludf.DUMMYFUNCTION("GOOGLETRANSLATE(B1916,""en"",""zh"")"),"网球")</f>
        <v>网球</v>
      </c>
      <c r="I1916" s="2" t="str">
        <f ca="1">IFERROR(__xludf.DUMMYFUNCTION("GOOGLETRANSLATE(B1916,""en"",""gd"")"),"teanas")</f>
        <v>teanas</v>
      </c>
    </row>
    <row r="1917" spans="1:9" ht="14.25" customHeight="1" x14ac:dyDescent="0.3">
      <c r="A1917" s="2">
        <v>1916</v>
      </c>
      <c r="B1917" s="3" t="s">
        <v>1924</v>
      </c>
      <c r="C1917" s="2" t="str">
        <f ca="1">IFERROR(__xludf.DUMMYFUNCTION("GOOGLETRANSLATE(B1917, ""en"",""es"")"),"urbano")</f>
        <v>urbano</v>
      </c>
      <c r="D1917" s="2" t="str">
        <f ca="1">IFERROR(__xludf.DUMMYFUNCTION("GOOGLETRANSLATE(B1917,""en"",""ig"")"),"merban")</f>
        <v>merban</v>
      </c>
      <c r="E1917" s="2" t="str">
        <f ca="1">IFERROR(__xludf.DUMMYFUNCTION("GOOGLETRANSLATE(B1917,""en"",""fr"")"),"urbain")</f>
        <v>urbain</v>
      </c>
      <c r="F1917" s="2" t="str">
        <f ca="1">IFERROR(__xludf.DUMMYFUNCTION("GOOGLETRANSLATE(B1917,""en"",""it"")"),"urbano")</f>
        <v>urbano</v>
      </c>
      <c r="G1917" s="2" t="str">
        <f ca="1">IFERROR(__xludf.DUMMYFUNCTION("GOOGLETRANSLATE(B1917,""en"",""de"")"),"urban")</f>
        <v>urban</v>
      </c>
      <c r="H1917" s="2" t="str">
        <f ca="1">IFERROR(__xludf.DUMMYFUNCTION("GOOGLETRANSLATE(B1917,""en"",""zh"")"),"城市的")</f>
        <v>城市的</v>
      </c>
      <c r="I1917" s="2" t="str">
        <f ca="1">IFERROR(__xludf.DUMMYFUNCTION("GOOGLETRANSLATE(B1917,""en"",""gd"")"),"bailteil")</f>
        <v>bailteil</v>
      </c>
    </row>
    <row r="1918" spans="1:9" ht="14.25" customHeight="1" x14ac:dyDescent="0.3">
      <c r="A1918" s="2">
        <v>1917</v>
      </c>
      <c r="B1918" s="3" t="s">
        <v>1925</v>
      </c>
      <c r="C1918" s="2" t="str">
        <f ca="1">IFERROR(__xludf.DUMMYFUNCTION("GOOGLETRANSLATE(B1918, ""en"",""es"")"),"confundir")</f>
        <v>confundir</v>
      </c>
      <c r="D1918" s="2" t="str">
        <f ca="1">IFERROR(__xludf.DUMMYFUNCTION("GOOGLETRANSLATE(B1918,""en"",""ig"")"),"imesa anya")</f>
        <v>imesa anya</v>
      </c>
      <c r="E1918" s="2" t="str">
        <f ca="1">IFERROR(__xludf.DUMMYFUNCTION("GOOGLETRANSLATE(B1918,""en"",""fr"")"),"embrouiller")</f>
        <v>embrouiller</v>
      </c>
      <c r="F1918" s="2" t="str">
        <f ca="1">IFERROR(__xludf.DUMMYFUNCTION("GOOGLETRANSLATE(B1918,""en"",""it"")"),"confuso")</f>
        <v>confuso</v>
      </c>
      <c r="G1918" s="2" t="str">
        <f ca="1">IFERROR(__xludf.DUMMYFUNCTION("GOOGLETRANSLATE(B1918,""en"",""de"")"),"verwechseln")</f>
        <v>verwechseln</v>
      </c>
      <c r="H1918" s="2" t="str">
        <f ca="1">IFERROR(__xludf.DUMMYFUNCTION("GOOGLETRANSLATE(B1918,""en"",""zh"")"),"迷惑")</f>
        <v>迷惑</v>
      </c>
      <c r="I1918" s="2" t="str">
        <f ca="1">IFERROR(__xludf.DUMMYFUNCTION("GOOGLETRANSLATE(B1918,""en"",""gd"")"),"troimh-chèile")</f>
        <v>troimh-chèile</v>
      </c>
    </row>
    <row r="1919" spans="1:9" ht="14.25" customHeight="1" x14ac:dyDescent="0.3">
      <c r="A1919" s="2">
        <v>1918</v>
      </c>
      <c r="B1919" s="3" t="s">
        <v>1926</v>
      </c>
      <c r="C1919" s="2" t="str">
        <f ca="1">IFERROR(__xludf.DUMMYFUNCTION("GOOGLETRANSLATE(B1919, ""en"",""es"")"),"del Sur")</f>
        <v>del Sur</v>
      </c>
      <c r="D1919" s="2" t="str">
        <f ca="1">IFERROR(__xludf.DUMMYFUNCTION("GOOGLETRANSLATE(B1919,""en"",""ig"")"),"nke ndida")</f>
        <v>nke ndida</v>
      </c>
      <c r="E1919" s="2" t="str">
        <f ca="1">IFERROR(__xludf.DUMMYFUNCTION("GOOGLETRANSLATE(B1919,""en"",""fr"")"),"du sud")</f>
        <v>du sud</v>
      </c>
      <c r="F1919" s="2" t="str">
        <f ca="1">IFERROR(__xludf.DUMMYFUNCTION("GOOGLETRANSLATE(B1919,""en"",""it"")"),"meridionale")</f>
        <v>meridionale</v>
      </c>
      <c r="G1919" s="2" t="str">
        <f ca="1">IFERROR(__xludf.DUMMYFUNCTION("GOOGLETRANSLATE(B1919,""en"",""de"")"),"Süd-")</f>
        <v>Süd-</v>
      </c>
      <c r="H1919" s="2" t="str">
        <f ca="1">IFERROR(__xludf.DUMMYFUNCTION("GOOGLETRANSLATE(B1919,""en"",""zh"")"),"南方")</f>
        <v>南方</v>
      </c>
      <c r="I1919" s="2" t="str">
        <f ca="1">IFERROR(__xludf.DUMMYFUNCTION("GOOGLETRANSLATE(B1919,""en"",""gd"")"),"Deas")</f>
        <v>Deas</v>
      </c>
    </row>
    <row r="1920" spans="1:9" ht="14.25" customHeight="1" x14ac:dyDescent="0.3">
      <c r="A1920" s="2">
        <v>1919</v>
      </c>
      <c r="B1920" s="3" t="s">
        <v>1927</v>
      </c>
      <c r="C1920" s="2" t="str">
        <f ca="1">IFERROR(__xludf.DUMMYFUNCTION("GOOGLETRANSLATE(B1920, ""en"",""es"")"),"producción")</f>
        <v>producción</v>
      </c>
      <c r="D1920" s="2" t="str">
        <f ca="1">IFERROR(__xludf.DUMMYFUNCTION("GOOGLETRANSLATE(B1920,""en"",""ig"")"),"mmeputa")</f>
        <v>mmeputa</v>
      </c>
      <c r="E1920" s="2" t="str">
        <f ca="1">IFERROR(__xludf.DUMMYFUNCTION("GOOGLETRANSLATE(B1920,""en"",""fr"")"),"sortir")</f>
        <v>sortir</v>
      </c>
      <c r="F1920" s="2" t="str">
        <f ca="1">IFERROR(__xludf.DUMMYFUNCTION("GOOGLETRANSLATE(B1920,""en"",""it"")"),"produzione")</f>
        <v>produzione</v>
      </c>
      <c r="G1920" s="2" t="str">
        <f ca="1">IFERROR(__xludf.DUMMYFUNCTION("GOOGLETRANSLATE(B1920,""en"",""de"")"),"Ausgabe")</f>
        <v>Ausgabe</v>
      </c>
      <c r="H1920" s="2" t="str">
        <f ca="1">IFERROR(__xludf.DUMMYFUNCTION("GOOGLETRANSLATE(B1920,""en"",""zh"")"),"输出")</f>
        <v>输出</v>
      </c>
      <c r="I1920" s="2" t="str">
        <f ca="1">IFERROR(__xludf.DUMMYFUNCTION("GOOGLETRANSLATE(B1920,""en"",""gd"")"),"Toradh")</f>
        <v>Toradh</v>
      </c>
    </row>
    <row r="1921" spans="1:9" ht="14.25" customHeight="1" x14ac:dyDescent="0.3">
      <c r="A1921" s="2">
        <v>1920</v>
      </c>
      <c r="B1921" s="3" t="s">
        <v>1928</v>
      </c>
      <c r="C1921" s="2" t="str">
        <f ca="1">IFERROR(__xludf.DUMMYFUNCTION("GOOGLETRANSLATE(B1921, ""en"",""es"")"),"belleza")</f>
        <v>belleza</v>
      </c>
      <c r="D1921" s="2" t="str">
        <f ca="1">IFERROR(__xludf.DUMMYFUNCTION("GOOGLETRANSLATE(B1921,""en"",""ig"")"),"mma")</f>
        <v>mma</v>
      </c>
      <c r="E1921" s="2" t="str">
        <f ca="1">IFERROR(__xludf.DUMMYFUNCTION("GOOGLETRANSLATE(B1921,""en"",""fr"")"),"beauté")</f>
        <v>beauté</v>
      </c>
      <c r="F1921" s="2" t="str">
        <f ca="1">IFERROR(__xludf.DUMMYFUNCTION("GOOGLETRANSLATE(B1921,""en"",""it"")"),"bellezza")</f>
        <v>bellezza</v>
      </c>
      <c r="G1921" s="2" t="str">
        <f ca="1">IFERROR(__xludf.DUMMYFUNCTION("GOOGLETRANSLATE(B1921,""en"",""de"")"),"Schönheit")</f>
        <v>Schönheit</v>
      </c>
      <c r="H1921" s="2" t="str">
        <f ca="1">IFERROR(__xludf.DUMMYFUNCTION("GOOGLETRANSLATE(B1921,""en"",""zh"")"),"美丽")</f>
        <v>美丽</v>
      </c>
      <c r="I1921" s="2" t="str">
        <f ca="1">IFERROR(__xludf.DUMMYFUNCTION("GOOGLETRANSLATE(B1921,""en"",""gd"")"),"Bòidhchead")</f>
        <v>Bòidhchead</v>
      </c>
    </row>
    <row r="1922" spans="1:9" ht="14.25" customHeight="1" x14ac:dyDescent="0.3">
      <c r="A1922" s="2">
        <v>1921</v>
      </c>
      <c r="B1922" s="3" t="s">
        <v>1929</v>
      </c>
      <c r="C1922" s="2" t="str">
        <f ca="1">IFERROR(__xludf.DUMMYFUNCTION("GOOGLETRANSLATE(B1922, ""en"",""es"")"),"masivo")</f>
        <v>masivo</v>
      </c>
      <c r="D1922" s="2" t="str">
        <f ca="1">IFERROR(__xludf.DUMMYFUNCTION("GOOGLETRANSLATE(B1922,""en"",""ig"")"),"kennukwu")</f>
        <v>kennukwu</v>
      </c>
      <c r="E1922" s="2" t="str">
        <f ca="1">IFERROR(__xludf.DUMMYFUNCTION("GOOGLETRANSLATE(B1922,""en"",""fr"")"),"massif")</f>
        <v>massif</v>
      </c>
      <c r="F1922" s="2" t="str">
        <f ca="1">IFERROR(__xludf.DUMMYFUNCTION("GOOGLETRANSLATE(B1922,""en"",""it"")"),"massiccio")</f>
        <v>massiccio</v>
      </c>
      <c r="G1922" s="2" t="str">
        <f ca="1">IFERROR(__xludf.DUMMYFUNCTION("GOOGLETRANSLATE(B1922,""en"",""de"")"),"fest")</f>
        <v>fest</v>
      </c>
      <c r="H1922" s="2" t="str">
        <f ca="1">IFERROR(__xludf.DUMMYFUNCTION("GOOGLETRANSLATE(B1922,""en"",""zh"")"),"大量的")</f>
        <v>大量的</v>
      </c>
      <c r="I1922" s="2" t="str">
        <f ca="1">IFERROR(__xludf.DUMMYFUNCTION("GOOGLETRANSLATE(B1922,""en"",""gd"")"),"mòr")</f>
        <v>mòr</v>
      </c>
    </row>
    <row r="1923" spans="1:9" ht="14.25" customHeight="1" x14ac:dyDescent="0.3">
      <c r="A1923" s="2">
        <v>1922</v>
      </c>
      <c r="B1923" s="3" t="s">
        <v>1930</v>
      </c>
      <c r="C1923" s="2" t="str">
        <f ca="1">IFERROR(__xludf.DUMMYFUNCTION("GOOGLETRANSLATE(B1923, ""en"",""es"")"),"instalar")</f>
        <v>instalar</v>
      </c>
      <c r="D1923" s="2" t="str">
        <f ca="1">IFERROR(__xludf.DUMMYFUNCTION("GOOGLETRANSLATE(B1923,""en"",""ig"")"),"ichi achichi")</f>
        <v>ichi achichi</v>
      </c>
      <c r="E1923" s="2" t="str">
        <f ca="1">IFERROR(__xludf.DUMMYFUNCTION("GOOGLETRANSLATE(B1923,""en"",""fr"")"),"installer")</f>
        <v>installer</v>
      </c>
      <c r="F1923" s="2" t="str">
        <f ca="1">IFERROR(__xludf.DUMMYFUNCTION("GOOGLETRANSLATE(B1923,""en"",""it"")"),"installare")</f>
        <v>installare</v>
      </c>
      <c r="G1923" s="2" t="str">
        <f ca="1">IFERROR(__xludf.DUMMYFUNCTION("GOOGLETRANSLATE(B1923,""en"",""de"")"),"Installieren")</f>
        <v>Installieren</v>
      </c>
      <c r="H1923" s="2" t="str">
        <f ca="1">IFERROR(__xludf.DUMMYFUNCTION("GOOGLETRANSLATE(B1923,""en"",""zh"")"),"安装")</f>
        <v>安装</v>
      </c>
      <c r="I1923" s="2" t="str">
        <f ca="1">IFERROR(__xludf.DUMMYFUNCTION("GOOGLETRANSLATE(B1923,""en"",""gd"")"),"Stàladh")</f>
        <v>Stàladh</v>
      </c>
    </row>
    <row r="1924" spans="1:9" ht="14.25" customHeight="1" x14ac:dyDescent="0.3">
      <c r="A1924" s="2">
        <v>1923</v>
      </c>
      <c r="B1924" s="3" t="s">
        <v>1931</v>
      </c>
      <c r="C1924" s="2" t="str">
        <f ca="1">IFERROR(__xludf.DUMMYFUNCTION("GOOGLETRANSLATE(B1924, ""en"",""es"")"),"calcular")</f>
        <v>calcular</v>
      </c>
      <c r="D1924" s="2" t="str">
        <f ca="1">IFERROR(__xludf.DUMMYFUNCTION("GOOGLETRANSLATE(B1924,""en"",""ig"")"),"igbako")</f>
        <v>igbako</v>
      </c>
      <c r="E1924" s="2" t="str">
        <f ca="1">IFERROR(__xludf.DUMMYFUNCTION("GOOGLETRANSLATE(B1924,""en"",""fr"")"),"calculer")</f>
        <v>calculer</v>
      </c>
      <c r="F1924" s="2" t="str">
        <f ca="1">IFERROR(__xludf.DUMMYFUNCTION("GOOGLETRANSLATE(B1924,""en"",""it"")"),"calcolare")</f>
        <v>calcolare</v>
      </c>
      <c r="G1924" s="2" t="str">
        <f ca="1">IFERROR(__xludf.DUMMYFUNCTION("GOOGLETRANSLATE(B1924,""en"",""de"")"),"Berechnung")</f>
        <v>Berechnung</v>
      </c>
      <c r="H1924" s="2" t="str">
        <f ca="1">IFERROR(__xludf.DUMMYFUNCTION("GOOGLETRANSLATE(B1924,""en"",""zh"")"),"计算")</f>
        <v>计算</v>
      </c>
      <c r="I1924" s="2" t="str">
        <f ca="1">IFERROR(__xludf.DUMMYFUNCTION("GOOGLETRANSLATE(B1924,""en"",""gd"")"),"Obraich a-mach")</f>
        <v>Obraich a-mach</v>
      </c>
    </row>
    <row r="1925" spans="1:9" ht="14.25" customHeight="1" x14ac:dyDescent="0.3">
      <c r="A1925" s="2">
        <v>1924</v>
      </c>
      <c r="B1925" s="3" t="s">
        <v>1932</v>
      </c>
      <c r="C1925" s="2" t="str">
        <f ca="1">IFERROR(__xludf.DUMMYFUNCTION("GOOGLETRANSLATE(B1925, ""en"",""es"")"),"ratón")</f>
        <v>ratón</v>
      </c>
      <c r="D1925" s="2" t="str">
        <f ca="1">IFERROR(__xludf.DUMMYFUNCTION("GOOGLETRANSLATE(B1925,""en"",""ig"")"),"òké")</f>
        <v>òké</v>
      </c>
      <c r="E1925" s="2" t="str">
        <f ca="1">IFERROR(__xludf.DUMMYFUNCTION("GOOGLETRANSLATE(B1925,""en"",""fr"")"),"souris")</f>
        <v>souris</v>
      </c>
      <c r="F1925" s="2" t="str">
        <f ca="1">IFERROR(__xludf.DUMMYFUNCTION("GOOGLETRANSLATE(B1925,""en"",""it"")"),"topo")</f>
        <v>topo</v>
      </c>
      <c r="G1925" s="2" t="str">
        <f ca="1">IFERROR(__xludf.DUMMYFUNCTION("GOOGLETRANSLATE(B1925,""en"",""de"")"),"Maus")</f>
        <v>Maus</v>
      </c>
      <c r="H1925" s="2" t="str">
        <f ca="1">IFERROR(__xludf.DUMMYFUNCTION("GOOGLETRANSLATE(B1925,""en"",""zh"")"),"老鼠")</f>
        <v>老鼠</v>
      </c>
      <c r="I1925" s="2" t="str">
        <f ca="1">IFERROR(__xludf.DUMMYFUNCTION("GOOGLETRANSLATE(B1925,""en"",""gd"")"),"luchag")</f>
        <v>luchag</v>
      </c>
    </row>
    <row r="1926" spans="1:9" ht="14.25" customHeight="1" x14ac:dyDescent="0.3">
      <c r="A1926" s="2">
        <v>1925</v>
      </c>
      <c r="B1926" s="3" t="s">
        <v>1933</v>
      </c>
      <c r="C1926" s="2" t="str">
        <f ca="1">IFERROR(__xludf.DUMMYFUNCTION("GOOGLETRANSLATE(B1926, ""en"",""es"")"),"matemáticas")</f>
        <v>matemáticas</v>
      </c>
      <c r="D1926" s="2" t="str">
        <f ca="1">IFERROR(__xludf.DUMMYFUNCTION("GOOGLETRANSLATE(B1926,""en"",""ig"")"),"maasi")</f>
        <v>maasi</v>
      </c>
      <c r="E1926" s="2" t="str">
        <f ca="1">IFERROR(__xludf.DUMMYFUNCTION("GOOGLETRANSLATE(B1926,""en"",""fr"")"),"mathématiques")</f>
        <v>mathématiques</v>
      </c>
      <c r="F1926" s="2" t="str">
        <f ca="1">IFERROR(__xludf.DUMMYFUNCTION("GOOGLETRANSLATE(B1926,""en"",""it"")"),"matematica")</f>
        <v>matematica</v>
      </c>
      <c r="G1926" s="2" t="str">
        <f ca="1">IFERROR(__xludf.DUMMYFUNCTION("GOOGLETRANSLATE(B1926,""en"",""de"")"),"Mathematik")</f>
        <v>Mathematik</v>
      </c>
      <c r="H1926" s="2" t="str">
        <f ca="1">IFERROR(__xludf.DUMMYFUNCTION("GOOGLETRANSLATE(B1926,""en"",""zh"")"),"数学")</f>
        <v>数学</v>
      </c>
      <c r="I1926" s="2" t="str">
        <f ca="1">IFERROR(__xludf.DUMMYFUNCTION("GOOGLETRANSLATE(B1926,""en"",""gd"")"),"Matamataig")</f>
        <v>Matamataig</v>
      </c>
    </row>
    <row r="1927" spans="1:9" ht="14.25" customHeight="1" x14ac:dyDescent="0.3">
      <c r="A1927" s="2">
        <v>1926</v>
      </c>
      <c r="B1927" s="3" t="s">
        <v>1934</v>
      </c>
      <c r="C1927" s="2" t="str">
        <f ca="1">IFERROR(__xludf.DUMMYFUNCTION("GOOGLETRANSLATE(B1927, ""en"",""es"")"),"superior")</f>
        <v>superior</v>
      </c>
      <c r="D1927" s="2" t="str">
        <f ca="1">IFERROR(__xludf.DUMMYFUNCTION("GOOGLETRANSLATE(B1927,""en"",""ig"")"),"elu elu")</f>
        <v>elu elu</v>
      </c>
      <c r="E1927" s="2" t="str">
        <f ca="1">IFERROR(__xludf.DUMMYFUNCTION("GOOGLETRANSLATE(B1927,""en"",""fr"")"),"supérieur")</f>
        <v>supérieur</v>
      </c>
      <c r="F1927" s="2" t="str">
        <f ca="1">IFERROR(__xludf.DUMMYFUNCTION("GOOGLETRANSLATE(B1927,""en"",""it"")"),"superiore")</f>
        <v>superiore</v>
      </c>
      <c r="G1927" s="2" t="str">
        <f ca="1">IFERROR(__xludf.DUMMYFUNCTION("GOOGLETRANSLATE(B1927,""en"",""de"")"),"Oberer, höher")</f>
        <v>Oberer, höher</v>
      </c>
      <c r="H1927" s="2" t="str">
        <f ca="1">IFERROR(__xludf.DUMMYFUNCTION("GOOGLETRANSLATE(B1927,""en"",""zh"")"),"上")</f>
        <v>上</v>
      </c>
      <c r="I1927" s="2" t="str">
        <f ca="1">IFERROR(__xludf.DUMMYFUNCTION("GOOGLETRANSLATE(B1927,""en"",""gd"")"),"àrd")</f>
        <v>àrd</v>
      </c>
    </row>
    <row r="1928" spans="1:9" ht="14.25" customHeight="1" x14ac:dyDescent="0.3">
      <c r="A1928" s="2">
        <v>1927</v>
      </c>
      <c r="B1928" s="3" t="s">
        <v>1935</v>
      </c>
      <c r="C1928" s="2" t="str">
        <f ca="1">IFERROR(__xludf.DUMMYFUNCTION("GOOGLETRANSLATE(B1928, ""en"",""es"")"),"creación")</f>
        <v>creación</v>
      </c>
      <c r="D1928" s="2" t="str">
        <f ca="1">IFERROR(__xludf.DUMMYFUNCTION("GOOGLETRANSLATE(B1928,""en"",""ig"")"),"okike")</f>
        <v>okike</v>
      </c>
      <c r="E1928" s="2" t="str">
        <f ca="1">IFERROR(__xludf.DUMMYFUNCTION("GOOGLETRANSLATE(B1928,""en"",""fr"")"),"création")</f>
        <v>création</v>
      </c>
      <c r="F1928" s="2" t="str">
        <f ca="1">IFERROR(__xludf.DUMMYFUNCTION("GOOGLETRANSLATE(B1928,""en"",""it"")"),"creazione")</f>
        <v>creazione</v>
      </c>
      <c r="G1928" s="2" t="str">
        <f ca="1">IFERROR(__xludf.DUMMYFUNCTION("GOOGLETRANSLATE(B1928,""en"",""de"")"),"Schaffung")</f>
        <v>Schaffung</v>
      </c>
      <c r="H1928" s="2" t="str">
        <f ca="1">IFERROR(__xludf.DUMMYFUNCTION("GOOGLETRANSLATE(B1928,""en"",""zh"")"),"创建")</f>
        <v>创建</v>
      </c>
      <c r="I1928" s="2" t="str">
        <f ca="1">IFERROR(__xludf.DUMMYFUNCTION("GOOGLETRANSLATE(B1928,""en"",""gd"")"),"Cruthachadh")</f>
        <v>Cruthachadh</v>
      </c>
    </row>
    <row r="1929" spans="1:9" ht="14.25" customHeight="1" x14ac:dyDescent="0.3">
      <c r="A1929" s="2">
        <v>1928</v>
      </c>
      <c r="B1929" s="3" t="s">
        <v>1936</v>
      </c>
      <c r="C1929" s="2" t="str">
        <f ca="1">IFERROR(__xludf.DUMMYFUNCTION("GOOGLETRANSLATE(B1929, ""en"",""es"")"),"ocupar")</f>
        <v>ocupar</v>
      </c>
      <c r="D1929" s="2" t="str">
        <f ca="1">IFERROR(__xludf.DUMMYFUNCTION("GOOGLETRANSLATE(B1929,""en"",""ig"")"),"bigide")</f>
        <v>bigide</v>
      </c>
      <c r="E1929" s="2" t="str">
        <f ca="1">IFERROR(__xludf.DUMMYFUNCTION("GOOGLETRANSLATE(B1929,""en"",""fr"")"),"occuper")</f>
        <v>occuper</v>
      </c>
      <c r="F1929" s="2" t="str">
        <f ca="1">IFERROR(__xludf.DUMMYFUNCTION("GOOGLETRANSLATE(B1929,""en"",""it"")"),"occupare")</f>
        <v>occupare</v>
      </c>
      <c r="G1929" s="2" t="str">
        <f ca="1">IFERROR(__xludf.DUMMYFUNCTION("GOOGLETRANSLATE(B1929,""en"",""de"")"),"besetzen")</f>
        <v>besetzen</v>
      </c>
      <c r="H1929" s="2" t="str">
        <f ca="1">IFERROR(__xludf.DUMMYFUNCTION("GOOGLETRANSLATE(B1929,""en"",""zh"")"),"占据")</f>
        <v>占据</v>
      </c>
      <c r="I1929" s="2" t="str">
        <f ca="1">IFERROR(__xludf.DUMMYFUNCTION("GOOGLETRANSLATE(B1929,""en"",""gd"")"),"tha seilbh ann")</f>
        <v>tha seilbh ann</v>
      </c>
    </row>
    <row r="1930" spans="1:9" ht="14.25" customHeight="1" x14ac:dyDescent="0.3">
      <c r="A1930" s="2">
        <v>1929</v>
      </c>
      <c r="B1930" s="3" t="s">
        <v>1937</v>
      </c>
      <c r="C1930" s="2" t="str">
        <f ca="1">IFERROR(__xludf.DUMMYFUNCTION("GOOGLETRANSLATE(B1930, ""en"",""es"")"),"describir")</f>
        <v>describir</v>
      </c>
      <c r="D1930" s="2" t="str">
        <f ca="1">IFERROR(__xludf.DUMMYFUNCTION("GOOGLETRANSLATE(B1930,""en"",""ig"")"),"ndeputa")</f>
        <v>ndeputa</v>
      </c>
      <c r="E1930" s="2" t="str">
        <f ca="1">IFERROR(__xludf.DUMMYFUNCTION("GOOGLETRANSLATE(B1930,""en"",""fr"")"),"contour")</f>
        <v>contour</v>
      </c>
      <c r="F1930" s="2" t="str">
        <f ca="1">IFERROR(__xludf.DUMMYFUNCTION("GOOGLETRANSLATE(B1930,""en"",""it"")"),"contorno")</f>
        <v>contorno</v>
      </c>
      <c r="G1930" s="2" t="str">
        <f ca="1">IFERROR(__xludf.DUMMYFUNCTION("GOOGLETRANSLATE(B1930,""en"",""de"")"),"Gliederung")</f>
        <v>Gliederung</v>
      </c>
      <c r="H1930" s="2" t="str">
        <f ca="1">IFERROR(__xludf.DUMMYFUNCTION("GOOGLETRANSLATE(B1930,""en"",""zh"")"),"大纲")</f>
        <v>大纲</v>
      </c>
      <c r="I1930" s="2" t="str">
        <f ca="1">IFERROR(__xludf.DUMMYFUNCTION("GOOGLETRANSLATE(B1930,""en"",""gd"")"),"Dealbh a-mach")</f>
        <v>Dealbh a-mach</v>
      </c>
    </row>
    <row r="1931" spans="1:9" ht="14.25" customHeight="1" x14ac:dyDescent="0.3">
      <c r="A1931" s="2">
        <v>1930</v>
      </c>
      <c r="B1931" s="3" t="s">
        <v>1938</v>
      </c>
      <c r="C1931" s="2" t="str">
        <f ca="1">IFERROR(__xludf.DUMMYFUNCTION("GOOGLETRANSLATE(B1931, ""en"",""es"")"),"suficiente")</f>
        <v>suficiente</v>
      </c>
      <c r="D1931" s="2" t="str">
        <f ca="1">IFERROR(__xludf.DUMMYFUNCTION("GOOGLETRANSLATE(B1931,""en"",""ig"")"),"nke ojuju")</f>
        <v>nke ojuju</v>
      </c>
      <c r="E1931" s="2" t="str">
        <f ca="1">IFERROR(__xludf.DUMMYFUNCTION("GOOGLETRANSLATE(B1931,""en"",""fr"")"),"suffisant")</f>
        <v>suffisant</v>
      </c>
      <c r="F1931" s="2" t="str">
        <f ca="1">IFERROR(__xludf.DUMMYFUNCTION("GOOGLETRANSLATE(B1931,""en"",""it"")"),"sufficiente")</f>
        <v>sufficiente</v>
      </c>
      <c r="G1931" s="2" t="str">
        <f ca="1">IFERROR(__xludf.DUMMYFUNCTION("GOOGLETRANSLATE(B1931,""en"",""de"")"),"ausreichend")</f>
        <v>ausreichend</v>
      </c>
      <c r="H1931" s="2" t="str">
        <f ca="1">IFERROR(__xludf.DUMMYFUNCTION("GOOGLETRANSLATE(B1931,""en"",""zh"")"),"充足的")</f>
        <v>充足的</v>
      </c>
      <c r="I1931" s="2" t="str">
        <f ca="1">IFERROR(__xludf.DUMMYFUNCTION("GOOGLETRANSLATE(B1931,""en"",""gd"")"),"gu leòr")</f>
        <v>gu leòr</v>
      </c>
    </row>
    <row r="1932" spans="1:9" ht="14.25" customHeight="1" x14ac:dyDescent="0.3">
      <c r="A1932" s="2">
        <v>1931</v>
      </c>
      <c r="B1932" s="3" t="s">
        <v>1939</v>
      </c>
      <c r="C1932" s="2" t="str">
        <f ca="1">IFERROR(__xludf.DUMMYFUNCTION("GOOGLETRANSLATE(B1932, ""en"",""es"")"),"actualizar")</f>
        <v>actualizar</v>
      </c>
      <c r="D1932" s="2" t="str">
        <f ca="1">IFERROR(__xludf.DUMMYFUNCTION("GOOGLETRANSLATE(B1932,""en"",""ig"")"),"imeto")</f>
        <v>imeto</v>
      </c>
      <c r="E1932" s="2" t="str">
        <f ca="1">IFERROR(__xludf.DUMMYFUNCTION("GOOGLETRANSLATE(B1932,""en"",""fr"")"),"mise à jour")</f>
        <v>mise à jour</v>
      </c>
      <c r="F1932" s="2" t="str">
        <f ca="1">IFERROR(__xludf.DUMMYFUNCTION("GOOGLETRANSLATE(B1932,""en"",""it"")"),"aggiornamento")</f>
        <v>aggiornamento</v>
      </c>
      <c r="G1932" s="2" t="str">
        <f ca="1">IFERROR(__xludf.DUMMYFUNCTION("GOOGLETRANSLATE(B1932,""en"",""de"")"),"aktualisieren")</f>
        <v>aktualisieren</v>
      </c>
      <c r="H1932" s="2" t="str">
        <f ca="1">IFERROR(__xludf.DUMMYFUNCTION("GOOGLETRANSLATE(B1932,""en"",""zh"")"),"更新")</f>
        <v>更新</v>
      </c>
      <c r="I1932" s="2" t="str">
        <f ca="1">IFERROR(__xludf.DUMMYFUNCTION("GOOGLETRANSLATE(B1932,""en"",""gd"")"),"Ùrachadh")</f>
        <v>Ùrachadh</v>
      </c>
    </row>
    <row r="1933" spans="1:9" ht="14.25" customHeight="1" x14ac:dyDescent="0.3">
      <c r="A1933" s="2">
        <v>1932</v>
      </c>
      <c r="B1933" s="3" t="s">
        <v>1940</v>
      </c>
      <c r="C1933" s="2" t="str">
        <f ca="1">IFERROR(__xludf.DUMMYFUNCTION("GOOGLETRANSLATE(B1933, ""en"",""es"")"),"suerte")</f>
        <v>suerte</v>
      </c>
      <c r="D1933" s="2" t="str">
        <f ca="1">IFERROR(__xludf.DUMMYFUNCTION("GOOGLETRANSLATE(B1933,""en"",""ig"")"),"chioma")</f>
        <v>chioma</v>
      </c>
      <c r="E1933" s="2" t="str">
        <f ca="1">IFERROR(__xludf.DUMMYFUNCTION("GOOGLETRANSLATE(B1933,""en"",""fr"")"),"chance")</f>
        <v>chance</v>
      </c>
      <c r="F1933" s="2" t="str">
        <f ca="1">IFERROR(__xludf.DUMMYFUNCTION("GOOGLETRANSLATE(B1933,""en"",""it"")"),"fortuna")</f>
        <v>fortuna</v>
      </c>
      <c r="G1933" s="2" t="str">
        <f ca="1">IFERROR(__xludf.DUMMYFUNCTION("GOOGLETRANSLATE(B1933,""en"",""de"")"),"Glück")</f>
        <v>Glück</v>
      </c>
      <c r="H1933" s="2" t="str">
        <f ca="1">IFERROR(__xludf.DUMMYFUNCTION("GOOGLETRANSLATE(B1933,""en"",""zh"")"),"运气")</f>
        <v>运气</v>
      </c>
      <c r="I1933" s="2" t="str">
        <f ca="1">IFERROR(__xludf.DUMMYFUNCTION("GOOGLETRANSLATE(B1933,""en"",""gd"")"),"fortan")</f>
        <v>fortan</v>
      </c>
    </row>
    <row r="1934" spans="1:9" ht="14.25" customHeight="1" x14ac:dyDescent="0.3">
      <c r="A1934" s="2">
        <v>1933</v>
      </c>
      <c r="B1934" s="3" t="s">
        <v>1941</v>
      </c>
      <c r="C1934" s="2" t="str">
        <f ca="1">IFERROR(__xludf.DUMMYFUNCTION("GOOGLETRANSLATE(B1934, ""en"",""es"")"),"preservar")</f>
        <v>preservar</v>
      </c>
      <c r="D1934" s="2" t="str">
        <f ca="1">IFERROR(__xludf.DUMMYFUNCTION("GOOGLETRANSLATE(B1934,""en"",""ig"")"),"gbochie maka mmebi")</f>
        <v>gbochie maka mmebi</v>
      </c>
      <c r="E1934" s="2" t="str">
        <f ca="1">IFERROR(__xludf.DUMMYFUNCTION("GOOGLETRANSLATE(B1934,""en"",""fr"")"),"préserver")</f>
        <v>préserver</v>
      </c>
      <c r="F1934" s="2" t="str">
        <f ca="1">IFERROR(__xludf.DUMMYFUNCTION("GOOGLETRANSLATE(B1934,""en"",""it"")"),"conserva")</f>
        <v>conserva</v>
      </c>
      <c r="G1934" s="2" t="str">
        <f ca="1">IFERROR(__xludf.DUMMYFUNCTION("GOOGLETRANSLATE(B1934,""en"",""de"")"),"bewahren")</f>
        <v>bewahren</v>
      </c>
      <c r="H1934" s="2" t="str">
        <f ca="1">IFERROR(__xludf.DUMMYFUNCTION("GOOGLETRANSLATE(B1934,""en"",""zh"")"),"保存")</f>
        <v>保存</v>
      </c>
      <c r="I1934" s="2" t="str">
        <f ca="1">IFERROR(__xludf.DUMMYFUNCTION("GOOGLETRANSLATE(B1934,""en"",""gd"")"),"Glèidheadh")</f>
        <v>Glèidheadh</v>
      </c>
    </row>
    <row r="1935" spans="1:9" ht="14.25" customHeight="1" x14ac:dyDescent="0.3">
      <c r="A1935" s="2">
        <v>1934</v>
      </c>
      <c r="B1935" s="3" t="s">
        <v>1942</v>
      </c>
      <c r="C1935" s="2" t="str">
        <f ca="1">IFERROR(__xludf.DUMMYFUNCTION("GOOGLETRANSLATE(B1935, ""en"",""es"")"),"dividir")</f>
        <v>dividir</v>
      </c>
      <c r="D1935" s="2" t="str">
        <f ca="1">IFERROR(__xludf.DUMMYFUNCTION("GOOGLETRANSLATE(B1935,""en"",""ig"")"),"Kewaa")</f>
        <v>Kewaa</v>
      </c>
      <c r="E1935" s="2" t="str">
        <f ca="1">IFERROR(__xludf.DUMMYFUNCTION("GOOGLETRANSLATE(B1935,""en"",""fr"")"),"diviser")</f>
        <v>diviser</v>
      </c>
      <c r="F1935" s="2" t="str">
        <f ca="1">IFERROR(__xludf.DUMMYFUNCTION("GOOGLETRANSLATE(B1935,""en"",""it"")"),"diviso")</f>
        <v>diviso</v>
      </c>
      <c r="G1935" s="2" t="str">
        <f ca="1">IFERROR(__xludf.DUMMYFUNCTION("GOOGLETRANSLATE(B1935,""en"",""de"")"),"Teilt")</f>
        <v>Teilt</v>
      </c>
      <c r="H1935" s="2" t="str">
        <f ca="1">IFERROR(__xludf.DUMMYFUNCTION("GOOGLETRANSLATE(B1935,""en"",""zh"")"),"分裂")</f>
        <v>分裂</v>
      </c>
      <c r="I1935" s="2" t="str">
        <f ca="1">IFERROR(__xludf.DUMMYFUNCTION("GOOGLETRANSLATE(B1935,""en"",""gd"")"),"Roinn")</f>
        <v>Roinn</v>
      </c>
    </row>
    <row r="1936" spans="1:9" ht="14.25" customHeight="1" x14ac:dyDescent="0.3">
      <c r="A1936" s="2">
        <v>1935</v>
      </c>
      <c r="B1936" s="3" t="s">
        <v>1943</v>
      </c>
      <c r="C1936" s="2" t="str">
        <f ca="1">IFERROR(__xludf.DUMMYFUNCTION("GOOGLETRANSLATE(B1936, ""en"",""es"")"),"balancearse")</f>
        <v>balancearse</v>
      </c>
      <c r="D1936" s="2" t="str">
        <f ca="1">IFERROR(__xludf.DUMMYFUNCTION("GOOGLETRANSLATE(B1936,""en"",""ig"")"),"siwing")</f>
        <v>siwing</v>
      </c>
      <c r="E1936" s="2" t="str">
        <f ca="1">IFERROR(__xludf.DUMMYFUNCTION("GOOGLETRANSLATE(B1936,""en"",""fr"")"),"balançoire")</f>
        <v>balançoire</v>
      </c>
      <c r="F1936" s="2" t="str">
        <f ca="1">IFERROR(__xludf.DUMMYFUNCTION("GOOGLETRANSLATE(B1936,""en"",""it"")"),"oscillazione")</f>
        <v>oscillazione</v>
      </c>
      <c r="G1936" s="2" t="str">
        <f ca="1">IFERROR(__xludf.DUMMYFUNCTION("GOOGLETRANSLATE(B1936,""en"",""de"")"),"schwingen")</f>
        <v>schwingen</v>
      </c>
      <c r="H1936" s="2" t="str">
        <f ca="1">IFERROR(__xludf.DUMMYFUNCTION("GOOGLETRANSLATE(B1936,""en"",""zh"")"),"摇摆")</f>
        <v>摇摆</v>
      </c>
      <c r="I1936" s="2" t="str">
        <f ca="1">IFERROR(__xludf.DUMMYFUNCTION("GOOGLETRANSLATE(B1936,""en"",""gd"")"),"swing")</f>
        <v>swing</v>
      </c>
    </row>
    <row r="1937" spans="1:9" ht="14.25" customHeight="1" x14ac:dyDescent="0.3">
      <c r="A1937" s="2">
        <v>1936</v>
      </c>
      <c r="B1937" s="3" t="s">
        <v>1944</v>
      </c>
      <c r="C1937" s="2" t="str">
        <f ca="1">IFERROR(__xludf.DUMMYFUNCTION("GOOGLETRANSLATE(B1937, ""en"",""es"")"),"enfermedad")</f>
        <v>enfermedad</v>
      </c>
      <c r="D1937" s="2" t="str">
        <f ca="1">IFERROR(__xludf.DUMMYFUNCTION("GOOGLETRANSLATE(B1937,""en"",""ig"")"),"ọrịa")</f>
        <v>ọrịa</v>
      </c>
      <c r="E1937" s="2" t="str">
        <f ca="1">IFERROR(__xludf.DUMMYFUNCTION("GOOGLETRANSLATE(B1937,""en"",""fr"")"),"maladie")</f>
        <v>maladie</v>
      </c>
      <c r="F1937" s="2" t="str">
        <f ca="1">IFERROR(__xludf.DUMMYFUNCTION("GOOGLETRANSLATE(B1937,""en"",""it"")"),"malattia")</f>
        <v>malattia</v>
      </c>
      <c r="G1937" s="2" t="str">
        <f ca="1">IFERROR(__xludf.DUMMYFUNCTION("GOOGLETRANSLATE(B1937,""en"",""de"")"),"Erkrankung")</f>
        <v>Erkrankung</v>
      </c>
      <c r="H1937" s="2" t="str">
        <f ca="1">IFERROR(__xludf.DUMMYFUNCTION("GOOGLETRANSLATE(B1937,""en"",""zh"")"),"疾病")</f>
        <v>疾病</v>
      </c>
      <c r="I1937" s="2" t="str">
        <f ca="1">IFERROR(__xludf.DUMMYFUNCTION("GOOGLETRANSLATE(B1937,""en"",""gd"")"),"tinneas")</f>
        <v>tinneas</v>
      </c>
    </row>
    <row r="1938" spans="1:9" ht="14.25" customHeight="1" x14ac:dyDescent="0.3">
      <c r="A1938" s="2">
        <v>1937</v>
      </c>
      <c r="B1938" s="3" t="s">
        <v>1945</v>
      </c>
      <c r="C1938" s="2" t="str">
        <f ca="1">IFERROR(__xludf.DUMMYFUNCTION("GOOGLETRANSLATE(B1938, ""en"",""es"")"),"periodista")</f>
        <v>periodista</v>
      </c>
      <c r="D1938" s="2" t="str">
        <f ca="1">IFERROR(__xludf.DUMMYFUNCTION("GOOGLETRANSLATE(B1938,""en"",""ig"")"),"onye ntaakuko")</f>
        <v>onye ntaakuko</v>
      </c>
      <c r="E1938" s="2" t="str">
        <f ca="1">IFERROR(__xludf.DUMMYFUNCTION("GOOGLETRANSLATE(B1938,""en"",""fr"")"),"journaliste")</f>
        <v>journaliste</v>
      </c>
      <c r="F1938" s="2" t="str">
        <f ca="1">IFERROR(__xludf.DUMMYFUNCTION("GOOGLETRANSLATE(B1938,""en"",""it"")"),"giornalista")</f>
        <v>giornalista</v>
      </c>
      <c r="G1938" s="2" t="str">
        <f ca="1">IFERROR(__xludf.DUMMYFUNCTION("GOOGLETRANSLATE(B1938,""en"",""de"")"),"Journalist")</f>
        <v>Journalist</v>
      </c>
      <c r="H1938" s="2" t="str">
        <f ca="1">IFERROR(__xludf.DUMMYFUNCTION("GOOGLETRANSLATE(B1938,""en"",""zh"")"),"记者")</f>
        <v>记者</v>
      </c>
      <c r="I1938" s="2" t="str">
        <f ca="1">IFERROR(__xludf.DUMMYFUNCTION("GOOGLETRANSLATE(B1938,""en"",""gd"")"),"Neach-naidheachd")</f>
        <v>Neach-naidheachd</v>
      </c>
    </row>
    <row r="1939" spans="1:9" ht="14.25" customHeight="1" x14ac:dyDescent="0.3">
      <c r="A1939" s="2">
        <v>1938</v>
      </c>
      <c r="B1939" s="3" t="s">
        <v>1946</v>
      </c>
      <c r="C1939" s="2" t="str">
        <f ca="1">IFERROR(__xludf.DUMMYFUNCTION("GOOGLETRANSLATE(B1939, ""en"",""es"")"),"repentino")</f>
        <v>repentino</v>
      </c>
      <c r="D1939" s="2" t="str">
        <f ca="1">IFERROR(__xludf.DUMMYFUNCTION("GOOGLETRANSLATE(B1939,""en"",""ig"")"),"nke mberede")</f>
        <v>nke mberede</v>
      </c>
      <c r="E1939" s="2" t="str">
        <f ca="1">IFERROR(__xludf.DUMMYFUNCTION("GOOGLETRANSLATE(B1939,""en"",""fr"")"),"soudain")</f>
        <v>soudain</v>
      </c>
      <c r="F1939" s="2" t="str">
        <f ca="1">IFERROR(__xludf.DUMMYFUNCTION("GOOGLETRANSLATE(B1939,""en"",""it"")"),"improvviso")</f>
        <v>improvviso</v>
      </c>
      <c r="G1939" s="2" t="str">
        <f ca="1">IFERROR(__xludf.DUMMYFUNCTION("GOOGLETRANSLATE(B1939,""en"",""de"")"),"plötzlich")</f>
        <v>plötzlich</v>
      </c>
      <c r="H1939" s="2" t="str">
        <f ca="1">IFERROR(__xludf.DUMMYFUNCTION("GOOGLETRANSLATE(B1939,""en"",""zh"")"),"突然")</f>
        <v>突然</v>
      </c>
      <c r="I1939" s="2" t="str">
        <f ca="1">IFERROR(__xludf.DUMMYFUNCTION("GOOGLETRANSLATE(B1939,""en"",""gd"")"),"gu h-obann")</f>
        <v>gu h-obann</v>
      </c>
    </row>
    <row r="1940" spans="1:9" ht="14.25" customHeight="1" x14ac:dyDescent="0.3">
      <c r="A1940" s="2">
        <v>1939</v>
      </c>
      <c r="B1940" s="3" t="s">
        <v>1947</v>
      </c>
      <c r="C1940" s="2" t="str">
        <f ca="1">IFERROR(__xludf.DUMMYFUNCTION("GOOGLETRANSLATE(B1940, ""en"",""es"")"),"anuncio")</f>
        <v>anuncio</v>
      </c>
      <c r="D1940" s="2" t="str">
        <f ca="1">IFERROR(__xludf.DUMMYFUNCTION("GOOGLETRANSLATE(B1940,""en"",""ig"")"),"mgbasa ozi ahia")</f>
        <v>mgbasa ozi ahia</v>
      </c>
      <c r="E1940" s="2" t="str">
        <f ca="1">IFERROR(__xludf.DUMMYFUNCTION("GOOGLETRANSLATE(B1940,""en"",""fr"")"),"publicité")</f>
        <v>publicité</v>
      </c>
      <c r="F1940" s="2" t="str">
        <f ca="1">IFERROR(__xludf.DUMMYFUNCTION("GOOGLETRANSLATE(B1940,""en"",""it"")"),"annuncio")</f>
        <v>annuncio</v>
      </c>
      <c r="G1940" s="2" t="str">
        <f ca="1">IFERROR(__xludf.DUMMYFUNCTION("GOOGLETRANSLATE(B1940,""en"",""de"")"),"Werbung")</f>
        <v>Werbung</v>
      </c>
      <c r="H1940" s="2" t="str">
        <f ca="1">IFERROR(__xludf.DUMMYFUNCTION("GOOGLETRANSLATE(B1940,""en"",""zh"")"),"广告")</f>
        <v>广告</v>
      </c>
      <c r="I1940" s="2" t="str">
        <f ca="1">IFERROR(__xludf.DUMMYFUNCTION("GOOGLETRANSLATE(B1940,""en"",""gd"")"),"Sanas")</f>
        <v>Sanas</v>
      </c>
    </row>
    <row r="1941" spans="1:9" ht="14.25" customHeight="1" x14ac:dyDescent="0.3">
      <c r="A1941" s="2">
        <v>1940</v>
      </c>
      <c r="B1941" s="3" t="s">
        <v>1948</v>
      </c>
      <c r="C1941" s="2" t="str">
        <f ca="1">IFERROR(__xludf.DUMMYFUNCTION("GOOGLETRANSLATE(B1941, ""en"",""es"")"),"coherente")</f>
        <v>coherente</v>
      </c>
      <c r="D1941" s="2" t="str">
        <f ca="1">IFERROR(__xludf.DUMMYFUNCTION("GOOGLETRANSLATE(B1941,""en"",""ig"")"),"odinuudi")</f>
        <v>odinuudi</v>
      </c>
      <c r="E1941" s="2" t="str">
        <f ca="1">IFERROR(__xludf.DUMMYFUNCTION("GOOGLETRANSLATE(B1941,""en"",""fr"")"),"cohérent")</f>
        <v>cohérent</v>
      </c>
      <c r="F1941" s="2" t="str">
        <f ca="1">IFERROR(__xludf.DUMMYFUNCTION("GOOGLETRANSLATE(B1941,""en"",""it"")"),"coerente")</f>
        <v>coerente</v>
      </c>
      <c r="G1941" s="2" t="str">
        <f ca="1">IFERROR(__xludf.DUMMYFUNCTION("GOOGLETRANSLATE(B1941,""en"",""de"")"),"konsistent")</f>
        <v>konsistent</v>
      </c>
      <c r="H1941" s="2" t="str">
        <f ca="1">IFERROR(__xludf.DUMMYFUNCTION("GOOGLETRANSLATE(B1941,""en"",""zh"")"),"持续的")</f>
        <v>持续的</v>
      </c>
      <c r="I1941" s="2" t="str">
        <f ca="1">IFERROR(__xludf.DUMMYFUNCTION("GOOGLETRANSLATE(B1941,""en"",""gd"")"),"cunbhalach")</f>
        <v>cunbhalach</v>
      </c>
    </row>
    <row r="1942" spans="1:9" ht="14.25" customHeight="1" x14ac:dyDescent="0.3">
      <c r="A1942" s="2">
        <v>1941</v>
      </c>
      <c r="B1942" s="3" t="s">
        <v>1949</v>
      </c>
      <c r="C1942" s="2" t="str">
        <f ca="1">IFERROR(__xludf.DUMMYFUNCTION("GOOGLETRANSLATE(B1942, ""en"",""es"")"),"originalmente")</f>
        <v>originalmente</v>
      </c>
      <c r="D1942" s="2" t="str">
        <f ca="1">IFERROR(__xludf.DUMMYFUNCTION("GOOGLETRANSLATE(B1942,""en"",""ig"")"),"nambido")</f>
        <v>nambido</v>
      </c>
      <c r="E1942" s="2" t="str">
        <f ca="1">IFERROR(__xludf.DUMMYFUNCTION("GOOGLETRANSLATE(B1942,""en"",""fr"")"),"initialement")</f>
        <v>initialement</v>
      </c>
      <c r="F1942" s="2" t="str">
        <f ca="1">IFERROR(__xludf.DUMMYFUNCTION("GOOGLETRANSLATE(B1942,""en"",""it"")"),"originariamente")</f>
        <v>originariamente</v>
      </c>
      <c r="G1942" s="2" t="str">
        <f ca="1">IFERROR(__xludf.DUMMYFUNCTION("GOOGLETRANSLATE(B1942,""en"",""de"")"),"ursprünglich")</f>
        <v>ursprünglich</v>
      </c>
      <c r="H1942" s="2" t="str">
        <f ca="1">IFERROR(__xludf.DUMMYFUNCTION("GOOGLETRANSLATE(B1942,""en"",""zh"")"),"起初")</f>
        <v>起初</v>
      </c>
      <c r="I1942" s="2" t="str">
        <f ca="1">IFERROR(__xludf.DUMMYFUNCTION("GOOGLETRANSLATE(B1942,""en"",""gd"")"),"An toiseach")</f>
        <v>An toiseach</v>
      </c>
    </row>
    <row r="1943" spans="1:9" ht="14.25" customHeight="1" x14ac:dyDescent="0.3">
      <c r="A1943" s="2">
        <v>1942</v>
      </c>
      <c r="B1943" s="3" t="s">
        <v>1950</v>
      </c>
      <c r="C1943" s="2" t="str">
        <f ca="1">IFERROR(__xludf.DUMMYFUNCTION("GOOGLETRANSLATE(B1943, ""en"",""es"")"),"aparte")</f>
        <v>aparte</v>
      </c>
      <c r="D1943" s="2" t="str">
        <f ca="1">IFERROR(__xludf.DUMMYFUNCTION("GOOGLETRANSLATE(B1943,""en"",""ig"")"),"rude")</f>
        <v>rude</v>
      </c>
      <c r="E1943" s="2" t="str">
        <f ca="1">IFERROR(__xludf.DUMMYFUNCTION("GOOGLETRANSLATE(B1943,""en"",""fr"")"),"de côté")</f>
        <v>de côté</v>
      </c>
      <c r="F1943" s="2" t="str">
        <f ca="1">IFERROR(__xludf.DUMMYFUNCTION("GOOGLETRANSLATE(B1943,""en"",""it"")"),"a parte")</f>
        <v>a parte</v>
      </c>
      <c r="G1943" s="2" t="str">
        <f ca="1">IFERROR(__xludf.DUMMYFUNCTION("GOOGLETRANSLATE(B1943,""en"",""de"")"),"beiseite")</f>
        <v>beiseite</v>
      </c>
      <c r="H1943" s="2" t="str">
        <f ca="1">IFERROR(__xludf.DUMMYFUNCTION("GOOGLETRANSLATE(B1943,""en"",""zh"")"),"在旁边")</f>
        <v>在旁边</v>
      </c>
      <c r="I1943" s="2" t="str">
        <f ca="1">IFERROR(__xludf.DUMMYFUNCTION("GOOGLETRANSLATE(B1943,""en"",""gd"")"),"an dàrna taobh")</f>
        <v>an dàrna taobh</v>
      </c>
    </row>
    <row r="1944" spans="1:9" ht="14.25" customHeight="1" x14ac:dyDescent="0.3">
      <c r="A1944" s="2">
        <v>1943</v>
      </c>
      <c r="B1944" s="3" t="s">
        <v>1951</v>
      </c>
      <c r="C1944" s="2" t="str">
        <f ca="1">IFERROR(__xludf.DUMMYFUNCTION("GOOGLETRANSLATE(B1944, ""en"",""es"")"),"comodidad")</f>
        <v>comodidad</v>
      </c>
      <c r="D1944" s="2" t="str">
        <f ca="1">IFERROR(__xludf.DUMMYFUNCTION("GOOGLETRANSLATE(B1944,""en"",""ig"")"),"nnotu")</f>
        <v>nnotu</v>
      </c>
      <c r="E1944" s="2" t="str">
        <f ca="1">IFERROR(__xludf.DUMMYFUNCTION("GOOGLETRANSLATE(B1944,""en"",""fr"")"),"confort")</f>
        <v>confort</v>
      </c>
      <c r="F1944" s="2" t="str">
        <f ca="1">IFERROR(__xludf.DUMMYFUNCTION("GOOGLETRANSLATE(B1944,""en"",""it"")"),"comfort")</f>
        <v>comfort</v>
      </c>
      <c r="G1944" s="2" t="str">
        <f ca="1">IFERROR(__xludf.DUMMYFUNCTION("GOOGLETRANSLATE(B1944,""en"",""de"")"),"Komfort")</f>
        <v>Komfort</v>
      </c>
      <c r="H1944" s="2" t="str">
        <f ca="1">IFERROR(__xludf.DUMMYFUNCTION("GOOGLETRANSLATE(B1944,""en"",""zh"")"),"舒适")</f>
        <v>舒适</v>
      </c>
      <c r="I1944" s="2" t="str">
        <f ca="1">IFERROR(__xludf.DUMMYFUNCTION("GOOGLETRANSLATE(B1944,""en"",""gd"")"),"comhfhurtachd")</f>
        <v>comhfhurtachd</v>
      </c>
    </row>
    <row r="1945" spans="1:9" ht="14.25" customHeight="1" x14ac:dyDescent="0.3">
      <c r="A1945" s="2">
        <v>1944</v>
      </c>
      <c r="B1945" s="3" t="s">
        <v>1952</v>
      </c>
      <c r="C1945" s="2" t="str">
        <f ca="1">IFERROR(__xludf.DUMMYFUNCTION("GOOGLETRANSLATE(B1945, ""en"",""es"")"),"en segundo lugar")</f>
        <v>en segundo lugar</v>
      </c>
      <c r="D1945" s="2" t="str">
        <f ca="1">IFERROR(__xludf.DUMMYFUNCTION("GOOGLETRANSLATE(B1945,""en"",""ig"")"),"abuo")</f>
        <v>abuo</v>
      </c>
      <c r="E1945" s="2" t="str">
        <f ca="1">IFERROR(__xludf.DUMMYFUNCTION("GOOGLETRANSLATE(B1945,""en"",""fr"")"),"deuxièmement")</f>
        <v>deuxièmement</v>
      </c>
      <c r="F1945" s="2" t="str">
        <f ca="1">IFERROR(__xludf.DUMMYFUNCTION("GOOGLETRANSLATE(B1945,""en"",""it"")"),"in secondo luogo")</f>
        <v>in secondo luogo</v>
      </c>
      <c r="G1945" s="2" t="str">
        <f ca="1">IFERROR(__xludf.DUMMYFUNCTION("GOOGLETRANSLATE(B1945,""en"",""de"")"),"zweitens")</f>
        <v>zweitens</v>
      </c>
      <c r="H1945" s="2" t="str">
        <f ca="1">IFERROR(__xludf.DUMMYFUNCTION("GOOGLETRANSLATE(B1945,""en"",""zh"")"),"第二")</f>
        <v>第二</v>
      </c>
      <c r="I1945" s="2" t="str">
        <f ca="1">IFERROR(__xludf.DUMMYFUNCTION("GOOGLETRANSLATE(B1945,""en"",""gd"")"),"san dàrna àite")</f>
        <v>san dàrna àite</v>
      </c>
    </row>
    <row r="1946" spans="1:9" ht="14.25" customHeight="1" x14ac:dyDescent="0.3">
      <c r="A1946" s="2">
        <v>1945</v>
      </c>
      <c r="B1946" s="3" t="s">
        <v>1953</v>
      </c>
      <c r="C1946" s="2" t="str">
        <f ca="1">IFERROR(__xludf.DUMMYFUNCTION("GOOGLETRANSLATE(B1946, ""en"",""es"")"),"severo")</f>
        <v>severo</v>
      </c>
      <c r="D1946" s="2" t="str">
        <f ca="1">IFERROR(__xludf.DUMMYFUNCTION("GOOGLETRANSLATE(B1946,""en"",""ig"")"),"nke ikpachapuruanya")</f>
        <v>nke ikpachapuruanya</v>
      </c>
      <c r="E1946" s="2" t="str">
        <f ca="1">IFERROR(__xludf.DUMMYFUNCTION("GOOGLETRANSLATE(B1946,""en"",""fr"")"),"grave")</f>
        <v>grave</v>
      </c>
      <c r="F1946" s="2" t="str">
        <f ca="1">IFERROR(__xludf.DUMMYFUNCTION("GOOGLETRANSLATE(B1946,""en"",""it"")"),"acuto")</f>
        <v>acuto</v>
      </c>
      <c r="G1946" s="2" t="str">
        <f ca="1">IFERROR(__xludf.DUMMYFUNCTION("GOOGLETRANSLATE(B1946,""en"",""de"")"),"schwer")</f>
        <v>schwer</v>
      </c>
      <c r="H1946" s="2" t="str">
        <f ca="1">IFERROR(__xludf.DUMMYFUNCTION("GOOGLETRANSLATE(B1946,""en"",""zh"")"),"严重")</f>
        <v>严重</v>
      </c>
      <c r="I1946" s="2" t="str">
        <f ca="1">IFERROR(__xludf.DUMMYFUNCTION("GOOGLETRANSLATE(B1946,""en"",""gd"")"),"fìor")</f>
        <v>fìor</v>
      </c>
    </row>
    <row r="1947" spans="1:9" ht="14.25" customHeight="1" x14ac:dyDescent="0.3">
      <c r="A1947" s="2">
        <v>1946</v>
      </c>
      <c r="B1947" s="3" t="s">
        <v>1954</v>
      </c>
      <c r="C1947" s="2" t="str">
        <f ca="1">IFERROR(__xludf.DUMMYFUNCTION("GOOGLETRANSLATE(B1947, ""en"",""es"")"),"gene")</f>
        <v>gene</v>
      </c>
      <c r="D1947" s="2" t="str">
        <f ca="1">IFERROR(__xludf.DUMMYFUNCTION("GOOGLETRANSLATE(B1947,""en"",""ig"")"),"ozizi")</f>
        <v>ozizi</v>
      </c>
      <c r="E1947" s="2" t="str">
        <f ca="1">IFERROR(__xludf.DUMMYFUNCTION("GOOGLETRANSLATE(B1947,""en"",""fr"")"),"gène")</f>
        <v>gène</v>
      </c>
      <c r="F1947" s="2" t="str">
        <f ca="1">IFERROR(__xludf.DUMMYFUNCTION("GOOGLETRANSLATE(B1947,""en"",""it"")"),"gene")</f>
        <v>gene</v>
      </c>
      <c r="G1947" s="2" t="str">
        <f ca="1">IFERROR(__xludf.DUMMYFUNCTION("GOOGLETRANSLATE(B1947,""en"",""de"")"),"Gen")</f>
        <v>Gen</v>
      </c>
      <c r="H1947" s="2" t="str">
        <f ca="1">IFERROR(__xludf.DUMMYFUNCTION("GOOGLETRANSLATE(B1947,""en"",""zh"")"),"基因")</f>
        <v>基因</v>
      </c>
      <c r="I1947" s="2" t="str">
        <f ca="1">IFERROR(__xludf.DUMMYFUNCTION("GOOGLETRANSLATE(B1947,""en"",""gd"")"),"Gine")</f>
        <v>Gine</v>
      </c>
    </row>
    <row r="1948" spans="1:9" ht="14.25" customHeight="1" x14ac:dyDescent="0.3">
      <c r="A1948" s="2">
        <v>1947</v>
      </c>
      <c r="B1948" s="3" t="s">
        <v>1955</v>
      </c>
      <c r="C1948" s="2" t="str">
        <f ca="1">IFERROR(__xludf.DUMMYFUNCTION("GOOGLETRANSLATE(B1948, ""en"",""es"")"),"prospecto")</f>
        <v>prospecto</v>
      </c>
      <c r="D1948" s="2" t="str">
        <f ca="1">IFERROR(__xludf.DUMMYFUNCTION("GOOGLETRANSLATE(B1948,""en"",""ig"")"),"mma di n'ime ihe")</f>
        <v>mma di n'ime ihe</v>
      </c>
      <c r="E1948" s="2" t="str">
        <f ca="1">IFERROR(__xludf.DUMMYFUNCTION("GOOGLETRANSLATE(B1948,""en"",""fr"")"),"perspective")</f>
        <v>perspective</v>
      </c>
      <c r="F1948" s="2" t="str">
        <f ca="1">IFERROR(__xludf.DUMMYFUNCTION("GOOGLETRANSLATE(B1948,""en"",""it"")"),"prospettiva")</f>
        <v>prospettiva</v>
      </c>
      <c r="G1948" s="2" t="str">
        <f ca="1">IFERROR(__xludf.DUMMYFUNCTION("GOOGLETRANSLATE(B1948,""en"",""de"")"),"Aussicht")</f>
        <v>Aussicht</v>
      </c>
      <c r="H1948" s="2" t="str">
        <f ca="1">IFERROR(__xludf.DUMMYFUNCTION("GOOGLETRANSLATE(B1948,""en"",""zh"")"),"前景")</f>
        <v>前景</v>
      </c>
      <c r="I1948" s="2" t="str">
        <f ca="1">IFERROR(__xludf.DUMMYFUNCTION("GOOGLETRANSLATE(B1948,""en"",""gd"")"),"ro-shealladh")</f>
        <v>ro-shealladh</v>
      </c>
    </row>
    <row r="1949" spans="1:9" ht="14.25" customHeight="1" x14ac:dyDescent="0.3">
      <c r="A1949" s="2">
        <v>1948</v>
      </c>
      <c r="B1949" s="3" t="s">
        <v>1956</v>
      </c>
      <c r="C1949" s="2" t="str">
        <f ca="1">IFERROR(__xludf.DUMMYFUNCTION("GOOGLETRANSLATE(B1949, ""en"",""es"")"),"nieve")</f>
        <v>nieve</v>
      </c>
      <c r="D1949" s="2" t="str">
        <f ca="1">IFERROR(__xludf.DUMMYFUNCTION("GOOGLETRANSLATE(B1949,""en"",""ig"")"),"sinoo")</f>
        <v>sinoo</v>
      </c>
      <c r="E1949" s="2" t="str">
        <f ca="1">IFERROR(__xludf.DUMMYFUNCTION("GOOGLETRANSLATE(B1949,""en"",""fr"")"),"neige")</f>
        <v>neige</v>
      </c>
      <c r="F1949" s="2" t="str">
        <f ca="1">IFERROR(__xludf.DUMMYFUNCTION("GOOGLETRANSLATE(B1949,""en"",""it"")"),"nevicare")</f>
        <v>nevicare</v>
      </c>
      <c r="G1949" s="2" t="str">
        <f ca="1">IFERROR(__xludf.DUMMYFUNCTION("GOOGLETRANSLATE(B1949,""en"",""de"")"),"Schnee")</f>
        <v>Schnee</v>
      </c>
      <c r="H1949" s="2" t="str">
        <f ca="1">IFERROR(__xludf.DUMMYFUNCTION("GOOGLETRANSLATE(B1949,""en"",""zh"")"),"雪")</f>
        <v>雪</v>
      </c>
      <c r="I1949" s="2" t="str">
        <f ca="1">IFERROR(__xludf.DUMMYFUNCTION("GOOGLETRANSLATE(B1949,""en"",""gd"")"),"sneachda")</f>
        <v>sneachda</v>
      </c>
    </row>
    <row r="1950" spans="1:9" ht="14.25" customHeight="1" x14ac:dyDescent="0.3">
      <c r="A1950" s="2">
        <v>1949</v>
      </c>
      <c r="B1950" s="3" t="s">
        <v>1957</v>
      </c>
      <c r="C1950" s="2" t="str">
        <f ca="1">IFERROR(__xludf.DUMMYFUNCTION("GOOGLETRANSLATE(B1950, ""en"",""es"")"),"trama")</f>
        <v>trama</v>
      </c>
      <c r="D1950" s="2" t="str">
        <f ca="1">IFERROR(__xludf.DUMMYFUNCTION("GOOGLETRANSLATE(B1950,""en"",""ig"")"),"ala ulo")</f>
        <v>ala ulo</v>
      </c>
      <c r="E1950" s="2" t="str">
        <f ca="1">IFERROR(__xludf.DUMMYFUNCTION("GOOGLETRANSLATE(B1950,""en"",""fr"")"),"parcelle")</f>
        <v>parcelle</v>
      </c>
      <c r="F1950" s="2" t="str">
        <f ca="1">IFERROR(__xludf.DUMMYFUNCTION("GOOGLETRANSLATE(B1950,""en"",""it"")"),"complotto")</f>
        <v>complotto</v>
      </c>
      <c r="G1950" s="2" t="str">
        <f ca="1">IFERROR(__xludf.DUMMYFUNCTION("GOOGLETRANSLATE(B1950,""en"",""de"")"),"Handlung")</f>
        <v>Handlung</v>
      </c>
      <c r="H1950" s="2" t="str">
        <f ca="1">IFERROR(__xludf.DUMMYFUNCTION("GOOGLETRANSLATE(B1950,""en"",""zh"")"),"阴谋")</f>
        <v>阴谋</v>
      </c>
      <c r="I1950" s="2" t="str">
        <f ca="1">IFERROR(__xludf.DUMMYFUNCTION("GOOGLETRANSLATE(B1950,""en"",""gd"")"),"Plot")</f>
        <v>Plot</v>
      </c>
    </row>
    <row r="1951" spans="1:9" ht="14.25" customHeight="1" x14ac:dyDescent="0.3">
      <c r="A1951" s="2">
        <v>1950</v>
      </c>
      <c r="B1951" s="3" t="s">
        <v>1958</v>
      </c>
      <c r="C1951" s="2" t="str">
        <f ca="1">IFERROR(__xludf.DUMMYFUNCTION("GOOGLETRANSLATE(B1951, ""en"",""es"")"),"cuello")</f>
        <v>cuello</v>
      </c>
      <c r="D1951" s="2" t="str">
        <f ca="1">IFERROR(__xludf.DUMMYFUNCTION("GOOGLETRANSLATE(B1951,""en"",""ig"")"),"olu")</f>
        <v>olu</v>
      </c>
      <c r="E1951" s="2" t="str">
        <f ca="1">IFERROR(__xludf.DUMMYFUNCTION("GOOGLETRANSLATE(B1951,""en"",""fr"")"),"cou")</f>
        <v>cou</v>
      </c>
      <c r="F1951" s="2" t="str">
        <f ca="1">IFERROR(__xludf.DUMMYFUNCTION("GOOGLETRANSLATE(B1951,""en"",""it"")"),"collo")</f>
        <v>collo</v>
      </c>
      <c r="G1951" s="2" t="str">
        <f ca="1">IFERROR(__xludf.DUMMYFUNCTION("GOOGLETRANSLATE(B1951,""en"",""de"")"),"Nacken")</f>
        <v>Nacken</v>
      </c>
      <c r="H1951" s="2" t="str">
        <f ca="1">IFERROR(__xludf.DUMMYFUNCTION("GOOGLETRANSLATE(B1951,""en"",""zh"")"),"脖子")</f>
        <v>脖子</v>
      </c>
      <c r="I1951" s="2" t="str">
        <f ca="1">IFERROR(__xludf.DUMMYFUNCTION("GOOGLETRANSLATE(B1951,""en"",""gd"")"),"amhach")</f>
        <v>amhach</v>
      </c>
    </row>
    <row r="1952" spans="1:9" ht="14.25" customHeight="1" x14ac:dyDescent="0.3">
      <c r="A1952" s="2">
        <v>1951</v>
      </c>
      <c r="B1952" s="3" t="s">
        <v>1959</v>
      </c>
      <c r="C1952" s="2" t="str">
        <f ca="1">IFERROR(__xludf.DUMMYFUNCTION("GOOGLETRANSLATE(B1952, ""en"",""es"")"),"criterio")</f>
        <v>criterio</v>
      </c>
      <c r="D1952" s="2" t="str">
        <f ca="1">IFERROR(__xludf.DUMMYFUNCTION("GOOGLETRANSLATE(B1952,""en"",""ig"")"),"njirimara")</f>
        <v>njirimara</v>
      </c>
      <c r="E1952" s="2" t="str">
        <f ca="1">IFERROR(__xludf.DUMMYFUNCTION("GOOGLETRANSLATE(B1952,""en"",""fr"")"),"critère")</f>
        <v>critère</v>
      </c>
      <c r="F1952" s="2" t="str">
        <f ca="1">IFERROR(__xludf.DUMMYFUNCTION("GOOGLETRANSLATE(B1952,""en"",""it"")"),"criterio")</f>
        <v>criterio</v>
      </c>
      <c r="G1952" s="2" t="str">
        <f ca="1">IFERROR(__xludf.DUMMYFUNCTION("GOOGLETRANSLATE(B1952,""en"",""de"")"),"Kriterium")</f>
        <v>Kriterium</v>
      </c>
      <c r="H1952" s="2" t="str">
        <f ca="1">IFERROR(__xludf.DUMMYFUNCTION("GOOGLETRANSLATE(B1952,""en"",""zh"")"),"标准")</f>
        <v>标准</v>
      </c>
      <c r="I1952" s="2" t="str">
        <f ca="1">IFERROR(__xludf.DUMMYFUNCTION("GOOGLETRANSLATE(B1952,""en"",""gd"")"),"slatan-tomhais")</f>
        <v>slatan-tomhais</v>
      </c>
    </row>
    <row r="1953" spans="1:9" ht="14.25" customHeight="1" x14ac:dyDescent="0.3">
      <c r="A1953" s="2">
        <v>1952</v>
      </c>
      <c r="B1953" s="3" t="s">
        <v>1960</v>
      </c>
      <c r="C1953" s="2" t="str">
        <f ca="1">IFERROR(__xludf.DUMMYFUNCTION("GOOGLETRANSLATE(B1953, ""en"",""es"")"),"ante todo")</f>
        <v>ante todo</v>
      </c>
      <c r="D1953" s="2" t="str">
        <f ca="1">IFERROR(__xludf.DUMMYFUNCTION("GOOGLETRANSLATE(B1953,""en"",""ig"")"),"nkekacha mkpa")</f>
        <v>nkekacha mkpa</v>
      </c>
      <c r="E1953" s="2" t="str">
        <f ca="1">IFERROR(__xludf.DUMMYFUNCTION("GOOGLETRANSLATE(B1953,""en"",""fr"")"),"principalement")</f>
        <v>principalement</v>
      </c>
      <c r="F1953" s="2" t="str">
        <f ca="1">IFERROR(__xludf.DUMMYFUNCTION("GOOGLETRANSLATE(B1953,""en"",""it"")"),"in primis")</f>
        <v>in primis</v>
      </c>
      <c r="G1953" s="2" t="str">
        <f ca="1">IFERROR(__xludf.DUMMYFUNCTION("GOOGLETRANSLATE(B1953,""en"",""de"")"),"in erster Linie")</f>
        <v>in erster Linie</v>
      </c>
      <c r="H1953" s="2" t="str">
        <f ca="1">IFERROR(__xludf.DUMMYFUNCTION("GOOGLETRANSLATE(B1953,""en"",""zh"")"),"主要是")</f>
        <v>主要是</v>
      </c>
      <c r="I1953" s="2" t="str">
        <f ca="1">IFERROR(__xludf.DUMMYFUNCTION("GOOGLETRANSLATE(B1953,""en"",""gd"")"),"gu sònraichte")</f>
        <v>gu sònraichte</v>
      </c>
    </row>
    <row r="1954" spans="1:9" ht="14.25" customHeight="1" x14ac:dyDescent="0.3">
      <c r="A1954" s="2">
        <v>1953</v>
      </c>
      <c r="B1954" s="3" t="s">
        <v>1961</v>
      </c>
      <c r="C1954" s="2" t="str">
        <f ca="1">IFERROR(__xludf.DUMMYFUNCTION("GOOGLETRANSLATE(B1954, ""en"",""es"")"),"integrar")</f>
        <v>integrar</v>
      </c>
      <c r="D1954" s="2" t="str">
        <f ca="1">IFERROR(__xludf.DUMMYFUNCTION("GOOGLETRANSLATE(B1954,""en"",""ig"")"),"iwekota onu")</f>
        <v>iwekota onu</v>
      </c>
      <c r="E1954" s="2" t="str">
        <f ca="1">IFERROR(__xludf.DUMMYFUNCTION("GOOGLETRANSLATE(B1954,""en"",""fr"")"),"intégrer")</f>
        <v>intégrer</v>
      </c>
      <c r="F1954" s="2" t="str">
        <f ca="1">IFERROR(__xludf.DUMMYFUNCTION("GOOGLETRANSLATE(B1954,""en"",""it"")"),"integrare")</f>
        <v>integrare</v>
      </c>
      <c r="G1954" s="2" t="str">
        <f ca="1">IFERROR(__xludf.DUMMYFUNCTION("GOOGLETRANSLATE(B1954,""en"",""de"")"),"integrieren")</f>
        <v>integrieren</v>
      </c>
      <c r="H1954" s="2" t="str">
        <f ca="1">IFERROR(__xludf.DUMMYFUNCTION("GOOGLETRANSLATE(B1954,""en"",""zh"")"),"整合")</f>
        <v>整合</v>
      </c>
      <c r="I1954" s="2" t="str">
        <f ca="1">IFERROR(__xludf.DUMMYFUNCTION("GOOGLETRANSLATE(B1954,""en"",""gd"")"),"Amalachadh")</f>
        <v>Amalachadh</v>
      </c>
    </row>
    <row r="1955" spans="1:9" ht="14.25" customHeight="1" x14ac:dyDescent="0.3">
      <c r="A1955" s="2">
        <v>1954</v>
      </c>
      <c r="B1955" s="3" t="s">
        <v>1962</v>
      </c>
      <c r="C1955" s="2" t="str">
        <f ca="1">IFERROR(__xludf.DUMMYFUNCTION("GOOGLETRANSLATE(B1955, ""en"",""es"")"),"crítica")</f>
        <v>crítica</v>
      </c>
      <c r="D1955" s="2" t="str">
        <f ca="1">IFERROR(__xludf.DUMMYFUNCTION("GOOGLETRANSLATE(B1955,""en"",""ig"")"),"nnyocha")</f>
        <v>nnyocha</v>
      </c>
      <c r="E1955" s="2" t="str">
        <f ca="1">IFERROR(__xludf.DUMMYFUNCTION("GOOGLETRANSLATE(B1955,""en"",""fr"")"),"critique")</f>
        <v>critique</v>
      </c>
      <c r="F1955" s="2" t="str">
        <f ca="1">IFERROR(__xludf.DUMMYFUNCTION("GOOGLETRANSLATE(B1955,""en"",""it"")"),"critica")</f>
        <v>critica</v>
      </c>
      <c r="G1955" s="2" t="str">
        <f ca="1">IFERROR(__xludf.DUMMYFUNCTION("GOOGLETRANSLATE(B1955,""en"",""de"")"),"Kritik")</f>
        <v>Kritik</v>
      </c>
      <c r="H1955" s="2" t="str">
        <f ca="1">IFERROR(__xludf.DUMMYFUNCTION("GOOGLETRANSLATE(B1955,""en"",""zh"")"),"批评")</f>
        <v>批评</v>
      </c>
      <c r="I1955" s="2" t="str">
        <f ca="1">IFERROR(__xludf.DUMMYFUNCTION("GOOGLETRANSLATE(B1955,""en"",""gd"")"),"càineadh")</f>
        <v>càineadh</v>
      </c>
    </row>
    <row r="1956" spans="1:9" ht="14.25" customHeight="1" x14ac:dyDescent="0.3">
      <c r="A1956" s="2">
        <v>1955</v>
      </c>
      <c r="B1956" s="3" t="s">
        <v>1963</v>
      </c>
      <c r="C1956" s="2" t="str">
        <f ca="1">IFERROR(__xludf.DUMMYFUNCTION("GOOGLETRANSLATE(B1956, ""en"",""es"")"),"convención")</f>
        <v>convención</v>
      </c>
      <c r="D1956" s="2" t="str">
        <f ca="1">IFERROR(__xludf.DUMMYFUNCTION("GOOGLETRANSLATE(B1956,""en"",""ig"")"),"nzuko")</f>
        <v>nzuko</v>
      </c>
      <c r="E1956" s="2" t="str">
        <f ca="1">IFERROR(__xludf.DUMMYFUNCTION("GOOGLETRANSLATE(B1956,""en"",""fr"")"),"convention")</f>
        <v>convention</v>
      </c>
      <c r="F1956" s="2" t="str">
        <f ca="1">IFERROR(__xludf.DUMMYFUNCTION("GOOGLETRANSLATE(B1956,""en"",""it"")"),"convenzione")</f>
        <v>convenzione</v>
      </c>
      <c r="G1956" s="2" t="str">
        <f ca="1">IFERROR(__xludf.DUMMYFUNCTION("GOOGLETRANSLATE(B1956,""en"",""de"")"),"Konvention")</f>
        <v>Konvention</v>
      </c>
      <c r="H1956" s="2" t="str">
        <f ca="1">IFERROR(__xludf.DUMMYFUNCTION("GOOGLETRANSLATE(B1956,""en"",""zh"")"),"习俗")</f>
        <v>习俗</v>
      </c>
      <c r="I1956" s="2" t="str">
        <f ca="1">IFERROR(__xludf.DUMMYFUNCTION("GOOGLETRANSLATE(B1956,""en"",""gd"")"),"Co-chruinneachadh")</f>
        <v>Co-chruinneachadh</v>
      </c>
    </row>
    <row r="1957" spans="1:9" ht="14.25" customHeight="1" x14ac:dyDescent="0.3">
      <c r="A1957" s="2">
        <v>1956</v>
      </c>
      <c r="B1957" s="3" t="s">
        <v>1964</v>
      </c>
      <c r="C1957" s="2" t="str">
        <f ca="1">IFERROR(__xludf.DUMMYFUNCTION("GOOGLETRANSLATE(B1957, ""en"",""es"")"),"apuesta")</f>
        <v>apuesta</v>
      </c>
      <c r="D1957" s="2" t="str">
        <f ca="1">IFERROR(__xludf.DUMMYFUNCTION("GOOGLETRANSLATE(B1957,""en"",""ig"")"),"beeti")</f>
        <v>beeti</v>
      </c>
      <c r="E1957" s="2" t="str">
        <f ca="1">IFERROR(__xludf.DUMMYFUNCTION("GOOGLETRANSLATE(B1957,""en"",""fr"")"),"pari")</f>
        <v>pari</v>
      </c>
      <c r="F1957" s="2" t="str">
        <f ca="1">IFERROR(__xludf.DUMMYFUNCTION("GOOGLETRANSLATE(B1957,""en"",""it"")"),"scommessa")</f>
        <v>scommessa</v>
      </c>
      <c r="G1957" s="2" t="str">
        <f ca="1">IFERROR(__xludf.DUMMYFUNCTION("GOOGLETRANSLATE(B1957,""en"",""de"")"),"Wette")</f>
        <v>Wette</v>
      </c>
      <c r="H1957" s="2" t="str">
        <f ca="1">IFERROR(__xludf.DUMMYFUNCTION("GOOGLETRANSLATE(B1957,""en"",""zh"")"),"赌注")</f>
        <v>赌注</v>
      </c>
      <c r="I1957" s="2" t="str">
        <f ca="1">IFERROR(__xludf.DUMMYFUNCTION("GOOGLETRANSLATE(B1957,""en"",""gd"")"),"geall")</f>
        <v>geall</v>
      </c>
    </row>
    <row r="1958" spans="1:9" ht="14.25" customHeight="1" x14ac:dyDescent="0.3">
      <c r="A1958" s="2">
        <v>1957</v>
      </c>
      <c r="B1958" s="3" t="s">
        <v>1965</v>
      </c>
      <c r="C1958" s="2" t="str">
        <f ca="1">IFERROR(__xludf.DUMMYFUNCTION("GOOGLETRANSLATE(B1958, ""en"",""es"")"),"retener")</f>
        <v>retener</v>
      </c>
      <c r="D1958" s="2" t="str">
        <f ca="1">IFERROR(__xludf.DUMMYFUNCTION("GOOGLETRANSLATE(B1958,""en"",""ig"")"),"inugide amamihe")</f>
        <v>inugide amamihe</v>
      </c>
      <c r="E1958" s="2" t="str">
        <f ca="1">IFERROR(__xludf.DUMMYFUNCTION("GOOGLETRANSLATE(B1958,""en"",""fr"")"),"retenir")</f>
        <v>retenir</v>
      </c>
      <c r="F1958" s="2" t="str">
        <f ca="1">IFERROR(__xludf.DUMMYFUNCTION("GOOGLETRANSLATE(B1958,""en"",""it"")"),"conservare")</f>
        <v>conservare</v>
      </c>
      <c r="G1958" s="2" t="str">
        <f ca="1">IFERROR(__xludf.DUMMYFUNCTION("GOOGLETRANSLATE(B1958,""en"",""de"")"),"zurückbehalten")</f>
        <v>zurückbehalten</v>
      </c>
      <c r="H1958" s="2" t="str">
        <f ca="1">IFERROR(__xludf.DUMMYFUNCTION("GOOGLETRANSLATE(B1958,""en"",""zh"")"),"保持")</f>
        <v>保持</v>
      </c>
      <c r="I1958" s="2" t="str">
        <f ca="1">IFERROR(__xludf.DUMMYFUNCTION("GOOGLETRANSLATE(B1958,""en"",""gd"")"),"glèidhte")</f>
        <v>glèidhte</v>
      </c>
    </row>
    <row r="1959" spans="1:9" ht="14.25" customHeight="1" x14ac:dyDescent="0.3">
      <c r="A1959" s="2">
        <v>1958</v>
      </c>
      <c r="B1959" s="3" t="s">
        <v>1966</v>
      </c>
      <c r="C1959" s="2" t="str">
        <f ca="1">IFERROR(__xludf.DUMMYFUNCTION("GOOGLETRANSLATE(B1959, ""en"",""es"")"),"secuencia")</f>
        <v>secuencia</v>
      </c>
      <c r="D1959" s="2" t="str">
        <f ca="1">IFERROR(__xludf.DUMMYFUNCTION("GOOGLETRANSLATE(B1959,""en"",""ig"")"),"nsoje")</f>
        <v>nsoje</v>
      </c>
      <c r="E1959" s="2" t="str">
        <f ca="1">IFERROR(__xludf.DUMMYFUNCTION("GOOGLETRANSLATE(B1959,""en"",""fr"")"),"séquence")</f>
        <v>séquence</v>
      </c>
      <c r="F1959" s="2" t="str">
        <f ca="1">IFERROR(__xludf.DUMMYFUNCTION("GOOGLETRANSLATE(B1959,""en"",""it"")"),"sequenza")</f>
        <v>sequenza</v>
      </c>
      <c r="G1959" s="2" t="str">
        <f ca="1">IFERROR(__xludf.DUMMYFUNCTION("GOOGLETRANSLATE(B1959,""en"",""de"")"),"Reihenfolge")</f>
        <v>Reihenfolge</v>
      </c>
      <c r="H1959" s="2" t="str">
        <f ca="1">IFERROR(__xludf.DUMMYFUNCTION("GOOGLETRANSLATE(B1959,""en"",""zh"")"),"顺序")</f>
        <v>顺序</v>
      </c>
      <c r="I1959" s="2" t="str">
        <f ca="1">IFERROR(__xludf.DUMMYFUNCTION("GOOGLETRANSLATE(B1959,""en"",""gd"")"),"Seicheamh")</f>
        <v>Seicheamh</v>
      </c>
    </row>
    <row r="1960" spans="1:9" ht="14.25" customHeight="1" x14ac:dyDescent="0.3">
      <c r="A1960" s="2">
        <v>1959</v>
      </c>
      <c r="B1960" s="3" t="s">
        <v>1967</v>
      </c>
      <c r="C1960" s="2" t="str">
        <f ca="1">IFERROR(__xludf.DUMMYFUNCTION("GOOGLETRANSLATE(B1960, ""en"",""es"")"),"plano")</f>
        <v>plano</v>
      </c>
      <c r="D1960" s="2" t="str">
        <f ca="1">IFERROR(__xludf.DUMMYFUNCTION("GOOGLETRANSLATE(B1960,""en"",""ig"")"),"nke esighi ike nighota")</f>
        <v>nke esighi ike nighota</v>
      </c>
      <c r="E1960" s="2" t="str">
        <f ca="1">IFERROR(__xludf.DUMMYFUNCTION("GOOGLETRANSLATE(B1960,""en"",""fr"")"),"plaine")</f>
        <v>plaine</v>
      </c>
      <c r="F1960" s="2" t="str">
        <f ca="1">IFERROR(__xludf.DUMMYFUNCTION("GOOGLETRANSLATE(B1960,""en"",""it"")"),"pianura")</f>
        <v>pianura</v>
      </c>
      <c r="G1960" s="2" t="str">
        <f ca="1">IFERROR(__xludf.DUMMYFUNCTION("GOOGLETRANSLATE(B1960,""en"",""de"")"),"schmucklos")</f>
        <v>schmucklos</v>
      </c>
      <c r="H1960" s="2" t="str">
        <f ca="1">IFERROR(__xludf.DUMMYFUNCTION("GOOGLETRANSLATE(B1960,""en"",""zh"")"),"清楚的")</f>
        <v>清楚的</v>
      </c>
      <c r="I1960" s="2" t="str">
        <f ca="1">IFERROR(__xludf.DUMMYFUNCTION("GOOGLETRANSLATE(B1960,""en"",""gd"")"),"plain")</f>
        <v>plain</v>
      </c>
    </row>
    <row r="1961" spans="1:9" ht="14.25" customHeight="1" x14ac:dyDescent="0.3">
      <c r="A1961" s="2">
        <v>1960</v>
      </c>
      <c r="B1961" s="3" t="s">
        <v>1968</v>
      </c>
      <c r="C1961" s="2" t="str">
        <f ca="1">IFERROR(__xludf.DUMMYFUNCTION("GOOGLETRANSLATE(B1961, ""en"",""es"")"),"voluntario")</f>
        <v>voluntario</v>
      </c>
      <c r="D1961" s="2" t="str">
        <f ca="1">IFERROR(__xludf.DUMMYFUNCTION("GOOGLETRANSLATE(B1961,""en"",""ig"")"),"omenobioma nwoke")</f>
        <v>omenobioma nwoke</v>
      </c>
      <c r="E1961" s="2" t="str">
        <f ca="1">IFERROR(__xludf.DUMMYFUNCTION("GOOGLETRANSLATE(B1961,""en"",""fr"")"),"bénévole")</f>
        <v>bénévole</v>
      </c>
      <c r="F1961" s="2" t="str">
        <f ca="1">IFERROR(__xludf.DUMMYFUNCTION("GOOGLETRANSLATE(B1961,""en"",""it"")"),"volontario")</f>
        <v>volontario</v>
      </c>
      <c r="G1961" s="2" t="str">
        <f ca="1">IFERROR(__xludf.DUMMYFUNCTION("GOOGLETRANSLATE(B1961,""en"",""de"")"),"Freiwilliger")</f>
        <v>Freiwilliger</v>
      </c>
      <c r="H1961" s="2" t="str">
        <f ca="1">IFERROR(__xludf.DUMMYFUNCTION("GOOGLETRANSLATE(B1961,""en"",""zh"")"),"志愿者")</f>
        <v>志愿者</v>
      </c>
      <c r="I1961" s="2" t="str">
        <f ca="1">IFERROR(__xludf.DUMMYFUNCTION("GOOGLETRANSLATE(B1961,""en"",""gd"")"),"saor-thoileach")</f>
        <v>saor-thoileach</v>
      </c>
    </row>
    <row r="1962" spans="1:9" ht="14.25" customHeight="1" x14ac:dyDescent="0.3">
      <c r="A1962" s="2">
        <v>1961</v>
      </c>
      <c r="B1962" s="3" t="s">
        <v>1969</v>
      </c>
      <c r="C1962" s="2" t="str">
        <f ca="1">IFERROR(__xludf.DUMMYFUNCTION("GOOGLETRANSLATE(B1962, ""en"",""es"")"),"rural")</f>
        <v>rural</v>
      </c>
      <c r="D1962" s="2" t="str">
        <f ca="1">IFERROR(__xludf.DUMMYFUNCTION("GOOGLETRANSLATE(B1962,""en"",""ig"")"),"nke imeobodo")</f>
        <v>nke imeobodo</v>
      </c>
      <c r="E1962" s="2" t="str">
        <f ca="1">IFERROR(__xludf.DUMMYFUNCTION("GOOGLETRANSLATE(B1962,""en"",""fr"")"),"rural")</f>
        <v>rural</v>
      </c>
      <c r="F1962" s="2" t="str">
        <f ca="1">IFERROR(__xludf.DUMMYFUNCTION("GOOGLETRANSLATE(B1962,""en"",""it"")"),"rurale")</f>
        <v>rurale</v>
      </c>
      <c r="G1962" s="2" t="str">
        <f ca="1">IFERROR(__xludf.DUMMYFUNCTION("GOOGLETRANSLATE(B1962,""en"",""de"")"),"ländlich")</f>
        <v>ländlich</v>
      </c>
      <c r="H1962" s="2" t="str">
        <f ca="1">IFERROR(__xludf.DUMMYFUNCTION("GOOGLETRANSLATE(B1962,""en"",""zh"")"),"乡村的")</f>
        <v>乡村的</v>
      </c>
      <c r="I1962" s="2" t="str">
        <f ca="1">IFERROR(__xludf.DUMMYFUNCTION("GOOGLETRANSLATE(B1962,""en"",""gd"")"),"dùthchail")</f>
        <v>dùthchail</v>
      </c>
    </row>
    <row r="1963" spans="1:9" ht="14.25" customHeight="1" x14ac:dyDescent="0.3">
      <c r="A1963" s="2">
        <v>1962</v>
      </c>
      <c r="B1963" s="3" t="s">
        <v>1970</v>
      </c>
      <c r="C1963" s="2" t="str">
        <f ca="1">IFERROR(__xludf.DUMMYFUNCTION("GOOGLETRANSLATE(B1963, ""en"",""es"")"),"calma")</f>
        <v>calma</v>
      </c>
      <c r="D1963" s="2" t="str">
        <f ca="1">IFERROR(__xludf.DUMMYFUNCTION("GOOGLETRANSLATE(B1963,""en"",""ig"")"),"nwayoo")</f>
        <v>nwayoo</v>
      </c>
      <c r="E1963" s="2" t="str">
        <f ca="1">IFERROR(__xludf.DUMMYFUNCTION("GOOGLETRANSLATE(B1963,""en"",""fr"")"),"calme")</f>
        <v>calme</v>
      </c>
      <c r="F1963" s="2" t="str">
        <f ca="1">IFERROR(__xludf.DUMMYFUNCTION("GOOGLETRANSLATE(B1963,""en"",""it"")"),"calma")</f>
        <v>calma</v>
      </c>
      <c r="G1963" s="2" t="str">
        <f ca="1">IFERROR(__xludf.DUMMYFUNCTION("GOOGLETRANSLATE(B1963,""en"",""de"")"),"ruhig")</f>
        <v>ruhig</v>
      </c>
      <c r="H1963" s="2" t="str">
        <f ca="1">IFERROR(__xludf.DUMMYFUNCTION("GOOGLETRANSLATE(B1963,""en"",""zh"")"),"冷静的")</f>
        <v>冷静的</v>
      </c>
      <c r="I1963" s="2" t="str">
        <f ca="1">IFERROR(__xludf.DUMMYFUNCTION("GOOGLETRANSLATE(B1963,""en"",""gd"")"),"socair")</f>
        <v>socair</v>
      </c>
    </row>
    <row r="1964" spans="1:9" ht="14.25" customHeight="1" x14ac:dyDescent="0.3">
      <c r="A1964" s="2">
        <v>1963</v>
      </c>
      <c r="B1964" s="3" t="s">
        <v>1971</v>
      </c>
      <c r="C1964" s="2" t="str">
        <f ca="1">IFERROR(__xludf.DUMMYFUNCTION("GOOGLETRANSLATE(B1964, ""en"",""es"")"),"abandonar")</f>
        <v>abandonar</v>
      </c>
      <c r="D1964" s="2" t="str">
        <f ca="1">IFERROR(__xludf.DUMMYFUNCTION("GOOGLETRANSLATE(B1964,""en"",""ig"")"),"ihapu")</f>
        <v>ihapu</v>
      </c>
      <c r="E1964" s="2" t="str">
        <f ca="1">IFERROR(__xludf.DUMMYFUNCTION("GOOGLETRANSLATE(B1964,""en"",""fr"")"),"abandonner")</f>
        <v>abandonner</v>
      </c>
      <c r="F1964" s="2" t="str">
        <f ca="1">IFERROR(__xludf.DUMMYFUNCTION("GOOGLETRANSLATE(B1964,""en"",""it"")"),"abbandono")</f>
        <v>abbandono</v>
      </c>
      <c r="G1964" s="2" t="str">
        <f ca="1">IFERROR(__xludf.DUMMYFUNCTION("GOOGLETRANSLATE(B1964,""en"",""de"")"),"aufgeben")</f>
        <v>aufgeben</v>
      </c>
      <c r="H1964" s="2" t="str">
        <f ca="1">IFERROR(__xludf.DUMMYFUNCTION("GOOGLETRANSLATE(B1964,""en"",""zh"")"),"放弃")</f>
        <v>放弃</v>
      </c>
      <c r="I1964" s="2" t="str">
        <f ca="1">IFERROR(__xludf.DUMMYFUNCTION("GOOGLETRANSLATE(B1964,""en"",""gd"")"),"trèigsinn")</f>
        <v>trèigsinn</v>
      </c>
    </row>
    <row r="1965" spans="1:9" ht="14.25" customHeight="1" x14ac:dyDescent="0.3">
      <c r="A1965" s="2">
        <v>1964</v>
      </c>
      <c r="B1965" s="3" t="s">
        <v>1972</v>
      </c>
      <c r="C1965" s="2" t="str">
        <f ca="1">IFERROR(__xludf.DUMMYFUNCTION("GOOGLETRANSLATE(B1965, ""en"",""es"")"),"examen")</f>
        <v>examen</v>
      </c>
      <c r="D1965" s="2" t="str">
        <f ca="1">IFERROR(__xludf.DUMMYFUNCTION("GOOGLETRANSLATE(B1965,""en"",""ig"")"),"ule")</f>
        <v>ule</v>
      </c>
      <c r="E1965" s="2" t="str">
        <f ca="1">IFERROR(__xludf.DUMMYFUNCTION("GOOGLETRANSLATE(B1965,""en"",""fr"")"),"examen")</f>
        <v>examen</v>
      </c>
      <c r="F1965" s="2" t="str">
        <f ca="1">IFERROR(__xludf.DUMMYFUNCTION("GOOGLETRANSLATE(B1965,""en"",""it"")"),"visita medica")</f>
        <v>visita medica</v>
      </c>
      <c r="G1965" s="2" t="str">
        <f ca="1">IFERROR(__xludf.DUMMYFUNCTION("GOOGLETRANSLATE(B1965,""en"",""de"")"),"Untersuchung")</f>
        <v>Untersuchung</v>
      </c>
      <c r="H1965" s="2" t="str">
        <f ca="1">IFERROR(__xludf.DUMMYFUNCTION("GOOGLETRANSLATE(B1965,""en"",""zh"")"),"考试")</f>
        <v>考试</v>
      </c>
      <c r="I1965" s="2" t="str">
        <f ca="1">IFERROR(__xludf.DUMMYFUNCTION("GOOGLETRANSLATE(B1965,""en"",""gd"")"),"Sgrùdadh")</f>
        <v>Sgrùdadh</v>
      </c>
    </row>
    <row r="1966" spans="1:9" ht="14.25" customHeight="1" x14ac:dyDescent="0.3">
      <c r="A1966" s="2">
        <v>1965</v>
      </c>
      <c r="B1966" s="3" t="s">
        <v>1973</v>
      </c>
      <c r="C1966" s="2" t="str">
        <f ca="1">IFERROR(__xludf.DUMMYFUNCTION("GOOGLETRANSLATE(B1966, ""en"",""es"")"),"silencio")</f>
        <v>silencio</v>
      </c>
      <c r="D1966" s="2" t="str">
        <f ca="1">IFERROR(__xludf.DUMMYFUNCTION("GOOGLETRANSLATE(B1966,""en"",""ig"")"),"juu")</f>
        <v>juu</v>
      </c>
      <c r="E1966" s="2" t="str">
        <f ca="1">IFERROR(__xludf.DUMMYFUNCTION("GOOGLETRANSLATE(B1966,""en"",""fr"")"),"silence")</f>
        <v>silence</v>
      </c>
      <c r="F1966" s="2" t="str">
        <f ca="1">IFERROR(__xludf.DUMMYFUNCTION("GOOGLETRANSLATE(B1966,""en"",""it"")"),"silenzio")</f>
        <v>silenzio</v>
      </c>
      <c r="G1966" s="2" t="str">
        <f ca="1">IFERROR(__xludf.DUMMYFUNCTION("GOOGLETRANSLATE(B1966,""en"",""de"")"),"Schweigen")</f>
        <v>Schweigen</v>
      </c>
      <c r="H1966" s="2" t="str">
        <f ca="1">IFERROR(__xludf.DUMMYFUNCTION("GOOGLETRANSLATE(B1966,""en"",""zh"")"),"安静")</f>
        <v>安静</v>
      </c>
      <c r="I1966" s="2" t="str">
        <f ca="1">IFERROR(__xludf.DUMMYFUNCTION("GOOGLETRANSLATE(B1966,""en"",""gd"")"),"sàmhchair")</f>
        <v>sàmhchair</v>
      </c>
    </row>
    <row r="1967" spans="1:9" ht="14.25" customHeight="1" x14ac:dyDescent="0.3">
      <c r="A1967" s="2">
        <v>1966</v>
      </c>
      <c r="B1967" s="3" t="s">
        <v>1974</v>
      </c>
      <c r="C1967" s="2" t="str">
        <f ca="1">IFERROR(__xludf.DUMMYFUNCTION("GOOGLETRANSLATE(B1967, ""en"",""es"")"),"rápidamente")</f>
        <v>rápidamente</v>
      </c>
      <c r="D1967" s="2" t="str">
        <f ca="1">IFERROR(__xludf.DUMMYFUNCTION("GOOGLETRANSLATE(B1967,""en"",""ig"")"),"ngwa ngwa")</f>
        <v>ngwa ngwa</v>
      </c>
      <c r="E1967" s="2" t="str">
        <f ca="1">IFERROR(__xludf.DUMMYFUNCTION("GOOGLETRANSLATE(B1967,""en"",""fr"")"),"rapidement")</f>
        <v>rapidement</v>
      </c>
      <c r="F1967" s="2" t="str">
        <f ca="1">IFERROR(__xludf.DUMMYFUNCTION("GOOGLETRANSLATE(B1967,""en"",""it"")"),"rapidamente")</f>
        <v>rapidamente</v>
      </c>
      <c r="G1967" s="2" t="str">
        <f ca="1">IFERROR(__xludf.DUMMYFUNCTION("GOOGLETRANSLATE(B1967,""en"",""de"")"),"schnell")</f>
        <v>schnell</v>
      </c>
      <c r="H1967" s="2" t="str">
        <f ca="1">IFERROR(__xludf.DUMMYFUNCTION("GOOGLETRANSLATE(B1967,""en"",""zh"")"),"迅速")</f>
        <v>迅速</v>
      </c>
      <c r="I1967" s="2" t="str">
        <f ca="1">IFERROR(__xludf.DUMMYFUNCTION("GOOGLETRANSLATE(B1967,""en"",""gd"")"),"gu luath")</f>
        <v>gu luath</v>
      </c>
    </row>
    <row r="1968" spans="1:9" ht="14.25" customHeight="1" x14ac:dyDescent="0.3">
      <c r="A1968" s="2">
        <v>1967</v>
      </c>
      <c r="B1968" s="3" t="s">
        <v>1975</v>
      </c>
      <c r="C1968" s="2" t="str">
        <f ca="1">IFERROR(__xludf.DUMMYFUNCTION("GOOGLETRANSLATE(B1968, ""en"",""es"")"),"eficiente")</f>
        <v>eficiente</v>
      </c>
      <c r="D1968" s="2" t="str">
        <f ca="1">IFERROR(__xludf.DUMMYFUNCTION("GOOGLETRANSLATE(B1968,""en"",""ig"")"),"oru oma")</f>
        <v>oru oma</v>
      </c>
      <c r="E1968" s="2" t="str">
        <f ca="1">IFERROR(__xludf.DUMMYFUNCTION("GOOGLETRANSLATE(B1968,""en"",""fr"")"),"efficace")</f>
        <v>efficace</v>
      </c>
      <c r="F1968" s="2" t="str">
        <f ca="1">IFERROR(__xludf.DUMMYFUNCTION("GOOGLETRANSLATE(B1968,""en"",""it"")"),"efficiente")</f>
        <v>efficiente</v>
      </c>
      <c r="G1968" s="2" t="str">
        <f ca="1">IFERROR(__xludf.DUMMYFUNCTION("GOOGLETRANSLATE(B1968,""en"",""de"")"),"effizient")</f>
        <v>effizient</v>
      </c>
      <c r="H1968" s="2" t="str">
        <f ca="1">IFERROR(__xludf.DUMMYFUNCTION("GOOGLETRANSLATE(B1968,""en"",""zh"")"),"高效的")</f>
        <v>高效的</v>
      </c>
      <c r="I1968" s="2" t="str">
        <f ca="1">IFERROR(__xludf.DUMMYFUNCTION("GOOGLETRANSLATE(B1968,""en"",""gd"")"),"èifeachdach")</f>
        <v>èifeachdach</v>
      </c>
    </row>
    <row r="1969" spans="1:9" ht="14.25" customHeight="1" x14ac:dyDescent="0.3">
      <c r="A1969" s="2">
        <v>1968</v>
      </c>
      <c r="B1969" s="3" t="s">
        <v>1976</v>
      </c>
      <c r="C1969" s="2" t="str">
        <f ca="1">IFERROR(__xludf.DUMMYFUNCTION("GOOGLETRANSLATE(B1969, ""en"",""es"")"),"revolución")</f>
        <v>revolución</v>
      </c>
      <c r="D1969" s="2" t="str">
        <f ca="1">IFERROR(__xludf.DUMMYFUNCTION("GOOGLETRANSLATE(B1969,""en"",""ig"")"),"ogbaaghara")</f>
        <v>ogbaaghara</v>
      </c>
      <c r="E1969" s="2" t="str">
        <f ca="1">IFERROR(__xludf.DUMMYFUNCTION("GOOGLETRANSLATE(B1969,""en"",""fr"")"),"révolution")</f>
        <v>révolution</v>
      </c>
      <c r="F1969" s="2" t="str">
        <f ca="1">IFERROR(__xludf.DUMMYFUNCTION("GOOGLETRANSLATE(B1969,""en"",""it"")"),"rivoluzione")</f>
        <v>rivoluzione</v>
      </c>
      <c r="G1969" s="2" t="str">
        <f ca="1">IFERROR(__xludf.DUMMYFUNCTION("GOOGLETRANSLATE(B1969,""en"",""de"")"),"Revolution")</f>
        <v>Revolution</v>
      </c>
      <c r="H1969" s="2" t="str">
        <f ca="1">IFERROR(__xludf.DUMMYFUNCTION("GOOGLETRANSLATE(B1969,""en"",""zh"")"),"革命")</f>
        <v>革命</v>
      </c>
      <c r="I1969" s="2" t="str">
        <f ca="1">IFERROR(__xludf.DUMMYFUNCTION("GOOGLETRANSLATE(B1969,""en"",""gd"")"),"Ar-a-mach")</f>
        <v>Ar-a-mach</v>
      </c>
    </row>
    <row r="1970" spans="1:9" ht="14.25" customHeight="1" x14ac:dyDescent="0.3">
      <c r="A1970" s="2">
        <v>1969</v>
      </c>
      <c r="B1970" s="3" t="s">
        <v>1977</v>
      </c>
      <c r="C1970" s="2" t="str">
        <f ca="1">IFERROR(__xludf.DUMMYFUNCTION("GOOGLETRANSLATE(B1970, ""en"",""es"")"),"deleitar")</f>
        <v>deleitar</v>
      </c>
      <c r="D1970" s="2" t="str">
        <f ca="1">IFERROR(__xludf.DUMMYFUNCTION("GOOGLETRANSLATE(B1970,""en"",""ig"")"),"obi anuri")</f>
        <v>obi anuri</v>
      </c>
      <c r="E1970" s="2" t="str">
        <f ca="1">IFERROR(__xludf.DUMMYFUNCTION("GOOGLETRANSLATE(B1970,""en"",""fr"")"),"plaisir")</f>
        <v>plaisir</v>
      </c>
      <c r="F1970" s="2" t="str">
        <f ca="1">IFERROR(__xludf.DUMMYFUNCTION("GOOGLETRANSLATE(B1970,""en"",""it"")"),"delizia")</f>
        <v>delizia</v>
      </c>
      <c r="G1970" s="2" t="str">
        <f ca="1">IFERROR(__xludf.DUMMYFUNCTION("GOOGLETRANSLATE(B1970,""en"",""de"")"),"Freude")</f>
        <v>Freude</v>
      </c>
      <c r="H1970" s="2" t="str">
        <f ca="1">IFERROR(__xludf.DUMMYFUNCTION("GOOGLETRANSLATE(B1970,""en"",""zh"")"),"喜")</f>
        <v>喜</v>
      </c>
      <c r="I1970" s="2" t="str">
        <f ca="1">IFERROR(__xludf.DUMMYFUNCTION("GOOGLETRANSLATE(B1970,""en"",""gd"")"),"Telight")</f>
        <v>Telight</v>
      </c>
    </row>
    <row r="1971" spans="1:9" ht="14.25" customHeight="1" x14ac:dyDescent="0.3">
      <c r="A1971" s="2">
        <v>1970</v>
      </c>
      <c r="B1971" s="3" t="s">
        <v>1978</v>
      </c>
      <c r="C1971" s="2" t="str">
        <f ca="1">IFERROR(__xludf.DUMMYFUNCTION("GOOGLETRANSLATE(B1971, ""en"",""es"")"),"deletrear")</f>
        <v>deletrear</v>
      </c>
      <c r="D1971" s="2" t="str">
        <f ca="1">IFERROR(__xludf.DUMMYFUNCTION("GOOGLETRANSLATE(B1971,""en"",""ig"")"),"kpoo")</f>
        <v>kpoo</v>
      </c>
      <c r="E1971" s="2" t="str">
        <f ca="1">IFERROR(__xludf.DUMMYFUNCTION("GOOGLETRANSLATE(B1971,""en"",""fr"")"),"épeler")</f>
        <v>épeler</v>
      </c>
      <c r="F1971" s="2" t="str">
        <f ca="1">IFERROR(__xludf.DUMMYFUNCTION("GOOGLETRANSLATE(B1971,""en"",""it"")"),"sillabare")</f>
        <v>sillabare</v>
      </c>
      <c r="G1971" s="2" t="str">
        <f ca="1">IFERROR(__xludf.DUMMYFUNCTION("GOOGLETRANSLATE(B1971,""en"",""de"")"),"Fluch")</f>
        <v>Fluch</v>
      </c>
      <c r="H1971" s="2" t="str">
        <f ca="1">IFERROR(__xludf.DUMMYFUNCTION("GOOGLETRANSLATE(B1971,""en"",""zh"")"),"拼写")</f>
        <v>拼写</v>
      </c>
      <c r="I1971" s="2" t="str">
        <f ca="1">IFERROR(__xludf.DUMMYFUNCTION("GOOGLETRANSLATE(B1971,""en"",""gd"")"),"Litreachadh")</f>
        <v>Litreachadh</v>
      </c>
    </row>
    <row r="1972" spans="1:9" ht="14.25" customHeight="1" x14ac:dyDescent="0.3">
      <c r="A1972" s="2">
        <v>1971</v>
      </c>
      <c r="B1972" s="3" t="s">
        <v>1979</v>
      </c>
      <c r="C1972" s="2" t="str">
        <f ca="1">IFERROR(__xludf.DUMMYFUNCTION("GOOGLETRANSLATE(B1972, ""en"",""es"")"),"premisa")</f>
        <v>premisa</v>
      </c>
      <c r="D1972" s="2" t="str">
        <f ca="1">IFERROR(__xludf.DUMMYFUNCTION("GOOGLETRANSLATE(B1972,""en"",""ig"")"),"ndoro ndoro")</f>
        <v>ndoro ndoro</v>
      </c>
      <c r="E1972" s="2" t="str">
        <f ca="1">IFERROR(__xludf.DUMMYFUNCTION("GOOGLETRANSLATE(B1972,""en"",""fr"")"),"prémisse")</f>
        <v>prémisse</v>
      </c>
      <c r="F1972" s="2" t="str">
        <f ca="1">IFERROR(__xludf.DUMMYFUNCTION("GOOGLETRANSLATE(B1972,""en"",""it"")"),"premessa")</f>
        <v>premessa</v>
      </c>
      <c r="G1972" s="2" t="str">
        <f ca="1">IFERROR(__xludf.DUMMYFUNCTION("GOOGLETRANSLATE(B1972,""en"",""de"")"),"Prämisse")</f>
        <v>Prämisse</v>
      </c>
      <c r="H1972" s="2" t="str">
        <f ca="1">IFERROR(__xludf.DUMMYFUNCTION("GOOGLETRANSLATE(B1972,""en"",""zh"")"),"前提")</f>
        <v>前提</v>
      </c>
      <c r="I1972" s="2" t="str">
        <f ca="1">IFERROR(__xludf.DUMMYFUNCTION("GOOGLETRANSLATE(B1972,""en"",""gd"")"),"Previse")</f>
        <v>Previse</v>
      </c>
    </row>
    <row r="1973" spans="1:9" ht="14.25" customHeight="1" x14ac:dyDescent="0.3">
      <c r="A1973" s="2">
        <v>1972</v>
      </c>
      <c r="B1973" s="3" t="s">
        <v>1980</v>
      </c>
      <c r="C1973" s="2" t="str">
        <f ca="1">IFERROR(__xludf.DUMMYFUNCTION("GOOGLETRANSLATE(B1973, ""en"",""es"")"),"inclinarse")</f>
        <v>inclinarse</v>
      </c>
      <c r="D1973" s="2" t="str">
        <f ca="1">IFERROR(__xludf.DUMMYFUNCTION("GOOGLETRANSLATE(B1973,""en"",""ig"")"),"dabere")</f>
        <v>dabere</v>
      </c>
      <c r="E1973" s="2" t="str">
        <f ca="1">IFERROR(__xludf.DUMMYFUNCTION("GOOGLETRANSLATE(B1973,""en"",""fr"")"),"maigre")</f>
        <v>maigre</v>
      </c>
      <c r="F1973" s="2" t="str">
        <f ca="1">IFERROR(__xludf.DUMMYFUNCTION("GOOGLETRANSLATE(B1973,""en"",""it"")"),"pendere")</f>
        <v>pendere</v>
      </c>
      <c r="G1973" s="2" t="str">
        <f ca="1">IFERROR(__xludf.DUMMYFUNCTION("GOOGLETRANSLATE(B1973,""en"",""de"")"),"mager")</f>
        <v>mager</v>
      </c>
      <c r="H1973" s="2" t="str">
        <f ca="1">IFERROR(__xludf.DUMMYFUNCTION("GOOGLETRANSLATE(B1973,""en"",""zh"")"),"倾斜")</f>
        <v>倾斜</v>
      </c>
      <c r="I1973" s="2" t="str">
        <f ca="1">IFERROR(__xludf.DUMMYFUNCTION("GOOGLETRANSLATE(B1973,""en"",""gd"")"),"lean")</f>
        <v>lean</v>
      </c>
    </row>
    <row r="1974" spans="1:9" ht="14.25" customHeight="1" x14ac:dyDescent="0.3">
      <c r="A1974" s="2">
        <v>1973</v>
      </c>
      <c r="B1974" s="3" t="s">
        <v>1981</v>
      </c>
      <c r="C1974" s="2" t="str">
        <f ca="1">IFERROR(__xludf.DUMMYFUNCTION("GOOGLETRANSLATE(B1974, ""en"",""es"")"),"dramático")</f>
        <v>dramático</v>
      </c>
      <c r="D1974" s="2" t="str">
        <f ca="1">IFERROR(__xludf.DUMMYFUNCTION("GOOGLETRANSLATE(B1974,""en"",""ig"")"),"keuma")</f>
        <v>keuma</v>
      </c>
      <c r="E1974" s="2" t="str">
        <f ca="1">IFERROR(__xludf.DUMMYFUNCTION("GOOGLETRANSLATE(B1974,""en"",""fr"")"),"spectaculaire")</f>
        <v>spectaculaire</v>
      </c>
      <c r="F1974" s="2" t="str">
        <f ca="1">IFERROR(__xludf.DUMMYFUNCTION("GOOGLETRANSLATE(B1974,""en"",""it"")"),"drammatico")</f>
        <v>drammatico</v>
      </c>
      <c r="G1974" s="2" t="str">
        <f ca="1">IFERROR(__xludf.DUMMYFUNCTION("GOOGLETRANSLATE(B1974,""en"",""de"")"),"dramatisch")</f>
        <v>dramatisch</v>
      </c>
      <c r="H1974" s="2" t="str">
        <f ca="1">IFERROR(__xludf.DUMMYFUNCTION("GOOGLETRANSLATE(B1974,""en"",""zh"")"),"戏剧性")</f>
        <v>戏剧性</v>
      </c>
      <c r="I1974" s="2" t="str">
        <f ca="1">IFERROR(__xludf.DUMMYFUNCTION("GOOGLETRANSLATE(B1974,""en"",""gd"")"),"dràmadach")</f>
        <v>dràmadach</v>
      </c>
    </row>
    <row r="1975" spans="1:9" ht="14.25" customHeight="1" x14ac:dyDescent="0.3">
      <c r="A1975" s="2">
        <v>1974</v>
      </c>
      <c r="B1975" s="3" t="s">
        <v>1982</v>
      </c>
      <c r="C1975" s="2" t="str">
        <f ca="1">IFERROR(__xludf.DUMMYFUNCTION("GOOGLETRANSLATE(B1975, ""en"",""es"")"),"diferir de")</f>
        <v>diferir de</v>
      </c>
      <c r="D1975" s="2" t="str">
        <f ca="1">IFERROR(__xludf.DUMMYFUNCTION("GOOGLETRANSLATE(B1975,""en"",""ig"")"),"iche")</f>
        <v>iche</v>
      </c>
      <c r="E1975" s="2" t="str">
        <f ca="1">IFERROR(__xludf.DUMMYFUNCTION("GOOGLETRANSLATE(B1975,""en"",""fr"")"),"différer")</f>
        <v>différer</v>
      </c>
      <c r="F1975" s="2" t="str">
        <f ca="1">IFERROR(__xludf.DUMMYFUNCTION("GOOGLETRANSLATE(B1975,""en"",""it"")"),"differire")</f>
        <v>differire</v>
      </c>
      <c r="G1975" s="2" t="str">
        <f ca="1">IFERROR(__xludf.DUMMYFUNCTION("GOOGLETRANSLATE(B1975,""en"",""de"")"),"abweichen")</f>
        <v>abweichen</v>
      </c>
      <c r="H1975" s="2" t="str">
        <f ca="1">IFERROR(__xludf.DUMMYFUNCTION("GOOGLETRANSLATE(B1975,""en"",""zh"")"),"不同")</f>
        <v>不同</v>
      </c>
      <c r="I1975" s="2" t="str">
        <f ca="1">IFERROR(__xludf.DUMMYFUNCTION("GOOGLETRANSLATE(B1975,""en"",""gd"")"),"Diofar")</f>
        <v>Diofar</v>
      </c>
    </row>
    <row r="1976" spans="1:9" ht="14.25" customHeight="1" x14ac:dyDescent="0.3">
      <c r="A1976" s="2">
        <v>1975</v>
      </c>
      <c r="B1976" s="3" t="s">
        <v>1983</v>
      </c>
      <c r="C1976" s="2" t="str">
        <f ca="1">IFERROR(__xludf.DUMMYFUNCTION("GOOGLETRANSLATE(B1976, ""en"",""es"")"),"agradecido")</f>
        <v>agradecido</v>
      </c>
      <c r="D1976" s="2" t="str">
        <f ca="1">IFERROR(__xludf.DUMMYFUNCTION("GOOGLETRANSLATE(B1976,""en"",""ig"")"),"keobiuto")</f>
        <v>keobiuto</v>
      </c>
      <c r="E1976" s="2" t="str">
        <f ca="1">IFERROR(__xludf.DUMMYFUNCTION("GOOGLETRANSLATE(B1976,""en"",""fr"")"),"reconnaissant")</f>
        <v>reconnaissant</v>
      </c>
      <c r="F1976" s="2" t="str">
        <f ca="1">IFERROR(__xludf.DUMMYFUNCTION("GOOGLETRANSLATE(B1976,""en"",""it"")"),"grato")</f>
        <v>grato</v>
      </c>
      <c r="G1976" s="2" t="str">
        <f ca="1">IFERROR(__xludf.DUMMYFUNCTION("GOOGLETRANSLATE(B1976,""en"",""de"")"),"dankbar")</f>
        <v>dankbar</v>
      </c>
      <c r="H1976" s="2" t="str">
        <f ca="1">IFERROR(__xludf.DUMMYFUNCTION("GOOGLETRANSLATE(B1976,""en"",""zh"")"),"感激的")</f>
        <v>感激的</v>
      </c>
      <c r="I1976" s="2" t="str">
        <f ca="1">IFERROR(__xludf.DUMMYFUNCTION("GOOGLETRANSLATE(B1976,""en"",""gd"")"),"taingeil")</f>
        <v>taingeil</v>
      </c>
    </row>
    <row r="1977" spans="1:9" ht="14.25" customHeight="1" x14ac:dyDescent="0.3">
      <c r="A1977" s="2">
        <v>1976</v>
      </c>
      <c r="B1977" s="3" t="s">
        <v>1984</v>
      </c>
      <c r="C1977" s="2" t="str">
        <f ca="1">IFERROR(__xludf.DUMMYFUNCTION("GOOGLETRANSLATE(B1977, ""en"",""es"")"),"proteína")</f>
        <v>proteína</v>
      </c>
      <c r="D1977" s="2" t="str">
        <f ca="1">IFERROR(__xludf.DUMMYFUNCTION("GOOGLETRANSLATE(B1977,""en"",""ig"")"),"protein")</f>
        <v>protein</v>
      </c>
      <c r="E1977" s="2" t="str">
        <f ca="1">IFERROR(__xludf.DUMMYFUNCTION("GOOGLETRANSLATE(B1977,""en"",""fr"")"),"protéine")</f>
        <v>protéine</v>
      </c>
      <c r="F1977" s="2" t="str">
        <f ca="1">IFERROR(__xludf.DUMMYFUNCTION("GOOGLETRANSLATE(B1977,""en"",""it"")"),"proteina")</f>
        <v>proteina</v>
      </c>
      <c r="G1977" s="2" t="str">
        <f ca="1">IFERROR(__xludf.DUMMYFUNCTION("GOOGLETRANSLATE(B1977,""en"",""de"")"),"Eiweiß")</f>
        <v>Eiweiß</v>
      </c>
      <c r="H1977" s="2" t="str">
        <f ca="1">IFERROR(__xludf.DUMMYFUNCTION("GOOGLETRANSLATE(B1977,""en"",""zh"")"),"蛋白质")</f>
        <v>蛋白质</v>
      </c>
      <c r="I1977" s="2" t="str">
        <f ca="1">IFERROR(__xludf.DUMMYFUNCTION("GOOGLETRANSLATE(B1977,""en"",""gd"")"),"pròtain")</f>
        <v>pròtain</v>
      </c>
    </row>
    <row r="1978" spans="1:9" ht="14.25" customHeight="1" x14ac:dyDescent="0.3">
      <c r="A1978" s="2">
        <v>1977</v>
      </c>
      <c r="B1978" s="3" t="s">
        <v>1985</v>
      </c>
      <c r="C1978" s="2" t="str">
        <f ca="1">IFERROR(__xludf.DUMMYFUNCTION("GOOGLETRANSLATE(B1978, ""en"",""es"")"),"bicicleta")</f>
        <v>bicicleta</v>
      </c>
      <c r="D1978" s="2" t="str">
        <f ca="1">IFERROR(__xludf.DUMMYFUNCTION("GOOGLETRANSLATE(B1978,""en"",""ig"")"),"igwe inyinya")</f>
        <v>igwe inyinya</v>
      </c>
      <c r="E1978" s="2" t="str">
        <f ca="1">IFERROR(__xludf.DUMMYFUNCTION("GOOGLETRANSLATE(B1978,""en"",""fr"")"),"vélo")</f>
        <v>vélo</v>
      </c>
      <c r="F1978" s="2" t="str">
        <f ca="1">IFERROR(__xludf.DUMMYFUNCTION("GOOGLETRANSLATE(B1978,""en"",""it"")"),"bicicletta")</f>
        <v>bicicletta</v>
      </c>
      <c r="G1978" s="2" t="str">
        <f ca="1">IFERROR(__xludf.DUMMYFUNCTION("GOOGLETRANSLATE(B1978,""en"",""de"")"),"Fahrrad")</f>
        <v>Fahrrad</v>
      </c>
      <c r="H1978" s="2" t="str">
        <f ca="1">IFERROR(__xludf.DUMMYFUNCTION("GOOGLETRANSLATE(B1978,""en"",""zh"")"),"自行车")</f>
        <v>自行车</v>
      </c>
      <c r="I1978" s="2" t="str">
        <f ca="1">IFERROR(__xludf.DUMMYFUNCTION("GOOGLETRANSLATE(B1978,""en"",""gd"")"),"baidhsagal")</f>
        <v>baidhsagal</v>
      </c>
    </row>
    <row r="1979" spans="1:9" ht="14.25" customHeight="1" x14ac:dyDescent="0.3">
      <c r="A1979" s="2">
        <v>1978</v>
      </c>
      <c r="B1979" s="3" t="s">
        <v>1986</v>
      </c>
      <c r="C1979" s="2" t="str">
        <f ca="1">IFERROR(__xludf.DUMMYFUNCTION("GOOGLETRANSLATE(B1979, ""en"",""es"")"),"distribuir")</f>
        <v>distribuir</v>
      </c>
      <c r="D1979" s="2" t="str">
        <f ca="1">IFERROR(__xludf.DUMMYFUNCTION("GOOGLETRANSLATE(B1979,""en"",""ig"")"),"ikesa")</f>
        <v>ikesa</v>
      </c>
      <c r="E1979" s="2" t="str">
        <f ca="1">IFERROR(__xludf.DUMMYFUNCTION("GOOGLETRANSLATE(B1979,""en"",""fr"")"),"distribuer")</f>
        <v>distribuer</v>
      </c>
      <c r="F1979" s="2" t="str">
        <f ca="1">IFERROR(__xludf.DUMMYFUNCTION("GOOGLETRANSLATE(B1979,""en"",""it"")"),"distribuire")</f>
        <v>distribuire</v>
      </c>
      <c r="G1979" s="2" t="str">
        <f ca="1">IFERROR(__xludf.DUMMYFUNCTION("GOOGLETRANSLATE(B1979,""en"",""de"")"),"verteilen")</f>
        <v>verteilen</v>
      </c>
      <c r="H1979" s="2" t="str">
        <f ca="1">IFERROR(__xludf.DUMMYFUNCTION("GOOGLETRANSLATE(B1979,""en"",""zh"")"),"分发")</f>
        <v>分发</v>
      </c>
      <c r="I1979" s="2" t="str">
        <f ca="1">IFERROR(__xludf.DUMMYFUNCTION("GOOGLETRANSLATE(B1979,""en"",""gd"")"),"Sgaoil")</f>
        <v>Sgaoil</v>
      </c>
    </row>
    <row r="1980" spans="1:9" ht="14.25" customHeight="1" x14ac:dyDescent="0.3">
      <c r="A1980" s="2">
        <v>1979</v>
      </c>
      <c r="B1980" s="3" t="s">
        <v>1987</v>
      </c>
      <c r="C1980" s="2" t="str">
        <f ca="1">IFERROR(__xludf.DUMMYFUNCTION("GOOGLETRANSLATE(B1980, ""en"",""es"")"),"intelectual")</f>
        <v>intelectual</v>
      </c>
      <c r="D1980" s="2" t="str">
        <f ca="1">IFERROR(__xludf.DUMMYFUNCTION("GOOGLETRANSLATE(B1980,""en"",""ig"")"),"onye amamiihe")</f>
        <v>onye amamiihe</v>
      </c>
      <c r="E1980" s="2" t="str">
        <f ca="1">IFERROR(__xludf.DUMMYFUNCTION("GOOGLETRANSLATE(B1980,""en"",""fr"")"),"intellectuel")</f>
        <v>intellectuel</v>
      </c>
      <c r="F1980" s="2" t="str">
        <f ca="1">IFERROR(__xludf.DUMMYFUNCTION("GOOGLETRANSLATE(B1980,""en"",""it"")"),"intellettuale")</f>
        <v>intellettuale</v>
      </c>
      <c r="G1980" s="2" t="str">
        <f ca="1">IFERROR(__xludf.DUMMYFUNCTION("GOOGLETRANSLATE(B1980,""en"",""de"")"),"intellektuell")</f>
        <v>intellektuell</v>
      </c>
      <c r="H1980" s="2" t="str">
        <f ca="1">IFERROR(__xludf.DUMMYFUNCTION("GOOGLETRANSLATE(B1980,""en"",""zh"")"),"知识分子")</f>
        <v>知识分子</v>
      </c>
      <c r="I1980" s="2" t="str">
        <f ca="1">IFERROR(__xludf.DUMMYFUNCTION("GOOGLETRANSLATE(B1980,""en"",""gd"")"),"inntleachdail")</f>
        <v>inntleachdail</v>
      </c>
    </row>
    <row r="1981" spans="1:9" ht="14.25" customHeight="1" x14ac:dyDescent="0.3">
      <c r="A1981" s="2">
        <v>1980</v>
      </c>
      <c r="B1981" s="3" t="s">
        <v>1988</v>
      </c>
      <c r="C1981" s="2" t="str">
        <f ca="1">IFERROR(__xludf.DUMMYFUNCTION("GOOGLETRANSLATE(B1981, ""en"",""es"")"),"derivar")</f>
        <v>derivar</v>
      </c>
      <c r="D1981" s="2" t="str">
        <f ca="1">IFERROR(__xludf.DUMMYFUNCTION("GOOGLETRANSLATE(B1981,""en"",""ig"")"),"iri nri")</f>
        <v>iri nri</v>
      </c>
      <c r="E1981" s="2" t="str">
        <f ca="1">IFERROR(__xludf.DUMMYFUNCTION("GOOGLETRANSLATE(B1981,""en"",""fr"")"),"dériver")</f>
        <v>dériver</v>
      </c>
      <c r="F1981" s="2" t="str">
        <f ca="1">IFERROR(__xludf.DUMMYFUNCTION("GOOGLETRANSLATE(B1981,""en"",""it"")"),"derivare")</f>
        <v>derivare</v>
      </c>
      <c r="G1981" s="2" t="str">
        <f ca="1">IFERROR(__xludf.DUMMYFUNCTION("GOOGLETRANSLATE(B1981,""en"",""de"")"),"ableiten")</f>
        <v>ableiten</v>
      </c>
      <c r="H1981" s="2" t="str">
        <f ca="1">IFERROR(__xludf.DUMMYFUNCTION("GOOGLETRANSLATE(B1981,""en"",""zh"")"),"派生")</f>
        <v>派生</v>
      </c>
      <c r="I1981" s="2" t="str">
        <f ca="1">IFERROR(__xludf.DUMMYFUNCTION("GOOGLETRANSLATE(B1981,""en"",""gd"")"),"faighinn")</f>
        <v>faighinn</v>
      </c>
    </row>
    <row r="1982" spans="1:9" ht="14.25" customHeight="1" x14ac:dyDescent="0.3">
      <c r="A1982" s="2">
        <v>1981</v>
      </c>
      <c r="B1982" s="3" t="s">
        <v>1989</v>
      </c>
      <c r="C1982" s="2" t="str">
        <f ca="1">IFERROR(__xludf.DUMMYFUNCTION("GOOGLETRANSLATE(B1982, ""en"",""es"")"),"crucial")</f>
        <v>crucial</v>
      </c>
      <c r="D1982" s="2" t="str">
        <f ca="1">IFERROR(__xludf.DUMMYFUNCTION("GOOGLETRANSLATE(B1982,""en"",""ig"")"),"kedimkpa")</f>
        <v>kedimkpa</v>
      </c>
      <c r="E1982" s="2" t="str">
        <f ca="1">IFERROR(__xludf.DUMMYFUNCTION("GOOGLETRANSLATE(B1982,""en"",""fr"")"),"crucial")</f>
        <v>crucial</v>
      </c>
      <c r="F1982" s="2" t="str">
        <f ca="1">IFERROR(__xludf.DUMMYFUNCTION("GOOGLETRANSLATE(B1982,""en"",""it"")"),"cruciale")</f>
        <v>cruciale</v>
      </c>
      <c r="G1982" s="2" t="str">
        <f ca="1">IFERROR(__xludf.DUMMYFUNCTION("GOOGLETRANSLATE(B1982,""en"",""de"")"),"entscheidend")</f>
        <v>entscheidend</v>
      </c>
      <c r="H1982" s="2" t="str">
        <f ca="1">IFERROR(__xludf.DUMMYFUNCTION("GOOGLETRANSLATE(B1982,""en"",""zh"")"),"至关重要的")</f>
        <v>至关重要的</v>
      </c>
      <c r="I1982" s="2" t="str">
        <f ca="1">IFERROR(__xludf.DUMMYFUNCTION("GOOGLETRANSLATE(B1982,""en"",""gd"")"),"deatamach")</f>
        <v>deatamach</v>
      </c>
    </row>
    <row r="1983" spans="1:9" ht="14.25" customHeight="1" x14ac:dyDescent="0.3">
      <c r="A1983" s="2">
        <v>1982</v>
      </c>
      <c r="B1983" s="3" t="s">
        <v>1990</v>
      </c>
      <c r="C1983" s="2" t="str">
        <f ca="1">IFERROR(__xludf.DUMMYFUNCTION("GOOGLETRANSLATE(B1983, ""en"",""es"")"),"desempleo")</f>
        <v>desempleo</v>
      </c>
      <c r="D1983" s="2" t="str">
        <f ca="1">IFERROR(__xludf.DUMMYFUNCTION("GOOGLETRANSLATE(B1983,""en"",""ig"")"),"enweghi akaoru")</f>
        <v>enweghi akaoru</v>
      </c>
      <c r="E1983" s="2" t="str">
        <f ca="1">IFERROR(__xludf.DUMMYFUNCTION("GOOGLETRANSLATE(B1983,""en"",""fr"")"),"chômage")</f>
        <v>chômage</v>
      </c>
      <c r="F1983" s="2" t="str">
        <f ca="1">IFERROR(__xludf.DUMMYFUNCTION("GOOGLETRANSLATE(B1983,""en"",""it"")"),"disoccupazione")</f>
        <v>disoccupazione</v>
      </c>
      <c r="G1983" s="2" t="str">
        <f ca="1">IFERROR(__xludf.DUMMYFUNCTION("GOOGLETRANSLATE(B1983,""en"",""de"")"),"Arbeitslosigkeit")</f>
        <v>Arbeitslosigkeit</v>
      </c>
      <c r="H1983" s="2" t="str">
        <f ca="1">IFERROR(__xludf.DUMMYFUNCTION("GOOGLETRANSLATE(B1983,""en"",""zh"")"),"失业")</f>
        <v>失业</v>
      </c>
      <c r="I1983" s="2" t="str">
        <f ca="1">IFERROR(__xludf.DUMMYFUNCTION("GOOGLETRANSLATE(B1983,""en"",""gd"")"),"cion-cosnaidh")</f>
        <v>cion-cosnaidh</v>
      </c>
    </row>
    <row r="1984" spans="1:9" ht="14.25" customHeight="1" x14ac:dyDescent="0.3">
      <c r="A1984" s="2">
        <v>1983</v>
      </c>
      <c r="B1984" s="3" t="s">
        <v>1991</v>
      </c>
      <c r="C1984" s="2" t="str">
        <f ca="1">IFERROR(__xludf.DUMMYFUNCTION("GOOGLETRANSLATE(B1984, ""en"",""es"")"),"rueda")</f>
        <v>rueda</v>
      </c>
      <c r="D1984" s="2" t="str">
        <f ca="1">IFERROR(__xludf.DUMMYFUNCTION("GOOGLETRANSLATE(B1984,""en"",""ig"")"),"wiil")</f>
        <v>wiil</v>
      </c>
      <c r="E1984" s="2" t="str">
        <f ca="1">IFERROR(__xludf.DUMMYFUNCTION("GOOGLETRANSLATE(B1984,""en"",""fr"")"),"roue")</f>
        <v>roue</v>
      </c>
      <c r="F1984" s="2" t="str">
        <f ca="1">IFERROR(__xludf.DUMMYFUNCTION("GOOGLETRANSLATE(B1984,""en"",""it"")"),"ruota")</f>
        <v>ruota</v>
      </c>
      <c r="G1984" s="2" t="str">
        <f ca="1">IFERROR(__xludf.DUMMYFUNCTION("GOOGLETRANSLATE(B1984,""en"",""de"")"),"Rad")</f>
        <v>Rad</v>
      </c>
      <c r="H1984" s="2" t="str">
        <f ca="1">IFERROR(__xludf.DUMMYFUNCTION("GOOGLETRANSLATE(B1984,""en"",""zh"")"),"车轮")</f>
        <v>车轮</v>
      </c>
      <c r="I1984" s="2" t="str">
        <f ca="1">IFERROR(__xludf.DUMMYFUNCTION("GOOGLETRANSLATE(B1984,""en"",""gd"")"),"Cuibhle")</f>
        <v>Cuibhle</v>
      </c>
    </row>
    <row r="1985" spans="1:9" ht="14.25" customHeight="1" x14ac:dyDescent="0.3">
      <c r="A1985" s="2">
        <v>1984</v>
      </c>
      <c r="B1985" s="3" t="s">
        <v>1992</v>
      </c>
      <c r="C1985" s="2" t="str">
        <f ca="1">IFERROR(__xludf.DUMMYFUNCTION("GOOGLETRANSLATE(B1985, ""en"",""es"")"),"cultivo")</f>
        <v>cultivo</v>
      </c>
      <c r="D1985" s="2" t="str">
        <f ca="1">IFERROR(__xludf.DUMMYFUNCTION("GOOGLETRANSLATE(B1985,""en"",""ig"")"),"akuku")</f>
        <v>akuku</v>
      </c>
      <c r="E1985" s="2" t="str">
        <f ca="1">IFERROR(__xludf.DUMMYFUNCTION("GOOGLETRANSLATE(B1985,""en"",""fr"")"),"recadrer")</f>
        <v>recadrer</v>
      </c>
      <c r="F1985" s="2" t="str">
        <f ca="1">IFERROR(__xludf.DUMMYFUNCTION("GOOGLETRANSLATE(B1985,""en"",""it"")"),"raccolto")</f>
        <v>raccolto</v>
      </c>
      <c r="G1985" s="2" t="str">
        <f ca="1">IFERROR(__xludf.DUMMYFUNCTION("GOOGLETRANSLATE(B1985,""en"",""de"")"),"Ernte")</f>
        <v>Ernte</v>
      </c>
      <c r="H1985" s="2" t="str">
        <f ca="1">IFERROR(__xludf.DUMMYFUNCTION("GOOGLETRANSLATE(B1985,""en"",""zh"")"),"庄稼")</f>
        <v>庄稼</v>
      </c>
      <c r="I1985" s="2" t="str">
        <f ca="1">IFERROR(__xludf.DUMMYFUNCTION("GOOGLETRANSLATE(B1985,""en"",""gd"")"),"bàrr")</f>
        <v>bàrr</v>
      </c>
    </row>
    <row r="1986" spans="1:9" ht="14.25" customHeight="1" x14ac:dyDescent="0.3">
      <c r="A1986" s="2">
        <v>1985</v>
      </c>
      <c r="B1986" s="3" t="s">
        <v>1993</v>
      </c>
      <c r="C1986" s="2" t="str">
        <f ca="1">IFERROR(__xludf.DUMMYFUNCTION("GOOGLETRANSLATE(B1986, ""en"",""es"")"),"minoría")</f>
        <v>minoría</v>
      </c>
      <c r="D1986" s="2" t="str">
        <f ca="1">IFERROR(__xludf.DUMMYFUNCTION("GOOGLETRANSLATE(B1986,""en"",""ig"")"),"onodu ntakiri")</f>
        <v>onodu ntakiri</v>
      </c>
      <c r="E1986" s="2" t="str">
        <f ca="1">IFERROR(__xludf.DUMMYFUNCTION("GOOGLETRANSLATE(B1986,""en"",""fr"")"),"minorité")</f>
        <v>minorité</v>
      </c>
      <c r="F1986" s="2" t="str">
        <f ca="1">IFERROR(__xludf.DUMMYFUNCTION("GOOGLETRANSLATE(B1986,""en"",""it"")"),"minoranza")</f>
        <v>minoranza</v>
      </c>
      <c r="G1986" s="2" t="str">
        <f ca="1">IFERROR(__xludf.DUMMYFUNCTION("GOOGLETRANSLATE(B1986,""en"",""de"")"),"Minderheit")</f>
        <v>Minderheit</v>
      </c>
      <c r="H1986" s="2" t="str">
        <f ca="1">IFERROR(__xludf.DUMMYFUNCTION("GOOGLETRANSLATE(B1986,""en"",""zh"")"),"少数民族")</f>
        <v>少数民族</v>
      </c>
      <c r="I1986" s="2" t="str">
        <f ca="1">IFERROR(__xludf.DUMMYFUNCTION("GOOGLETRANSLATE(B1986,""en"",""gd"")"),"beag-chuid")</f>
        <v>beag-chuid</v>
      </c>
    </row>
    <row r="1987" spans="1:9" ht="14.25" customHeight="1" x14ac:dyDescent="0.3">
      <c r="A1987" s="2">
        <v>1986</v>
      </c>
      <c r="B1987" s="3" t="s">
        <v>1994</v>
      </c>
      <c r="C1987" s="2" t="str">
        <f ca="1">IFERROR(__xludf.DUMMYFUNCTION("GOOGLETRANSLATE(B1987, ""en"",""es"")"),"origen")</f>
        <v>origen</v>
      </c>
      <c r="D1987" s="2" t="str">
        <f ca="1">IFERROR(__xludf.DUMMYFUNCTION("GOOGLETRANSLATE(B1987,""en"",""ig"")"),"mbido")</f>
        <v>mbido</v>
      </c>
      <c r="E1987" s="2" t="str">
        <f ca="1">IFERROR(__xludf.DUMMYFUNCTION("GOOGLETRANSLATE(B1987,""en"",""fr"")"),"origine")</f>
        <v>origine</v>
      </c>
      <c r="F1987" s="2" t="str">
        <f ca="1">IFERROR(__xludf.DUMMYFUNCTION("GOOGLETRANSLATE(B1987,""en"",""it"")"),"origine")</f>
        <v>origine</v>
      </c>
      <c r="G1987" s="2" t="str">
        <f ca="1">IFERROR(__xludf.DUMMYFUNCTION("GOOGLETRANSLATE(B1987,""en"",""de"")"),"Herkunft")</f>
        <v>Herkunft</v>
      </c>
      <c r="H1987" s="2" t="str">
        <f ca="1">IFERROR(__xludf.DUMMYFUNCTION("GOOGLETRANSLATE(B1987,""en"",""zh"")"),"起源")</f>
        <v>起源</v>
      </c>
      <c r="I1987" s="2" t="str">
        <f ca="1">IFERROR(__xludf.DUMMYFUNCTION("GOOGLETRANSLATE(B1987,""en"",""gd"")"),"tùs")</f>
        <v>tùs</v>
      </c>
    </row>
    <row r="1988" spans="1:9" ht="14.25" customHeight="1" x14ac:dyDescent="0.3">
      <c r="A1988" s="2">
        <v>1987</v>
      </c>
      <c r="B1988" s="3" t="s">
        <v>1995</v>
      </c>
      <c r="C1988" s="2" t="str">
        <f ca="1">IFERROR(__xludf.DUMMYFUNCTION("GOOGLETRANSLATE(B1988, ""en"",""es"")"),"interpretación")</f>
        <v>interpretación</v>
      </c>
      <c r="D1988" s="2" t="str">
        <f ca="1">IFERROR(__xludf.DUMMYFUNCTION("GOOGLETRANSLATE(B1988,""en"",""ig"")"),"nkowa")</f>
        <v>nkowa</v>
      </c>
      <c r="E1988" s="2" t="str">
        <f ca="1">IFERROR(__xludf.DUMMYFUNCTION("GOOGLETRANSLATE(B1988,""en"",""fr"")"),"interprétation")</f>
        <v>interprétation</v>
      </c>
      <c r="F1988" s="2" t="str">
        <f ca="1">IFERROR(__xludf.DUMMYFUNCTION("GOOGLETRANSLATE(B1988,""en"",""it"")"),"interpretazione")</f>
        <v>interpretazione</v>
      </c>
      <c r="G1988" s="2" t="str">
        <f ca="1">IFERROR(__xludf.DUMMYFUNCTION("GOOGLETRANSLATE(B1988,""en"",""de"")"),"Deutung")</f>
        <v>Deutung</v>
      </c>
      <c r="H1988" s="2" t="str">
        <f ca="1">IFERROR(__xludf.DUMMYFUNCTION("GOOGLETRANSLATE(B1988,""en"",""zh"")"),"解释")</f>
        <v>解释</v>
      </c>
      <c r="I1988" s="2" t="str">
        <f ca="1">IFERROR(__xludf.DUMMYFUNCTION("GOOGLETRANSLATE(B1988,""en"",""gd"")"),"Mìneachadh")</f>
        <v>Mìneachadh</v>
      </c>
    </row>
    <row r="1989" spans="1:9" ht="14.25" customHeight="1" x14ac:dyDescent="0.3">
      <c r="A1989" s="2">
        <v>1988</v>
      </c>
      <c r="B1989" s="3" t="s">
        <v>1996</v>
      </c>
      <c r="C1989" s="2" t="str">
        <f ca="1">IFERROR(__xludf.DUMMYFUNCTION("GOOGLETRANSLATE(B1989, ""en"",""es"")"),"hidalgo")</f>
        <v>hidalgo</v>
      </c>
      <c r="D1989" s="2" t="str">
        <f ca="1">IFERROR(__xludf.DUMMYFUNCTION("GOOGLETRANSLATE(B1989,""en"",""ig"")"),"nwa amadi")</f>
        <v>nwa amadi</v>
      </c>
      <c r="E1989" s="2" t="str">
        <f ca="1">IFERROR(__xludf.DUMMYFUNCTION("GOOGLETRANSLATE(B1989,""en"",""fr"")"),"gentilhomme")</f>
        <v>gentilhomme</v>
      </c>
      <c r="F1989" s="2" t="str">
        <f ca="1">IFERROR(__xludf.DUMMYFUNCTION("GOOGLETRANSLATE(B1989,""en"",""it"")"),"signore")</f>
        <v>signore</v>
      </c>
      <c r="G1989" s="2" t="str">
        <f ca="1">IFERROR(__xludf.DUMMYFUNCTION("GOOGLETRANSLATE(B1989,""en"",""de"")"),"Gentleman")</f>
        <v>Gentleman</v>
      </c>
      <c r="H1989" s="2" t="str">
        <f ca="1">IFERROR(__xludf.DUMMYFUNCTION("GOOGLETRANSLATE(B1989,""en"",""zh"")"),"绅士")</f>
        <v>绅士</v>
      </c>
      <c r="I1989" s="2" t="str">
        <f ca="1">IFERROR(__xludf.DUMMYFUNCTION("GOOGLETRANSLATE(B1989,""en"",""gd"")"),"duine-uasal")</f>
        <v>duine-uasal</v>
      </c>
    </row>
    <row r="1990" spans="1:9" ht="14.25" customHeight="1" x14ac:dyDescent="0.3">
      <c r="A1990" s="2">
        <v>1989</v>
      </c>
      <c r="B1990" s="3" t="s">
        <v>1997</v>
      </c>
      <c r="C1990" s="2" t="str">
        <f ca="1">IFERROR(__xludf.DUMMYFUNCTION("GOOGLETRANSLATE(B1990, ""en"",""es"")"),"drama")</f>
        <v>drama</v>
      </c>
      <c r="D1990" s="2" t="str">
        <f ca="1">IFERROR(__xludf.DUMMYFUNCTION("GOOGLETRANSLATE(B1990,""en"",""ig"")"),"ejije")</f>
        <v>ejije</v>
      </c>
      <c r="E1990" s="2" t="str">
        <f ca="1">IFERROR(__xludf.DUMMYFUNCTION("GOOGLETRANSLATE(B1990,""en"",""fr"")"),"drame")</f>
        <v>drame</v>
      </c>
      <c r="F1990" s="2" t="str">
        <f ca="1">IFERROR(__xludf.DUMMYFUNCTION("GOOGLETRANSLATE(B1990,""en"",""it"")"),"dramma")</f>
        <v>dramma</v>
      </c>
      <c r="G1990" s="2" t="str">
        <f ca="1">IFERROR(__xludf.DUMMYFUNCTION("GOOGLETRANSLATE(B1990,""en"",""de"")"),"Theater")</f>
        <v>Theater</v>
      </c>
      <c r="H1990" s="2" t="str">
        <f ca="1">IFERROR(__xludf.DUMMYFUNCTION("GOOGLETRANSLATE(B1990,""en"",""zh"")"),"戏剧")</f>
        <v>戏剧</v>
      </c>
      <c r="I1990" s="2" t="str">
        <f ca="1">IFERROR(__xludf.DUMMYFUNCTION("GOOGLETRANSLATE(B1990,""en"",""gd"")"),"Dràma")</f>
        <v>Dràma</v>
      </c>
    </row>
    <row r="1991" spans="1:9" ht="14.25" customHeight="1" x14ac:dyDescent="0.3">
      <c r="A1991" s="2">
        <v>1990</v>
      </c>
      <c r="B1991" s="3" t="s">
        <v>1998</v>
      </c>
      <c r="C1991" s="2" t="str">
        <f ca="1">IFERROR(__xludf.DUMMYFUNCTION("GOOGLETRANSLATE(B1991, ""en"",""es"")"),"paisaje")</f>
        <v>paisaje</v>
      </c>
      <c r="D1991" s="2" t="str">
        <f ca="1">IFERROR(__xludf.DUMMYFUNCTION("GOOGLETRANSLATE(B1991,""en"",""ig"")"),"odida obodo")</f>
        <v>odida obodo</v>
      </c>
      <c r="E1991" s="2" t="str">
        <f ca="1">IFERROR(__xludf.DUMMYFUNCTION("GOOGLETRANSLATE(B1991,""en"",""fr"")"),"paysage")</f>
        <v>paysage</v>
      </c>
      <c r="F1991" s="2" t="str">
        <f ca="1">IFERROR(__xludf.DUMMYFUNCTION("GOOGLETRANSLATE(B1991,""en"",""it"")"),"paesaggio")</f>
        <v>paesaggio</v>
      </c>
      <c r="G1991" s="2" t="str">
        <f ca="1">IFERROR(__xludf.DUMMYFUNCTION("GOOGLETRANSLATE(B1991,""en"",""de"")"),"Landschaft")</f>
        <v>Landschaft</v>
      </c>
      <c r="H1991" s="2" t="str">
        <f ca="1">IFERROR(__xludf.DUMMYFUNCTION("GOOGLETRANSLATE(B1991,""en"",""zh"")"),"景观")</f>
        <v>景观</v>
      </c>
      <c r="I1991" s="2" t="str">
        <f ca="1">IFERROR(__xludf.DUMMYFUNCTION("GOOGLETRANSLATE(B1991,""en"",""gd"")"),"Cruth-tìre")</f>
        <v>Cruth-tìre</v>
      </c>
    </row>
    <row r="1992" spans="1:9" ht="14.25" customHeight="1" x14ac:dyDescent="0.3">
      <c r="A1992" s="2">
        <v>1991</v>
      </c>
      <c r="B1992" s="3" t="s">
        <v>1999</v>
      </c>
      <c r="C1992" s="2" t="str">
        <f ca="1">IFERROR(__xludf.DUMMYFUNCTION("GOOGLETRANSLATE(B1992, ""en"",""es"")"),"educar")</f>
        <v>educar</v>
      </c>
      <c r="D1992" s="2" t="str">
        <f ca="1">IFERROR(__xludf.DUMMYFUNCTION("GOOGLETRANSLATE(B1992,""en"",""ig"")"),"imuta")</f>
        <v>imuta</v>
      </c>
      <c r="E1992" s="2" t="str">
        <f ca="1">IFERROR(__xludf.DUMMYFUNCTION("GOOGLETRANSLATE(B1992,""en"",""fr"")"),"éduquer")</f>
        <v>éduquer</v>
      </c>
      <c r="F1992" s="2" t="str">
        <f ca="1">IFERROR(__xludf.DUMMYFUNCTION("GOOGLETRANSLATE(B1992,""en"",""it"")"),"educare")</f>
        <v>educare</v>
      </c>
      <c r="G1992" s="2" t="str">
        <f ca="1">IFERROR(__xludf.DUMMYFUNCTION("GOOGLETRANSLATE(B1992,""en"",""de"")"),"erziehen")</f>
        <v>erziehen</v>
      </c>
      <c r="H1992" s="2" t="str">
        <f ca="1">IFERROR(__xludf.DUMMYFUNCTION("GOOGLETRANSLATE(B1992,""en"",""zh"")"),"教育")</f>
        <v>教育</v>
      </c>
      <c r="I1992" s="2" t="str">
        <f ca="1">IFERROR(__xludf.DUMMYFUNCTION("GOOGLETRANSLATE(B1992,""en"",""gd"")"),"oideachadh")</f>
        <v>oideachadh</v>
      </c>
    </row>
    <row r="1993" spans="1:9" ht="14.25" customHeight="1" x14ac:dyDescent="0.3">
      <c r="A1993" s="2">
        <v>1992</v>
      </c>
      <c r="B1993" s="3" t="s">
        <v>2000</v>
      </c>
      <c r="C1993" s="2" t="str">
        <f ca="1">IFERROR(__xludf.DUMMYFUNCTION("GOOGLETRANSLATE(B1993, ""en"",""es"")"),"juguete")</f>
        <v>juguete</v>
      </c>
      <c r="D1993" s="2" t="str">
        <f ca="1">IFERROR(__xludf.DUMMYFUNCTION("GOOGLETRANSLATE(B1993,""en"",""ig"")"),"toyi")</f>
        <v>toyi</v>
      </c>
      <c r="E1993" s="2" t="str">
        <f ca="1">IFERROR(__xludf.DUMMYFUNCTION("GOOGLETRANSLATE(B1993,""en"",""fr"")"),"jouet")</f>
        <v>jouet</v>
      </c>
      <c r="F1993" s="2" t="str">
        <f ca="1">IFERROR(__xludf.DUMMYFUNCTION("GOOGLETRANSLATE(B1993,""en"",""it"")"),"giocattolo")</f>
        <v>giocattolo</v>
      </c>
      <c r="G1993" s="2" t="str">
        <f ca="1">IFERROR(__xludf.DUMMYFUNCTION("GOOGLETRANSLATE(B1993,""en"",""de"")"),"Spielzeug")</f>
        <v>Spielzeug</v>
      </c>
      <c r="H1993" s="2" t="str">
        <f ca="1">IFERROR(__xludf.DUMMYFUNCTION("GOOGLETRANSLATE(B1993,""en"",""zh"")"),"玩具")</f>
        <v>玩具</v>
      </c>
      <c r="I1993" s="2" t="str">
        <f ca="1">IFERROR(__xludf.DUMMYFUNCTION("GOOGLETRANSLATE(B1993,""en"",""gd"")"),"Dèideag")</f>
        <v>Dèideag</v>
      </c>
    </row>
    <row r="1994" spans="1:9" ht="14.25" customHeight="1" x14ac:dyDescent="0.3">
      <c r="A1994" s="2">
        <v>1993</v>
      </c>
      <c r="B1994" s="3" t="s">
        <v>2001</v>
      </c>
      <c r="C1994" s="2" t="str">
        <f ca="1">IFERROR(__xludf.DUMMYFUNCTION("GOOGLETRANSLATE(B1994, ""en"",""es"")"),"falla")</f>
        <v>falla</v>
      </c>
      <c r="D1994" s="2" t="str">
        <f ca="1">IFERROR(__xludf.DUMMYFUNCTION("GOOGLETRANSLATE(B1994,""en"",""ig"")"),"nsogbu")</f>
        <v>nsogbu</v>
      </c>
      <c r="E1994" s="2" t="str">
        <f ca="1">IFERROR(__xludf.DUMMYFUNCTION("GOOGLETRANSLATE(B1994,""en"",""fr"")"),"faute")</f>
        <v>faute</v>
      </c>
      <c r="F1994" s="2" t="str">
        <f ca="1">IFERROR(__xludf.DUMMYFUNCTION("GOOGLETRANSLATE(B1994,""en"",""it"")"),"colpa")</f>
        <v>colpa</v>
      </c>
      <c r="G1994" s="2" t="str">
        <f ca="1">IFERROR(__xludf.DUMMYFUNCTION("GOOGLETRANSLATE(B1994,""en"",""de"")"),"Fehler")</f>
        <v>Fehler</v>
      </c>
      <c r="H1994" s="2" t="str">
        <f ca="1">IFERROR(__xludf.DUMMYFUNCTION("GOOGLETRANSLATE(B1994,""en"",""zh"")"),"过错")</f>
        <v>过错</v>
      </c>
      <c r="I1994" s="2" t="str">
        <f ca="1">IFERROR(__xludf.DUMMYFUNCTION("GOOGLETRANSLATE(B1994,""en"",""gd"")"),"Sgàineadh")</f>
        <v>Sgàineadh</v>
      </c>
    </row>
    <row r="1995" spans="1:9" ht="14.25" customHeight="1" x14ac:dyDescent="0.3">
      <c r="A1995" s="2">
        <v>1994</v>
      </c>
      <c r="B1995" s="3" t="s">
        <v>2002</v>
      </c>
      <c r="C1995" s="2" t="str">
        <f ca="1">IFERROR(__xludf.DUMMYFUNCTION("GOOGLETRANSLATE(B1995, ""en"",""es"")"),"anexo")</f>
        <v>anexo</v>
      </c>
      <c r="D1995" s="2" t="str">
        <f ca="1">IFERROR(__xludf.DUMMYFUNCTION("GOOGLETRANSLATE(B1995,""en"",""ig"")"),"izuputa")</f>
        <v>izuputa</v>
      </c>
      <c r="E1995" s="2" t="str">
        <f ca="1">IFERROR(__xludf.DUMMYFUNCTION("GOOGLETRANSLATE(B1995,""en"",""fr"")"),"exposition")</f>
        <v>exposition</v>
      </c>
      <c r="F1995" s="2" t="str">
        <f ca="1">IFERROR(__xludf.DUMMYFUNCTION("GOOGLETRANSLATE(B1995,""en"",""it"")"),"mostra")</f>
        <v>mostra</v>
      </c>
      <c r="G1995" s="2" t="str">
        <f ca="1">IFERROR(__xludf.DUMMYFUNCTION("GOOGLETRANSLATE(B1995,""en"",""de"")"),"Ausstellungsstück")</f>
        <v>Ausstellungsstück</v>
      </c>
      <c r="H1995" s="2" t="str">
        <f ca="1">IFERROR(__xludf.DUMMYFUNCTION("GOOGLETRANSLATE(B1995,""en"",""zh"")"),"展示")</f>
        <v>展示</v>
      </c>
      <c r="I1995" s="2" t="str">
        <f ca="1">IFERROR(__xludf.DUMMYFUNCTION("GOOGLETRANSLATE(B1995,""en"",""gd"")"),"Taisbeanadh")</f>
        <v>Taisbeanadh</v>
      </c>
    </row>
    <row r="1996" spans="1:9" ht="14.25" customHeight="1" x14ac:dyDescent="0.3">
      <c r="A1996" s="2">
        <v>1995</v>
      </c>
      <c r="B1996" s="3" t="s">
        <v>2003</v>
      </c>
      <c r="C1996" s="2" t="str">
        <f ca="1">IFERROR(__xludf.DUMMYFUNCTION("GOOGLETRANSLATE(B1996, ""en"",""es"")"),"menor")</f>
        <v>menor</v>
      </c>
      <c r="D1996" s="2" t="str">
        <f ca="1">IFERROR(__xludf.DUMMYFUNCTION("GOOGLETRANSLATE(B1996,""en"",""ig"")"),"obere")</f>
        <v>obere</v>
      </c>
      <c r="E1996" s="2" t="str">
        <f ca="1">IFERROR(__xludf.DUMMYFUNCTION("GOOGLETRANSLATE(B1996,""en"",""fr"")"),"mineure")</f>
        <v>mineure</v>
      </c>
      <c r="F1996" s="2" t="str">
        <f ca="1">IFERROR(__xludf.DUMMYFUNCTION("GOOGLETRANSLATE(B1996,""en"",""it"")"),"minore")</f>
        <v>minore</v>
      </c>
      <c r="G1996" s="2" t="str">
        <f ca="1">IFERROR(__xludf.DUMMYFUNCTION("GOOGLETRANSLATE(B1996,""en"",""de"")"),"unerheblich")</f>
        <v>unerheblich</v>
      </c>
      <c r="H1996" s="2" t="str">
        <f ca="1">IFERROR(__xludf.DUMMYFUNCTION("GOOGLETRANSLATE(B1996,""en"",""zh"")"),"次要的")</f>
        <v>次要的</v>
      </c>
      <c r="I1996" s="2" t="str">
        <f ca="1">IFERROR(__xludf.DUMMYFUNCTION("GOOGLETRANSLATE(B1996,""en"",""gd"")"),"mion")</f>
        <v>mion</v>
      </c>
    </row>
    <row r="1997" spans="1:9" ht="14.25" customHeight="1" x14ac:dyDescent="0.3">
      <c r="A1997" s="2">
        <v>1996</v>
      </c>
      <c r="B1997" s="3" t="s">
        <v>2004</v>
      </c>
      <c r="C1997" s="2" t="str">
        <f ca="1">IFERROR(__xludf.DUMMYFUNCTION("GOOGLETRANSLATE(B1997, ""en"",""es"")"),"caza")</f>
        <v>caza</v>
      </c>
      <c r="D1997" s="2" t="str">
        <f ca="1">IFERROR(__xludf.DUMMYFUNCTION("GOOGLETRANSLATE(B1997,""en"",""ig"")"),"ichu nta")</f>
        <v>ichu nta</v>
      </c>
      <c r="E1997" s="2" t="str">
        <f ca="1">IFERROR(__xludf.DUMMYFUNCTION("GOOGLETRANSLATE(B1997,""en"",""fr"")"),"chasse")</f>
        <v>chasse</v>
      </c>
      <c r="F1997" s="2" t="str">
        <f ca="1">IFERROR(__xludf.DUMMYFUNCTION("GOOGLETRANSLATE(B1997,""en"",""it"")"),"caccia")</f>
        <v>caccia</v>
      </c>
      <c r="G1997" s="2" t="str">
        <f ca="1">IFERROR(__xludf.DUMMYFUNCTION("GOOGLETRANSLATE(B1997,""en"",""de"")"),"Jagd")</f>
        <v>Jagd</v>
      </c>
      <c r="H1997" s="2" t="str">
        <f ca="1">IFERROR(__xludf.DUMMYFUNCTION("GOOGLETRANSLATE(B1997,""en"",""zh"")"),"打猎")</f>
        <v>打猎</v>
      </c>
      <c r="I1997" s="2" t="str">
        <f ca="1">IFERROR(__xludf.DUMMYFUNCTION("GOOGLETRANSLATE(B1997,""en"",""gd"")"),"sealg")</f>
        <v>sealg</v>
      </c>
    </row>
    <row r="1998" spans="1:9" ht="14.25" customHeight="1" x14ac:dyDescent="0.3">
      <c r="A1998" s="2">
        <v>1997</v>
      </c>
      <c r="B1998" s="3" t="s">
        <v>2005</v>
      </c>
      <c r="C1998" s="2" t="str">
        <f ca="1">IFERROR(__xludf.DUMMYFUNCTION("GOOGLETRANSLATE(B1998, ""en"",""es"")"),"tormenta")</f>
        <v>tormenta</v>
      </c>
      <c r="D1998" s="2" t="str">
        <f ca="1">IFERROR(__xludf.DUMMYFUNCTION("GOOGLETRANSLATE(B1998,""en"",""ig"")"),"ebilimmiri")</f>
        <v>ebilimmiri</v>
      </c>
      <c r="E1998" s="2" t="str">
        <f ca="1">IFERROR(__xludf.DUMMYFUNCTION("GOOGLETRANSLATE(B1998,""en"",""fr"")"),"tempête")</f>
        <v>tempête</v>
      </c>
      <c r="F1998" s="2" t="str">
        <f ca="1">IFERROR(__xludf.DUMMYFUNCTION("GOOGLETRANSLATE(B1998,""en"",""it"")"),"tempesta")</f>
        <v>tempesta</v>
      </c>
      <c r="G1998" s="2" t="str">
        <f ca="1">IFERROR(__xludf.DUMMYFUNCTION("GOOGLETRANSLATE(B1998,""en"",""de"")"),"Sturm")</f>
        <v>Sturm</v>
      </c>
      <c r="H1998" s="2" t="str">
        <f ca="1">IFERROR(__xludf.DUMMYFUNCTION("GOOGLETRANSLATE(B1998,""en"",""zh"")"),"风暴")</f>
        <v>风暴</v>
      </c>
      <c r="I1998" s="2" t="str">
        <f ca="1">IFERROR(__xludf.DUMMYFUNCTION("GOOGLETRANSLATE(B1998,""en"",""gd"")"),"stoirm")</f>
        <v>stoirm</v>
      </c>
    </row>
    <row r="1999" spans="1:9" ht="14.25" customHeight="1" x14ac:dyDescent="0.3">
      <c r="A1999" s="2">
        <v>1998</v>
      </c>
      <c r="B1999" s="3" t="s">
        <v>2006</v>
      </c>
      <c r="C1999" s="2" t="str">
        <f ca="1">IFERROR(__xludf.DUMMYFUNCTION("GOOGLETRANSLATE(B1999, ""en"",""es"")"),"grueso")</f>
        <v>grueso</v>
      </c>
      <c r="D1999" s="2" t="str">
        <f ca="1">IFERROR(__xludf.DUMMYFUNCTION("GOOGLETRANSLATE(B1999,""en"",""ig"")"),"keakwuliko")</f>
        <v>keakwuliko</v>
      </c>
      <c r="E1999" s="2" t="str">
        <f ca="1">IFERROR(__xludf.DUMMYFUNCTION("GOOGLETRANSLATE(B1999,""en"",""fr"")"),"épais")</f>
        <v>épais</v>
      </c>
      <c r="F1999" s="2" t="str">
        <f ca="1">IFERROR(__xludf.DUMMYFUNCTION("GOOGLETRANSLATE(B1999,""en"",""it"")"),"spesso")</f>
        <v>spesso</v>
      </c>
      <c r="G1999" s="2" t="str">
        <f ca="1">IFERROR(__xludf.DUMMYFUNCTION("GOOGLETRANSLATE(B1999,""en"",""de"")"),"dick")</f>
        <v>dick</v>
      </c>
      <c r="H1999" s="2" t="str">
        <f ca="1">IFERROR(__xludf.DUMMYFUNCTION("GOOGLETRANSLATE(B1999,""en"",""zh"")"),"厚的")</f>
        <v>厚的</v>
      </c>
      <c r="I1999" s="2" t="str">
        <f ca="1">IFERROR(__xludf.DUMMYFUNCTION("GOOGLETRANSLATE(B1999,""en"",""gd"")"),"tiugh")</f>
        <v>tiugh</v>
      </c>
    </row>
    <row r="2000" spans="1:9" ht="14.25" customHeight="1" x14ac:dyDescent="0.3">
      <c r="A2000" s="2">
        <v>1999</v>
      </c>
      <c r="B2000" s="3" t="s">
        <v>2007</v>
      </c>
      <c r="C2000" s="2" t="str">
        <f ca="1">IFERROR(__xludf.DUMMYFUNCTION("GOOGLETRANSLATE(B2000, ""en"",""es"")"),"logro")</f>
        <v>logro</v>
      </c>
      <c r="D2000" s="2" t="str">
        <f ca="1">IFERROR(__xludf.DUMMYFUNCTION("GOOGLETRANSLATE(B2000,""en"",""ig"")"),"mmeta")</f>
        <v>mmeta</v>
      </c>
      <c r="E2000" s="2" t="str">
        <f ca="1">IFERROR(__xludf.DUMMYFUNCTION("GOOGLETRANSLATE(B2000,""en"",""fr"")"),"réalisation")</f>
        <v>réalisation</v>
      </c>
      <c r="F2000" s="2" t="str">
        <f ca="1">IFERROR(__xludf.DUMMYFUNCTION("GOOGLETRANSLATE(B2000,""en"",""it"")"),"risultato")</f>
        <v>risultato</v>
      </c>
      <c r="G2000" s="2" t="str">
        <f ca="1">IFERROR(__xludf.DUMMYFUNCTION("GOOGLETRANSLATE(B2000,""en"",""de"")"),"Leistung")</f>
        <v>Leistung</v>
      </c>
      <c r="H2000" s="2" t="str">
        <f ca="1">IFERROR(__xludf.DUMMYFUNCTION("GOOGLETRANSLATE(B2000,""en"",""zh"")"),"成就")</f>
        <v>成就</v>
      </c>
      <c r="I2000" s="2" t="str">
        <f ca="1">IFERROR(__xludf.DUMMYFUNCTION("GOOGLETRANSLATE(B2000,""en"",""gd"")"),"Coileanadh")</f>
        <v>Coileanadh</v>
      </c>
    </row>
    <row r="2001" spans="1:9" ht="14.25" customHeight="1" x14ac:dyDescent="0.3">
      <c r="A2001" s="2">
        <v>2000</v>
      </c>
      <c r="B2001" s="3" t="s">
        <v>2008</v>
      </c>
      <c r="C2001" s="2" t="str">
        <f ca="1">IFERROR(__xludf.DUMMYFUNCTION("GOOGLETRANSLATE(B2001, ""en"",""es"")"),"negociar")</f>
        <v>negociar</v>
      </c>
      <c r="D2001" s="2" t="str">
        <f ca="1">IFERROR(__xludf.DUMMYFUNCTION("GOOGLETRANSLATE(B2001,""en"",""ig"")"),"kpakorita")</f>
        <v>kpakorita</v>
      </c>
      <c r="E2001" s="2" t="str">
        <f ca="1">IFERROR(__xludf.DUMMYFUNCTION("GOOGLETRANSLATE(B2001,""en"",""fr"")"),"négocier")</f>
        <v>négocier</v>
      </c>
      <c r="F2001" s="2" t="str">
        <f ca="1">IFERROR(__xludf.DUMMYFUNCTION("GOOGLETRANSLATE(B2001,""en"",""it"")"),"negoziare")</f>
        <v>negoziare</v>
      </c>
      <c r="G2001" s="2" t="str">
        <f ca="1">IFERROR(__xludf.DUMMYFUNCTION("GOOGLETRANSLATE(B2001,""en"",""de"")"),"verhandeln")</f>
        <v>verhandeln</v>
      </c>
      <c r="H2001" s="2" t="str">
        <f ca="1">IFERROR(__xludf.DUMMYFUNCTION("GOOGLETRANSLATE(B2001,""en"",""zh"")"),"谈判")</f>
        <v>谈判</v>
      </c>
      <c r="I2001" s="2" t="str">
        <f ca="1">IFERROR(__xludf.DUMMYFUNCTION("GOOGLETRANSLATE(B2001,""en"",""gd"")"),"barganachadh")</f>
        <v>barganachadh</v>
      </c>
    </row>
    <row r="2002" spans="1:9" ht="14.25" customHeight="1" x14ac:dyDescent="0.3">
      <c r="A2002" s="2">
        <v>2001</v>
      </c>
      <c r="B2002" s="3" t="s">
        <v>2009</v>
      </c>
      <c r="C2002" s="2" t="str">
        <f ca="1">IFERROR(__xludf.DUMMYFUNCTION("GOOGLETRANSLATE(B2002, ""en"",""es"")"),"dominar")</f>
        <v>dominar</v>
      </c>
      <c r="D2002" s="2" t="str">
        <f ca="1">IFERROR(__xludf.DUMMYFUNCTION("GOOGLETRANSLATE(B2002,""en"",""ig"")"),"ikpakoro")</f>
        <v>ikpakoro</v>
      </c>
      <c r="E2002" s="2" t="str">
        <f ca="1">IFERROR(__xludf.DUMMYFUNCTION("GOOGLETRANSLATE(B2002,""en"",""fr"")"),"dominer")</f>
        <v>dominer</v>
      </c>
      <c r="F2002" s="2" t="str">
        <f ca="1">IFERROR(__xludf.DUMMYFUNCTION("GOOGLETRANSLATE(B2002,""en"",""it"")"),"dominare")</f>
        <v>dominare</v>
      </c>
      <c r="G2002" s="2" t="str">
        <f ca="1">IFERROR(__xludf.DUMMYFUNCTION("GOOGLETRANSLATE(B2002,""en"",""de"")"),"dominieren")</f>
        <v>dominieren</v>
      </c>
      <c r="H2002" s="2" t="str">
        <f ca="1">IFERROR(__xludf.DUMMYFUNCTION("GOOGLETRANSLATE(B2002,""en"",""zh"")"),"支配")</f>
        <v>支配</v>
      </c>
      <c r="I2002" s="2" t="str">
        <f ca="1">IFERROR(__xludf.DUMMYFUNCTION("GOOGLETRANSLATE(B2002,""en"",""gd"")"),"smachd")</f>
        <v>smachd</v>
      </c>
    </row>
    <row r="2003" spans="1:9" ht="14.25" customHeight="1" x14ac:dyDescent="0.3">
      <c r="A2003" s="2">
        <v>2002</v>
      </c>
      <c r="B2003" s="3" t="s">
        <v>2010</v>
      </c>
      <c r="C2003" s="2" t="str">
        <f ca="1">IFERROR(__xludf.DUMMYFUNCTION("GOOGLETRANSLATE(B2003, ""en"",""es"")"),"proveedor")</f>
        <v>proveedor</v>
      </c>
      <c r="D2003" s="2" t="str">
        <f ca="1">IFERROR(__xludf.DUMMYFUNCTION("GOOGLETRANSLATE(B2003,""en"",""ig"")"),"obunyeiheahia")</f>
        <v>obunyeiheahia</v>
      </c>
      <c r="E2003" s="2" t="str">
        <f ca="1">IFERROR(__xludf.DUMMYFUNCTION("GOOGLETRANSLATE(B2003,""en"",""fr"")"),"fournisseur")</f>
        <v>fournisseur</v>
      </c>
      <c r="F2003" s="2" t="str">
        <f ca="1">IFERROR(__xludf.DUMMYFUNCTION("GOOGLETRANSLATE(B2003,""en"",""it"")"),"fornitore")</f>
        <v>fornitore</v>
      </c>
      <c r="G2003" s="2" t="str">
        <f ca="1">IFERROR(__xludf.DUMMYFUNCTION("GOOGLETRANSLATE(B2003,""en"",""de"")"),"Anbieter")</f>
        <v>Anbieter</v>
      </c>
      <c r="H2003" s="2" t="str">
        <f ca="1">IFERROR(__xludf.DUMMYFUNCTION("GOOGLETRANSLATE(B2003,""en"",""zh"")"),"供应商")</f>
        <v>供应商</v>
      </c>
      <c r="I2003" s="2" t="str">
        <f ca="1">IFERROR(__xludf.DUMMYFUNCTION("GOOGLETRANSLATE(B2003,""en"",""gd"")"),"Solaraiche")</f>
        <v>Solaraiche</v>
      </c>
    </row>
    <row r="2004" spans="1:9" ht="14.25" customHeight="1" x14ac:dyDescent="0.3">
      <c r="A2004" s="2">
        <v>2003</v>
      </c>
      <c r="B2004" s="3" t="s">
        <v>2011</v>
      </c>
      <c r="C2004" s="2" t="str">
        <f ca="1">IFERROR(__xludf.DUMMYFUNCTION("GOOGLETRANSLATE(B2004, ""en"",""es"")"),"premio")</f>
        <v>premio</v>
      </c>
      <c r="D2004" s="2" t="str">
        <f ca="1">IFERROR(__xludf.DUMMYFUNCTION("GOOGLETRANSLATE(B2004,""en"",""ig"")"),"onyinye nke onye gbara mbo")</f>
        <v>onyinye nke onye gbara mbo</v>
      </c>
      <c r="E2004" s="2" t="str">
        <f ca="1">IFERROR(__xludf.DUMMYFUNCTION("GOOGLETRANSLATE(B2004,""en"",""fr"")"),"prix")</f>
        <v>prix</v>
      </c>
      <c r="F2004" s="2" t="str">
        <f ca="1">IFERROR(__xludf.DUMMYFUNCTION("GOOGLETRANSLATE(B2004,""en"",""it"")"),"premio")</f>
        <v>premio</v>
      </c>
      <c r="G2004" s="2" t="str">
        <f ca="1">IFERROR(__xludf.DUMMYFUNCTION("GOOGLETRANSLATE(B2004,""en"",""de"")"),"Preis")</f>
        <v>Preis</v>
      </c>
      <c r="H2004" s="2" t="str">
        <f ca="1">IFERROR(__xludf.DUMMYFUNCTION("GOOGLETRANSLATE(B2004,""en"",""zh"")"),"奖")</f>
        <v>奖</v>
      </c>
      <c r="I2004" s="2" t="str">
        <f ca="1">IFERROR(__xludf.DUMMYFUNCTION("GOOGLETRANSLATE(B2004,""en"",""gd"")"),"Duais")</f>
        <v>Duais</v>
      </c>
    </row>
    <row r="2005" spans="1:9" ht="14.25" customHeight="1" x14ac:dyDescent="0.3">
      <c r="A2005" s="2">
        <v>2004</v>
      </c>
      <c r="B2005" s="3" t="s">
        <v>2012</v>
      </c>
      <c r="C2005" s="2" t="str">
        <f ca="1">IFERROR(__xludf.DUMMYFUNCTION("GOOGLETRANSLATE(B2005, ""en"",""es"")"),"típicamente")</f>
        <v>típicamente</v>
      </c>
      <c r="D2005" s="2" t="str">
        <f ca="1">IFERROR(__xludf.DUMMYFUNCTION("GOOGLETRANSLATE(B2005,""en"",""ig"")"),"otutu")</f>
        <v>otutu</v>
      </c>
      <c r="E2005" s="2" t="str">
        <f ca="1">IFERROR(__xludf.DUMMYFUNCTION("GOOGLETRANSLATE(B2005,""en"",""fr"")"),"typiquement")</f>
        <v>typiquement</v>
      </c>
      <c r="F2005" s="2" t="str">
        <f ca="1">IFERROR(__xludf.DUMMYFUNCTION("GOOGLETRANSLATE(B2005,""en"",""it"")"),"tipicamente")</f>
        <v>tipicamente</v>
      </c>
      <c r="G2005" s="2" t="str">
        <f ca="1">IFERROR(__xludf.DUMMYFUNCTION("GOOGLETRANSLATE(B2005,""en"",""de"")"),"Typischerweise")</f>
        <v>Typischerweise</v>
      </c>
      <c r="H2005" s="2" t="str">
        <f ca="1">IFERROR(__xludf.DUMMYFUNCTION("GOOGLETRANSLATE(B2005,""en"",""zh"")"),"通常")</f>
        <v>通常</v>
      </c>
      <c r="I2005" s="2" t="str">
        <f ca="1">IFERROR(__xludf.DUMMYFUNCTION("GOOGLETRANSLATE(B2005,""en"",""gd"")"),"mar as trice")</f>
        <v>mar as trice</v>
      </c>
    </row>
    <row r="2006" spans="1:9" ht="14.25" customHeight="1" x14ac:dyDescent="0.3">
      <c r="A2006" s="2">
        <v>2005</v>
      </c>
      <c r="B2006" s="3" t="s">
        <v>2013</v>
      </c>
      <c r="C2006" s="2" t="str">
        <f ca="1">IFERROR(__xludf.DUMMYFUNCTION("GOOGLETRANSLATE(B2006, ""en"",""es"")"),"par")</f>
        <v>par</v>
      </c>
      <c r="D2006" s="2" t="str">
        <f ca="1">IFERROR(__xludf.DUMMYFUNCTION("GOOGLETRANSLATE(B2006,""en"",""ig"")"),"pear")</f>
        <v>pear</v>
      </c>
      <c r="E2006" s="2" t="str">
        <f ca="1">IFERROR(__xludf.DUMMYFUNCTION("GOOGLETRANSLATE(B2006,""en"",""fr"")"),"pair")</f>
        <v>pair</v>
      </c>
      <c r="F2006" s="2" t="str">
        <f ca="1">IFERROR(__xludf.DUMMYFUNCTION("GOOGLETRANSLATE(B2006,""en"",""it"")"),"pari")</f>
        <v>pari</v>
      </c>
      <c r="G2006" s="2" t="str">
        <f ca="1">IFERROR(__xludf.DUMMYFUNCTION("GOOGLETRANSLATE(B2006,""en"",""de"")"),"Peer")</f>
        <v>Peer</v>
      </c>
      <c r="H2006" s="2" t="str">
        <f ca="1">IFERROR(__xludf.DUMMYFUNCTION("GOOGLETRANSLATE(B2006,""en"",""zh"")"),"同行")</f>
        <v>同行</v>
      </c>
      <c r="I2006" s="2" t="str">
        <f ca="1">IFERROR(__xludf.DUMMYFUNCTION("GOOGLETRANSLATE(B2006,""en"",""gd"")"),"co-aoisean")</f>
        <v>co-aoisean</v>
      </c>
    </row>
    <row r="2007" spans="1:9" ht="14.25" customHeight="1" x14ac:dyDescent="0.3">
      <c r="A2007" s="2">
        <v>2006</v>
      </c>
      <c r="B2007" s="3" t="s">
        <v>2014</v>
      </c>
      <c r="C2007" s="2" t="str">
        <f ca="1">IFERROR(__xludf.DUMMYFUNCTION("GOOGLETRANSLATE(B2007, ""en"",""es"")"),"pensión")</f>
        <v>pensión</v>
      </c>
      <c r="D2007" s="2" t="str">
        <f ca="1">IFERROR(__xludf.DUMMYFUNCTION("GOOGLETRANSLATE(B2007,""en"",""ig"")"),"penshion")</f>
        <v>penshion</v>
      </c>
      <c r="E2007" s="2" t="str">
        <f ca="1">IFERROR(__xludf.DUMMYFUNCTION("GOOGLETRANSLATE(B2007,""en"",""fr"")"),"Pension")</f>
        <v>Pension</v>
      </c>
      <c r="F2007" s="2" t="str">
        <f ca="1">IFERROR(__xludf.DUMMYFUNCTION("GOOGLETRANSLATE(B2007,""en"",""it"")"),"pensione")</f>
        <v>pensione</v>
      </c>
      <c r="G2007" s="2" t="str">
        <f ca="1">IFERROR(__xludf.DUMMYFUNCTION("GOOGLETRANSLATE(B2007,""en"",""de"")"),"die Pension")</f>
        <v>die Pension</v>
      </c>
      <c r="H2007" s="2" t="str">
        <f ca="1">IFERROR(__xludf.DUMMYFUNCTION("GOOGLETRANSLATE(B2007,""en"",""zh"")"),"养老金")</f>
        <v>养老金</v>
      </c>
      <c r="I2007" s="2" t="str">
        <f ca="1">IFERROR(__xludf.DUMMYFUNCTION("GOOGLETRANSLATE(B2007,""en"",""gd"")"),"peinnsean")</f>
        <v>peinnsean</v>
      </c>
    </row>
    <row r="2008" spans="1:9" ht="14.25" customHeight="1" x14ac:dyDescent="0.3">
      <c r="A2008" s="2">
        <v>2007</v>
      </c>
      <c r="B2008" s="3" t="s">
        <v>2015</v>
      </c>
      <c r="C2008" s="2" t="str">
        <f ca="1">IFERROR(__xludf.DUMMYFUNCTION("GOOGLETRANSLATE(B2008, ""en"",""es"")"),"ala")</f>
        <v>ala</v>
      </c>
      <c r="D2008" s="2" t="str">
        <f ca="1">IFERROR(__xludf.DUMMYFUNCTION("GOOGLETRANSLATE(B2008,""en"",""ig"")"),"nkunnunu")</f>
        <v>nkunnunu</v>
      </c>
      <c r="E2008" s="2" t="str">
        <f ca="1">IFERROR(__xludf.DUMMYFUNCTION("GOOGLETRANSLATE(B2008,""en"",""fr"")"),"aile")</f>
        <v>aile</v>
      </c>
      <c r="F2008" s="2" t="str">
        <f ca="1">IFERROR(__xludf.DUMMYFUNCTION("GOOGLETRANSLATE(B2008,""en"",""it"")"),"ala")</f>
        <v>ala</v>
      </c>
      <c r="G2008" s="2" t="str">
        <f ca="1">IFERROR(__xludf.DUMMYFUNCTION("GOOGLETRANSLATE(B2008,""en"",""de"")"),"Flügel")</f>
        <v>Flügel</v>
      </c>
      <c r="H2008" s="2" t="str">
        <f ca="1">IFERROR(__xludf.DUMMYFUNCTION("GOOGLETRANSLATE(B2008,""en"",""zh"")"),"翅膀")</f>
        <v>翅膀</v>
      </c>
      <c r="I2008" s="2" t="str">
        <f ca="1">IFERROR(__xludf.DUMMYFUNCTION("GOOGLETRANSLATE(B2008,""en"",""gd"")"),"sgiath")</f>
        <v>sgiath</v>
      </c>
    </row>
    <row r="2009" spans="1:9" ht="14.25" customHeight="1" x14ac:dyDescent="0.3">
      <c r="A2009" s="2">
        <v>2008</v>
      </c>
      <c r="B2009" s="3" t="s">
        <v>2016</v>
      </c>
      <c r="C2009" s="2" t="str">
        <f ca="1">IFERROR(__xludf.DUMMYFUNCTION("GOOGLETRANSLATE(B2009, ""en"",""es"")"),"adquisición")</f>
        <v>adquisición</v>
      </c>
      <c r="D2009" s="2" t="str">
        <f ca="1">IFERROR(__xludf.DUMMYFUNCTION("GOOGLETRANSLATE(B2009,""en"",""ig"")"),"mnete")</f>
        <v>mnete</v>
      </c>
      <c r="E2009" s="2" t="str">
        <f ca="1">IFERROR(__xludf.DUMMYFUNCTION("GOOGLETRANSLATE(B2009,""en"",""fr"")"),"acquisition")</f>
        <v>acquisition</v>
      </c>
      <c r="F2009" s="2" t="str">
        <f ca="1">IFERROR(__xludf.DUMMYFUNCTION("GOOGLETRANSLATE(B2009,""en"",""it"")"),"acquisizione")</f>
        <v>acquisizione</v>
      </c>
      <c r="G2009" s="2" t="str">
        <f ca="1">IFERROR(__xludf.DUMMYFUNCTION("GOOGLETRANSLATE(B2009,""en"",""de"")"),"Erwerb")</f>
        <v>Erwerb</v>
      </c>
      <c r="H2009" s="2" t="str">
        <f ca="1">IFERROR(__xludf.DUMMYFUNCTION("GOOGLETRANSLATE(B2009,""en"",""zh"")"),"获得")</f>
        <v>获得</v>
      </c>
      <c r="I2009" s="2" t="str">
        <f ca="1">IFERROR(__xludf.DUMMYFUNCTION("GOOGLETRANSLATE(B2009,""en"",""gd"")"),"Togail")</f>
        <v>Togail</v>
      </c>
    </row>
    <row r="2010" spans="1:9" ht="14.25" customHeight="1" x14ac:dyDescent="0.3">
      <c r="A2010" s="2">
        <v>2009</v>
      </c>
      <c r="B2010" s="3" t="s">
        <v>2017</v>
      </c>
      <c r="C2010" s="2" t="str">
        <f ca="1">IFERROR(__xludf.DUMMYFUNCTION("GOOGLETRANSLATE(B2010, ""en"",""es"")"),"risa")</f>
        <v>risa</v>
      </c>
      <c r="D2010" s="2" t="str">
        <f ca="1">IFERROR(__xludf.DUMMYFUNCTION("GOOGLETRANSLATE(B2010,""en"",""ig"")"),"ochi")</f>
        <v>ochi</v>
      </c>
      <c r="E2010" s="2" t="str">
        <f ca="1">IFERROR(__xludf.DUMMYFUNCTION("GOOGLETRANSLATE(B2010,""en"",""fr"")"),"rire")</f>
        <v>rire</v>
      </c>
      <c r="F2010" s="2" t="str">
        <f ca="1">IFERROR(__xludf.DUMMYFUNCTION("GOOGLETRANSLATE(B2010,""en"",""it"")"),"risata")</f>
        <v>risata</v>
      </c>
      <c r="G2010" s="2" t="str">
        <f ca="1">IFERROR(__xludf.DUMMYFUNCTION("GOOGLETRANSLATE(B2010,""en"",""de"")"),"Lachen")</f>
        <v>Lachen</v>
      </c>
      <c r="H2010" s="2" t="str">
        <f ca="1">IFERROR(__xludf.DUMMYFUNCTION("GOOGLETRANSLATE(B2010,""en"",""zh"")"),"笑声")</f>
        <v>笑声</v>
      </c>
      <c r="I2010" s="2" t="str">
        <f ca="1">IFERROR(__xludf.DUMMYFUNCTION("GOOGLETRANSLATE(B2010,""en"",""gd"")"),"Gàireachdainn")</f>
        <v>Gàireachdainn</v>
      </c>
    </row>
    <row r="2011" spans="1:9" ht="14.25" customHeight="1" x14ac:dyDescent="0.3">
      <c r="A2011" s="2">
        <v>2010</v>
      </c>
      <c r="B2011" s="3" t="s">
        <v>2018</v>
      </c>
      <c r="C2011" s="2" t="str">
        <f ca="1">IFERROR(__xludf.DUMMYFUNCTION("GOOGLETRANSLATE(B2011, ""en"",""es"")"),"profundamente")</f>
        <v>profundamente</v>
      </c>
      <c r="D2011" s="2" t="str">
        <f ca="1">IFERROR(__xludf.DUMMYFUNCTION("GOOGLETRANSLATE(B2011,""en"",""ig"")"),"miri")</f>
        <v>miri</v>
      </c>
      <c r="E2011" s="2" t="str">
        <f ca="1">IFERROR(__xludf.DUMMYFUNCTION("GOOGLETRANSLATE(B2011,""en"",""fr"")"),"profondément")</f>
        <v>profondément</v>
      </c>
      <c r="F2011" s="2" t="str">
        <f ca="1">IFERROR(__xludf.DUMMYFUNCTION("GOOGLETRANSLATE(B2011,""en"",""it"")"),"profondamente")</f>
        <v>profondamente</v>
      </c>
      <c r="G2011" s="2" t="str">
        <f ca="1">IFERROR(__xludf.DUMMYFUNCTION("GOOGLETRANSLATE(B2011,""en"",""de"")"),"tief")</f>
        <v>tief</v>
      </c>
      <c r="H2011" s="2" t="str">
        <f ca="1">IFERROR(__xludf.DUMMYFUNCTION("GOOGLETRANSLATE(B2011,""en"",""zh"")"),"深")</f>
        <v>深</v>
      </c>
      <c r="I2011" s="2" t="str">
        <f ca="1">IFERROR(__xludf.DUMMYFUNCTION("GOOGLETRANSLATE(B2011,""en"",""gd"")"),"gu domhainn")</f>
        <v>gu domhainn</v>
      </c>
    </row>
    <row r="2012" spans="1:9" ht="14.25" customHeight="1" x14ac:dyDescent="0.3">
      <c r="A2012" s="2">
        <v>2011</v>
      </c>
      <c r="B2012" s="3" t="s">
        <v>2019</v>
      </c>
      <c r="C2012" s="2" t="str">
        <f ca="1">IFERROR(__xludf.DUMMYFUNCTION("GOOGLETRANSLATE(B2012, ""en"",""es"")"),"reconocimiento")</f>
        <v>reconocimiento</v>
      </c>
      <c r="D2012" s="2" t="str">
        <f ca="1">IFERROR(__xludf.DUMMYFUNCTION("GOOGLETRANSLATE(B2012,""en"",""ig"")"),"ude")</f>
        <v>ude</v>
      </c>
      <c r="E2012" s="2" t="str">
        <f ca="1">IFERROR(__xludf.DUMMYFUNCTION("GOOGLETRANSLATE(B2012,""en"",""fr"")"),"reconnaissance")</f>
        <v>reconnaissance</v>
      </c>
      <c r="F2012" s="2" t="str">
        <f ca="1">IFERROR(__xludf.DUMMYFUNCTION("GOOGLETRANSLATE(B2012,""en"",""it"")"),"riconoscimento")</f>
        <v>riconoscimento</v>
      </c>
      <c r="G2012" s="2" t="str">
        <f ca="1">IFERROR(__xludf.DUMMYFUNCTION("GOOGLETRANSLATE(B2012,""en"",""de"")"),"Erkennung")</f>
        <v>Erkennung</v>
      </c>
      <c r="H2012" s="2" t="str">
        <f ca="1">IFERROR(__xludf.DUMMYFUNCTION("GOOGLETRANSLATE(B2012,""en"",""zh"")"),"认出")</f>
        <v>认出</v>
      </c>
      <c r="I2012" s="2" t="str">
        <f ca="1">IFERROR(__xludf.DUMMYFUNCTION("GOOGLETRANSLATE(B2012,""en"",""gd"")"),"Aithneachadh")</f>
        <v>Aithneachadh</v>
      </c>
    </row>
    <row r="2013" spans="1:9" ht="14.25" customHeight="1" x14ac:dyDescent="0.3">
      <c r="A2013" s="2">
        <v>2012</v>
      </c>
      <c r="B2013" s="3" t="s">
        <v>2020</v>
      </c>
      <c r="C2013" s="2" t="str">
        <f ca="1">IFERROR(__xludf.DUMMYFUNCTION("GOOGLETRANSLATE(B2013, ""en"",""es"")"),"electricidad")</f>
        <v>electricidad</v>
      </c>
      <c r="D2013" s="2" t="str">
        <f ca="1">IFERROR(__xludf.DUMMYFUNCTION("GOOGLETRANSLATE(B2013,""en"",""ig"")"),"eletirisiti")</f>
        <v>eletirisiti</v>
      </c>
      <c r="E2013" s="2" t="str">
        <f ca="1">IFERROR(__xludf.DUMMYFUNCTION("GOOGLETRANSLATE(B2013,""en"",""fr"")"),"électricité")</f>
        <v>électricité</v>
      </c>
      <c r="F2013" s="2" t="str">
        <f ca="1">IFERROR(__xludf.DUMMYFUNCTION("GOOGLETRANSLATE(B2013,""en"",""it"")"),"elettricità")</f>
        <v>elettricità</v>
      </c>
      <c r="G2013" s="2" t="str">
        <f ca="1">IFERROR(__xludf.DUMMYFUNCTION("GOOGLETRANSLATE(B2013,""en"",""de"")"),"Elektrizität")</f>
        <v>Elektrizität</v>
      </c>
      <c r="H2013" s="2" t="str">
        <f ca="1">IFERROR(__xludf.DUMMYFUNCTION("GOOGLETRANSLATE(B2013,""en"",""zh"")"),"电")</f>
        <v>电</v>
      </c>
      <c r="I2013" s="2" t="str">
        <f ca="1">IFERROR(__xludf.DUMMYFUNCTION("GOOGLETRANSLATE(B2013,""en"",""gd"")"),"dealan")</f>
        <v>dealan</v>
      </c>
    </row>
    <row r="2014" spans="1:9" ht="14.25" customHeight="1" x14ac:dyDescent="0.3">
      <c r="A2014" s="2">
        <v>2013</v>
      </c>
      <c r="B2014" s="3" t="s">
        <v>2021</v>
      </c>
      <c r="C2014" s="2" t="str">
        <f ca="1">IFERROR(__xludf.DUMMYFUNCTION("GOOGLETRANSLATE(B2014, ""en"",""es"")"),"asistencia")</f>
        <v>asistencia</v>
      </c>
      <c r="D2014" s="2" t="str">
        <f ca="1">IFERROR(__xludf.DUMMYFUNCTION("GOOGLETRANSLATE(B2014,""en"",""ig"")"),"mnyemeaka")</f>
        <v>mnyemeaka</v>
      </c>
      <c r="E2014" s="2" t="str">
        <f ca="1">IFERROR(__xludf.DUMMYFUNCTION("GOOGLETRANSLATE(B2014,""en"",""fr"")"),"assistance")</f>
        <v>assistance</v>
      </c>
      <c r="F2014" s="2" t="str">
        <f ca="1">IFERROR(__xludf.DUMMYFUNCTION("GOOGLETRANSLATE(B2014,""en"",""it"")"),"assistenza")</f>
        <v>assistenza</v>
      </c>
      <c r="G2014" s="2" t="str">
        <f ca="1">IFERROR(__xludf.DUMMYFUNCTION("GOOGLETRANSLATE(B2014,""en"",""de"")"),"Hilfe")</f>
        <v>Hilfe</v>
      </c>
      <c r="H2014" s="2" t="str">
        <f ca="1">IFERROR(__xludf.DUMMYFUNCTION("GOOGLETRANSLATE(B2014,""en"",""zh"")"),"协助")</f>
        <v>协助</v>
      </c>
      <c r="I2014" s="2" t="str">
        <f ca="1">IFERROR(__xludf.DUMMYFUNCTION("GOOGLETRANSLATE(B2014,""en"",""gd"")"),"Taic")</f>
        <v>Taic</v>
      </c>
    </row>
    <row r="2015" spans="1:9" ht="14.25" customHeight="1" x14ac:dyDescent="0.3">
      <c r="A2015" s="2">
        <v>2014</v>
      </c>
      <c r="B2015" s="3" t="s">
        <v>2022</v>
      </c>
      <c r="C2015" s="2" t="str">
        <f ca="1">IFERROR(__xludf.DUMMYFUNCTION("GOOGLETRANSLATE(B2015, ""en"",""es"")"),"techo")</f>
        <v>techo</v>
      </c>
      <c r="D2015" s="2" t="str">
        <f ca="1">IFERROR(__xludf.DUMMYFUNCTION("GOOGLETRANSLATE(B2015,""en"",""ig"")"),"eluulo")</f>
        <v>eluulo</v>
      </c>
      <c r="E2015" s="2" t="str">
        <f ca="1">IFERROR(__xludf.DUMMYFUNCTION("GOOGLETRANSLATE(B2015,""en"",""fr"")"),"toit")</f>
        <v>toit</v>
      </c>
      <c r="F2015" s="2" t="str">
        <f ca="1">IFERROR(__xludf.DUMMYFUNCTION("GOOGLETRANSLATE(B2015,""en"",""it"")"),"tetto")</f>
        <v>tetto</v>
      </c>
      <c r="G2015" s="2" t="str">
        <f ca="1">IFERROR(__xludf.DUMMYFUNCTION("GOOGLETRANSLATE(B2015,""en"",""de"")"),"Dach")</f>
        <v>Dach</v>
      </c>
      <c r="H2015" s="2" t="str">
        <f ca="1">IFERROR(__xludf.DUMMYFUNCTION("GOOGLETRANSLATE(B2015,""en"",""zh"")"),"屋顶")</f>
        <v>屋顶</v>
      </c>
      <c r="I2015" s="2" t="str">
        <f ca="1">IFERROR(__xludf.DUMMYFUNCTION("GOOGLETRANSLATE(B2015,""en"",""gd"")"),"mullach")</f>
        <v>mullach</v>
      </c>
    </row>
    <row r="2016" spans="1:9" ht="14.25" customHeight="1" x14ac:dyDescent="0.3">
      <c r="A2016" s="2">
        <v>2015</v>
      </c>
      <c r="B2016" s="3" t="s">
        <v>2023</v>
      </c>
      <c r="C2016" s="2" t="str">
        <f ca="1">IFERROR(__xludf.DUMMYFUNCTION("GOOGLETRANSLATE(B2016, ""en"",""es"")"),"Jubilación")</f>
        <v>Jubilación</v>
      </c>
      <c r="D2016" s="2" t="str">
        <f ca="1">IFERROR(__xludf.DUMMYFUNCTION("GOOGLETRANSLATE(B2016,""en"",""ig"")"),"ozuzuike nka")</f>
        <v>ozuzuike nka</v>
      </c>
      <c r="E2016" s="2" t="str">
        <f ca="1">IFERROR(__xludf.DUMMYFUNCTION("GOOGLETRANSLATE(B2016,""en"",""fr"")"),"retraite")</f>
        <v>retraite</v>
      </c>
      <c r="F2016" s="2" t="str">
        <f ca="1">IFERROR(__xludf.DUMMYFUNCTION("GOOGLETRANSLATE(B2016,""en"",""it"")"),"la pensione")</f>
        <v>la pensione</v>
      </c>
      <c r="G2016" s="2" t="str">
        <f ca="1">IFERROR(__xludf.DUMMYFUNCTION("GOOGLETRANSLATE(B2016,""en"",""de"")"),"Ruhestand")</f>
        <v>Ruhestand</v>
      </c>
      <c r="H2016" s="2" t="str">
        <f ca="1">IFERROR(__xludf.DUMMYFUNCTION("GOOGLETRANSLATE(B2016,""en"",""zh"")"),"退休")</f>
        <v>退休</v>
      </c>
      <c r="I2016" s="2" t="str">
        <f ca="1">IFERROR(__xludf.DUMMYFUNCTION("GOOGLETRANSLATE(B2016,""en"",""gd"")"),"cluaineas")</f>
        <v>cluaineas</v>
      </c>
    </row>
    <row r="2017" spans="1:9" ht="14.25" customHeight="1" x14ac:dyDescent="0.3">
      <c r="A2017" s="2">
        <v>2016</v>
      </c>
      <c r="B2017" s="3" t="s">
        <v>2024</v>
      </c>
      <c r="C2017" s="2" t="str">
        <f ca="1">IFERROR(__xludf.DUMMYFUNCTION("GOOGLETRANSLATE(B2017, ""en"",""es"")"),"respectivamente")</f>
        <v>respectivamente</v>
      </c>
      <c r="D2017" s="2" t="str">
        <f ca="1">IFERROR(__xludf.DUMMYFUNCTION("GOOGLETRANSLATE(B2017,""en"",""ig"")"),"dika ikosanye ugwu")</f>
        <v>dika ikosanye ugwu</v>
      </c>
      <c r="E2017" s="2" t="str">
        <f ca="1">IFERROR(__xludf.DUMMYFUNCTION("GOOGLETRANSLATE(B2017,""en"",""fr"")"),"respectivement")</f>
        <v>respectivement</v>
      </c>
      <c r="F2017" s="2" t="str">
        <f ca="1">IFERROR(__xludf.DUMMYFUNCTION("GOOGLETRANSLATE(B2017,""en"",""it"")"),"rispettivamente")</f>
        <v>rispettivamente</v>
      </c>
      <c r="G2017" s="2" t="str">
        <f ca="1">IFERROR(__xludf.DUMMYFUNCTION("GOOGLETRANSLATE(B2017,""en"",""de"")"),"jeweils")</f>
        <v>jeweils</v>
      </c>
      <c r="H2017" s="2" t="str">
        <f ca="1">IFERROR(__xludf.DUMMYFUNCTION("GOOGLETRANSLATE(B2017,""en"",""zh"")"),"分别")</f>
        <v>分别</v>
      </c>
      <c r="I2017" s="2" t="str">
        <f ca="1">IFERROR(__xludf.DUMMYFUNCTION("GOOGLETRANSLATE(B2017,""en"",""gd"")"),"fa leth")</f>
        <v>fa leth</v>
      </c>
    </row>
    <row r="2018" spans="1:9" ht="14.25" customHeight="1" x14ac:dyDescent="0.3">
      <c r="A2018" s="2">
        <v>2017</v>
      </c>
      <c r="B2018" s="3" t="s">
        <v>2025</v>
      </c>
      <c r="C2018" s="2" t="str">
        <f ca="1">IFERROR(__xludf.DUMMYFUNCTION("GOOGLETRANSLATE(B2018, ""en"",""es"")"),"variación")</f>
        <v>variación</v>
      </c>
      <c r="D2018" s="2" t="str">
        <f ca="1">IFERROR(__xludf.DUMMYFUNCTION("GOOGLETRANSLATE(B2018,""en"",""ig"")"),"mgbanwe")</f>
        <v>mgbanwe</v>
      </c>
      <c r="E2018" s="2" t="str">
        <f ca="1">IFERROR(__xludf.DUMMYFUNCTION("GOOGLETRANSLATE(B2018,""en"",""fr"")"),"variation")</f>
        <v>variation</v>
      </c>
      <c r="F2018" s="2" t="str">
        <f ca="1">IFERROR(__xludf.DUMMYFUNCTION("GOOGLETRANSLATE(B2018,""en"",""it"")"),"variazione")</f>
        <v>variazione</v>
      </c>
      <c r="G2018" s="2" t="str">
        <f ca="1">IFERROR(__xludf.DUMMYFUNCTION("GOOGLETRANSLATE(B2018,""en"",""de"")"),"Variation")</f>
        <v>Variation</v>
      </c>
      <c r="H2018" s="2" t="str">
        <f ca="1">IFERROR(__xludf.DUMMYFUNCTION("GOOGLETRANSLATE(B2018,""en"",""zh"")"),"变化")</f>
        <v>变化</v>
      </c>
      <c r="I2018" s="2" t="str">
        <f ca="1">IFERROR(__xludf.DUMMYFUNCTION("GOOGLETRANSLATE(B2018,""en"",""gd"")"),"Atharrachadh")</f>
        <v>Atharrachadh</v>
      </c>
    </row>
    <row r="2019" spans="1:9" ht="14.25" customHeight="1" x14ac:dyDescent="0.3">
      <c r="A2019" s="2">
        <v>2018</v>
      </c>
      <c r="B2019" s="3" t="s">
        <v>2026</v>
      </c>
      <c r="C2019" s="2" t="str">
        <f ca="1">IFERROR(__xludf.DUMMYFUNCTION("GOOGLETRANSLATE(B2019, ""en"",""es"")"),"por último")</f>
        <v>por último</v>
      </c>
      <c r="D2019" s="2" t="str">
        <f ca="1">IFERROR(__xludf.DUMMYFUNCTION("GOOGLETRANSLATE(B2019,""en"",""ig"")"),"n'ikpeazụ")</f>
        <v>n'ikpeazụ</v>
      </c>
      <c r="E2019" s="2" t="str">
        <f ca="1">IFERROR(__xludf.DUMMYFUNCTION("GOOGLETRANSLATE(B2019,""en"",""fr"")"),"finalement")</f>
        <v>finalement</v>
      </c>
      <c r="F2019" s="2" t="str">
        <f ca="1">IFERROR(__xludf.DUMMYFUNCTION("GOOGLETRANSLATE(B2019,""en"",""it"")"),"in definitiva")</f>
        <v>in definitiva</v>
      </c>
      <c r="G2019" s="2" t="str">
        <f ca="1">IFERROR(__xludf.DUMMYFUNCTION("GOOGLETRANSLATE(B2019,""en"",""de"")"),"letzten Endes")</f>
        <v>letzten Endes</v>
      </c>
      <c r="H2019" s="2" t="str">
        <f ca="1">IFERROR(__xludf.DUMMYFUNCTION("GOOGLETRANSLATE(B2019,""en"",""zh"")"),"最终")</f>
        <v>最终</v>
      </c>
      <c r="I2019" s="2" t="str">
        <f ca="1">IFERROR(__xludf.DUMMYFUNCTION("GOOGLETRANSLATE(B2019,""en"",""gd"")"),"Aig a 'cheann thall")</f>
        <v>Aig a 'cheann thall</v>
      </c>
    </row>
    <row r="2020" spans="1:9" ht="14.25" customHeight="1" x14ac:dyDescent="0.3">
      <c r="A2020" s="2">
        <v>2019</v>
      </c>
      <c r="B2020" s="3" t="s">
        <v>2027</v>
      </c>
      <c r="C2020" s="2" t="str">
        <f ca="1">IFERROR(__xludf.DUMMYFUNCTION("GOOGLETRANSLATE(B2020, ""en"",""es"")"),"prueba")</f>
        <v>prueba</v>
      </c>
      <c r="D2020" s="2" t="str">
        <f ca="1">IFERROR(__xludf.DUMMYFUNCTION("GOOGLETRANSLATE(B2020,""en"",""ig"")"),"ngosi edemede")</f>
        <v>ngosi edemede</v>
      </c>
      <c r="E2020" s="2" t="str">
        <f ca="1">IFERROR(__xludf.DUMMYFUNCTION("GOOGLETRANSLATE(B2020,""en"",""fr"")"),"preuve")</f>
        <v>preuve</v>
      </c>
      <c r="F2020" s="2" t="str">
        <f ca="1">IFERROR(__xludf.DUMMYFUNCTION("GOOGLETRANSLATE(B2020,""en"",""it"")"),"prova")</f>
        <v>prova</v>
      </c>
      <c r="G2020" s="2" t="str">
        <f ca="1">IFERROR(__xludf.DUMMYFUNCTION("GOOGLETRANSLATE(B2020,""en"",""de"")"),"nachweisen")</f>
        <v>nachweisen</v>
      </c>
      <c r="H2020" s="2" t="str">
        <f ca="1">IFERROR(__xludf.DUMMYFUNCTION("GOOGLETRANSLATE(B2020,""en"",""zh"")"),"证明")</f>
        <v>证明</v>
      </c>
      <c r="I2020" s="2" t="str">
        <f ca="1">IFERROR(__xludf.DUMMYFUNCTION("GOOGLETRANSLATE(B2020,""en"",""gd"")"),"PROOF")</f>
        <v>PROOF</v>
      </c>
    </row>
    <row r="2021" spans="1:9" ht="14.25" customHeight="1" x14ac:dyDescent="0.3">
      <c r="A2021" s="2">
        <v>2020</v>
      </c>
      <c r="B2021" s="3" t="s">
        <v>2028</v>
      </c>
      <c r="C2021" s="2" t="str">
        <f ca="1">IFERROR(__xludf.DUMMYFUNCTION("GOOGLETRANSLATE(B2021, ""en"",""es"")"),"suelo")</f>
        <v>suelo</v>
      </c>
      <c r="D2021" s="2" t="str">
        <f ca="1">IFERROR(__xludf.DUMMYFUNCTION("GOOGLETRANSLATE(B2021,""en"",""ig"")"),"ala")</f>
        <v>ala</v>
      </c>
      <c r="E2021" s="2" t="str">
        <f ca="1">IFERROR(__xludf.DUMMYFUNCTION("GOOGLETRANSLATE(B2021,""en"",""fr"")"),"sol")</f>
        <v>sol</v>
      </c>
      <c r="F2021" s="2" t="str">
        <f ca="1">IFERROR(__xludf.DUMMYFUNCTION("GOOGLETRANSLATE(B2021,""en"",""it"")"),"suolo")</f>
        <v>suolo</v>
      </c>
      <c r="G2021" s="2" t="str">
        <f ca="1">IFERROR(__xludf.DUMMYFUNCTION("GOOGLETRANSLATE(B2021,""en"",""de"")"),"Boden")</f>
        <v>Boden</v>
      </c>
      <c r="H2021" s="2" t="str">
        <f ca="1">IFERROR(__xludf.DUMMYFUNCTION("GOOGLETRANSLATE(B2021,""en"",""zh"")"),"土壤")</f>
        <v>土壤</v>
      </c>
      <c r="I2021" s="2" t="str">
        <f ca="1">IFERROR(__xludf.DUMMYFUNCTION("GOOGLETRANSLATE(B2021,""en"",""gd"")"),"ùir")</f>
        <v>ùir</v>
      </c>
    </row>
    <row r="2022" spans="1:9" ht="14.25" customHeight="1" x14ac:dyDescent="0.3">
      <c r="A2022" s="2">
        <v>2021</v>
      </c>
      <c r="B2022" s="3" t="s">
        <v>2029</v>
      </c>
      <c r="C2022" s="2" t="str">
        <f ca="1">IFERROR(__xludf.DUMMYFUNCTION("GOOGLETRANSLATE(B2022, ""en"",""es"")"),"elegante")</f>
        <v>elegante</v>
      </c>
      <c r="D2022" s="2" t="str">
        <f ca="1">IFERROR(__xludf.DUMMYFUNCTION("GOOGLETRANSLATE(B2022,""en"",""ig"")"),"nke imaihe")</f>
        <v>nke imaihe</v>
      </c>
      <c r="E2022" s="2" t="str">
        <f ca="1">IFERROR(__xludf.DUMMYFUNCTION("GOOGLETRANSLATE(B2022,""en"",""fr"")"),"intelligent")</f>
        <v>intelligent</v>
      </c>
      <c r="F2022" s="2" t="str">
        <f ca="1">IFERROR(__xludf.DUMMYFUNCTION("GOOGLETRANSLATE(B2022,""en"",""it"")"),"accorto")</f>
        <v>accorto</v>
      </c>
      <c r="G2022" s="2" t="str">
        <f ca="1">IFERROR(__xludf.DUMMYFUNCTION("GOOGLETRANSLATE(B2022,""en"",""de"")"),"schlau")</f>
        <v>schlau</v>
      </c>
      <c r="H2022" s="2" t="str">
        <f ca="1">IFERROR(__xludf.DUMMYFUNCTION("GOOGLETRANSLATE(B2022,""en"",""zh"")"),"聪明的")</f>
        <v>聪明的</v>
      </c>
      <c r="I2022" s="2" t="str">
        <f ca="1">IFERROR(__xludf.DUMMYFUNCTION("GOOGLETRANSLATE(B2022,""en"",""gd"")"),"Smart")</f>
        <v>Smart</v>
      </c>
    </row>
    <row r="2023" spans="1:9" ht="14.25" customHeight="1" x14ac:dyDescent="0.3">
      <c r="A2023" s="2">
        <v>2022</v>
      </c>
      <c r="B2023" s="3" t="s">
        <v>2030</v>
      </c>
      <c r="C2023" s="2" t="str">
        <f ca="1">IFERROR(__xludf.DUMMYFUNCTION("GOOGLETRANSLATE(B2023, ""en"",""es"")"),"capa")</f>
        <v>capa</v>
      </c>
      <c r="D2023" s="2" t="str">
        <f ca="1">IFERROR(__xludf.DUMMYFUNCTION("GOOGLETRANSLATE(B2023,""en"",""ig"")"),"oyi akwa")</f>
        <v>oyi akwa</v>
      </c>
      <c r="E2023" s="2" t="str">
        <f ca="1">IFERROR(__xludf.DUMMYFUNCTION("GOOGLETRANSLATE(B2023,""en"",""fr"")"),"couche")</f>
        <v>couche</v>
      </c>
      <c r="F2023" s="2" t="str">
        <f ca="1">IFERROR(__xludf.DUMMYFUNCTION("GOOGLETRANSLATE(B2023,""en"",""it"")"),"strato")</f>
        <v>strato</v>
      </c>
      <c r="G2023" s="2" t="str">
        <f ca="1">IFERROR(__xludf.DUMMYFUNCTION("GOOGLETRANSLATE(B2023,""en"",""de"")"),"Schicht")</f>
        <v>Schicht</v>
      </c>
      <c r="H2023" s="2" t="str">
        <f ca="1">IFERROR(__xludf.DUMMYFUNCTION("GOOGLETRANSLATE(B2023,""en"",""zh"")"),"层")</f>
        <v>层</v>
      </c>
      <c r="I2023" s="2" t="str">
        <f ca="1">IFERROR(__xludf.DUMMYFUNCTION("GOOGLETRANSLATE(B2023,""en"",""gd"")"),"còmhdach")</f>
        <v>còmhdach</v>
      </c>
    </row>
    <row r="2024" spans="1:9" ht="14.25" customHeight="1" x14ac:dyDescent="0.3">
      <c r="A2024" s="2">
        <v>2023</v>
      </c>
      <c r="B2024" s="3" t="s">
        <v>2031</v>
      </c>
      <c r="C2024" s="2" t="str">
        <f ca="1">IFERROR(__xludf.DUMMYFUNCTION("GOOGLETRANSLATE(B2024, ""en"",""es"")"),"decepcionado")</f>
        <v>decepcionado</v>
      </c>
      <c r="D2024" s="2" t="str">
        <f ca="1">IFERROR(__xludf.DUMMYFUNCTION("GOOGLETRANSLATE(B2024,""en"",""ig"")"),"bilie dị njikere")</f>
        <v>bilie dị njikere</v>
      </c>
      <c r="E2024" s="2" t="str">
        <f ca="1">IFERROR(__xludf.DUMMYFUNCTION("GOOGLETRANSLATE(B2024,""en"",""fr"")"),"bouleversé")</f>
        <v>bouleversé</v>
      </c>
      <c r="F2024" s="2" t="str">
        <f ca="1">IFERROR(__xludf.DUMMYFUNCTION("GOOGLETRANSLATE(B2024,""en"",""it"")"),"Rovesciato")</f>
        <v>Rovesciato</v>
      </c>
      <c r="G2024" s="2" t="str">
        <f ca="1">IFERROR(__xludf.DUMMYFUNCTION("GOOGLETRANSLATE(B2024,""en"",""de"")"),"verärgern")</f>
        <v>verärgern</v>
      </c>
      <c r="H2024" s="2" t="str">
        <f ca="1">IFERROR(__xludf.DUMMYFUNCTION("GOOGLETRANSLATE(B2024,""en"",""zh"")"),"沮丧的")</f>
        <v>沮丧的</v>
      </c>
      <c r="I2024" s="2" t="str">
        <f ca="1">IFERROR(__xludf.DUMMYFUNCTION("GOOGLETRANSLATE(B2024,""en"",""gd"")"),"troimh-chèile")</f>
        <v>troimh-chèile</v>
      </c>
    </row>
    <row r="2025" spans="1:9" ht="14.25" customHeight="1" x14ac:dyDescent="0.3">
      <c r="A2025" s="2">
        <v>2024</v>
      </c>
      <c r="B2025" s="3" t="s">
        <v>2032</v>
      </c>
      <c r="C2025" s="2" t="str">
        <f ca="1">IFERROR(__xludf.DUMMYFUNCTION("GOOGLETRANSLATE(B2025, ""en"",""es"")"),"diente")</f>
        <v>diente</v>
      </c>
      <c r="D2025" s="2" t="str">
        <f ca="1">IFERROR(__xludf.DUMMYFUNCTION("GOOGLETRANSLATE(B2025,""en"",""ig"")"),"eze")</f>
        <v>eze</v>
      </c>
      <c r="E2025" s="2" t="str">
        <f ca="1">IFERROR(__xludf.DUMMYFUNCTION("GOOGLETRANSLATE(B2025,""en"",""fr"")"),"dent")</f>
        <v>dent</v>
      </c>
      <c r="F2025" s="2" t="str">
        <f ca="1">IFERROR(__xludf.DUMMYFUNCTION("GOOGLETRANSLATE(B2025,""en"",""it"")"),"dente")</f>
        <v>dente</v>
      </c>
      <c r="G2025" s="2" t="str">
        <f ca="1">IFERROR(__xludf.DUMMYFUNCTION("GOOGLETRANSLATE(B2025,""en"",""de"")"),"Zahn")</f>
        <v>Zahn</v>
      </c>
      <c r="H2025" s="2" t="str">
        <f ca="1">IFERROR(__xludf.DUMMYFUNCTION("GOOGLETRANSLATE(B2025,""en"",""zh"")"),"齿")</f>
        <v>齿</v>
      </c>
      <c r="I2025" s="2" t="str">
        <f ca="1">IFERROR(__xludf.DUMMYFUNCTION("GOOGLETRANSLATE(B2025,""en"",""gd"")"),"fiacail")</f>
        <v>fiacail</v>
      </c>
    </row>
    <row r="2026" spans="1:9" ht="14.25" customHeight="1" x14ac:dyDescent="0.3">
      <c r="A2026" s="2">
        <v>2025</v>
      </c>
      <c r="B2026" s="3" t="s">
        <v>2033</v>
      </c>
      <c r="C2026" s="2" t="str">
        <f ca="1">IFERROR(__xludf.DUMMYFUNCTION("GOOGLETRANSLATE(B2026, ""en"",""es"")"),"representación")</f>
        <v>representación</v>
      </c>
      <c r="D2026" s="2" t="str">
        <f ca="1">IFERROR(__xludf.DUMMYFUNCTION("GOOGLETRANSLATE(B2026,""en"",""ig"")"),"nnochi")</f>
        <v>nnochi</v>
      </c>
      <c r="E2026" s="2" t="str">
        <f ca="1">IFERROR(__xludf.DUMMYFUNCTION("GOOGLETRANSLATE(B2026,""en"",""fr"")"),"représentation")</f>
        <v>représentation</v>
      </c>
      <c r="F2026" s="2" t="str">
        <f ca="1">IFERROR(__xludf.DUMMYFUNCTION("GOOGLETRANSLATE(B2026,""en"",""it"")"),"rappresentazione")</f>
        <v>rappresentazione</v>
      </c>
      <c r="G2026" s="2" t="str">
        <f ca="1">IFERROR(__xludf.DUMMYFUNCTION("GOOGLETRANSLATE(B2026,""en"",""de"")"),"Darstellung")</f>
        <v>Darstellung</v>
      </c>
      <c r="H2026" s="2" t="str">
        <f ca="1">IFERROR(__xludf.DUMMYFUNCTION("GOOGLETRANSLATE(B2026,""en"",""zh"")"),"表示")</f>
        <v>表示</v>
      </c>
      <c r="I2026" s="2" t="str">
        <f ca="1">IFERROR(__xludf.DUMMYFUNCTION("GOOGLETRANSLATE(B2026,""en"",""gd"")"),"Riochdachadh")</f>
        <v>Riochdachadh</v>
      </c>
    </row>
    <row r="2027" spans="1:9" ht="14.25" customHeight="1" x14ac:dyDescent="0.3">
      <c r="A2027" s="2">
        <v>2026</v>
      </c>
      <c r="B2027" s="3" t="s">
        <v>2034</v>
      </c>
      <c r="C2027" s="2" t="str">
        <f ca="1">IFERROR(__xludf.DUMMYFUNCTION("GOOGLETRANSLATE(B2027, ""en"",""es"")"),"preparación")</f>
        <v>preparación</v>
      </c>
      <c r="D2027" s="2" t="str">
        <f ca="1">IFERROR(__xludf.DUMMYFUNCTION("GOOGLETRANSLATE(B2027,""en"",""ig"")"),"njikere")</f>
        <v>njikere</v>
      </c>
      <c r="E2027" s="2" t="str">
        <f ca="1">IFERROR(__xludf.DUMMYFUNCTION("GOOGLETRANSLATE(B2027,""en"",""fr"")"),"préparation")</f>
        <v>préparation</v>
      </c>
      <c r="F2027" s="2" t="str">
        <f ca="1">IFERROR(__xludf.DUMMYFUNCTION("GOOGLETRANSLATE(B2027,""en"",""it"")"),"preparazione")</f>
        <v>preparazione</v>
      </c>
      <c r="G2027" s="2" t="str">
        <f ca="1">IFERROR(__xludf.DUMMYFUNCTION("GOOGLETRANSLATE(B2027,""en"",""de"")"),"Vorbereitung")</f>
        <v>Vorbereitung</v>
      </c>
      <c r="H2027" s="2" t="str">
        <f ca="1">IFERROR(__xludf.DUMMYFUNCTION("GOOGLETRANSLATE(B2027,""en"",""zh"")"),"准备")</f>
        <v>准备</v>
      </c>
      <c r="I2027" s="2" t="str">
        <f ca="1">IFERROR(__xludf.DUMMYFUNCTION("GOOGLETRANSLATE(B2027,""en"",""gd"")"),"Ullachadh")</f>
        <v>Ullachadh</v>
      </c>
    </row>
    <row r="2028" spans="1:9" ht="14.25" customHeight="1" x14ac:dyDescent="0.3">
      <c r="A2028" s="2">
        <v>2027</v>
      </c>
      <c r="B2028" s="3" t="s">
        <v>2035</v>
      </c>
      <c r="C2028" s="2" t="str">
        <f ca="1">IFERROR(__xludf.DUMMYFUNCTION("GOOGLETRANSLATE(B2028, ""en"",""es"")"),"disputar")</f>
        <v>disputar</v>
      </c>
      <c r="D2028" s="2" t="str">
        <f ca="1">IFERROR(__xludf.DUMMYFUNCTION("GOOGLETRANSLATE(B2028,""en"",""ig"")"),"igbagha")</f>
        <v>igbagha</v>
      </c>
      <c r="E2028" s="2" t="str">
        <f ca="1">IFERROR(__xludf.DUMMYFUNCTION("GOOGLETRANSLATE(B2028,""en"",""fr"")"),"différend")</f>
        <v>différend</v>
      </c>
      <c r="F2028" s="2" t="str">
        <f ca="1">IFERROR(__xludf.DUMMYFUNCTION("GOOGLETRANSLATE(B2028,""en"",""it"")"),"controversia")</f>
        <v>controversia</v>
      </c>
      <c r="G2028" s="2" t="str">
        <f ca="1">IFERROR(__xludf.DUMMYFUNCTION("GOOGLETRANSLATE(B2028,""en"",""de"")"),"Disput")</f>
        <v>Disput</v>
      </c>
      <c r="H2028" s="2" t="str">
        <f ca="1">IFERROR(__xludf.DUMMYFUNCTION("GOOGLETRANSLATE(B2028,""en"",""zh"")"),"争议")</f>
        <v>争议</v>
      </c>
      <c r="I2028" s="2" t="str">
        <f ca="1">IFERROR(__xludf.DUMMYFUNCTION("GOOGLETRANSLATE(B2028,""en"",""gd"")"),"connspaid")</f>
        <v>connspaid</v>
      </c>
    </row>
    <row r="2029" spans="1:9" ht="14.25" customHeight="1" x14ac:dyDescent="0.3">
      <c r="A2029" s="2">
        <v>2028</v>
      </c>
      <c r="B2029" s="3" t="s">
        <v>2036</v>
      </c>
      <c r="C2029" s="2" t="str">
        <f ca="1">IFERROR(__xludf.DUMMYFUNCTION("GOOGLETRANSLATE(B2029, ""en"",""es"")"),"agenda")</f>
        <v>agenda</v>
      </c>
      <c r="D2029" s="2" t="str">
        <f ca="1">IFERROR(__xludf.DUMMYFUNCTION("GOOGLETRANSLATE(B2029,""en"",""ig"")"),"ajenda")</f>
        <v>ajenda</v>
      </c>
      <c r="E2029" s="2" t="str">
        <f ca="1">IFERROR(__xludf.DUMMYFUNCTION("GOOGLETRANSLATE(B2029,""en"",""fr"")"),"ordre du jour")</f>
        <v>ordre du jour</v>
      </c>
      <c r="F2029" s="2" t="str">
        <f ca="1">IFERROR(__xludf.DUMMYFUNCTION("GOOGLETRANSLATE(B2029,""en"",""it"")"),"agenda")</f>
        <v>agenda</v>
      </c>
      <c r="G2029" s="2" t="str">
        <f ca="1">IFERROR(__xludf.DUMMYFUNCTION("GOOGLETRANSLATE(B2029,""en"",""de"")"),"Agenda")</f>
        <v>Agenda</v>
      </c>
      <c r="H2029" s="2" t="str">
        <f ca="1">IFERROR(__xludf.DUMMYFUNCTION("GOOGLETRANSLATE(B2029,""en"",""zh"")"),"议程")</f>
        <v>议程</v>
      </c>
      <c r="I2029" s="2" t="str">
        <f ca="1">IFERROR(__xludf.DUMMYFUNCTION("GOOGLETRANSLATE(B2029,""en"",""gd"")"),"clàr-gnothaich")</f>
        <v>clàr-gnothaich</v>
      </c>
    </row>
    <row r="2030" spans="1:9" ht="14.25" customHeight="1" x14ac:dyDescent="0.3">
      <c r="A2030" s="2">
        <v>2029</v>
      </c>
      <c r="B2030" s="3" t="s">
        <v>2037</v>
      </c>
      <c r="C2030" s="2" t="str">
        <f ca="1">IFERROR(__xludf.DUMMYFUNCTION("GOOGLETRANSLATE(B2030, ""en"",""es"")"),"énfasis")</f>
        <v>énfasis</v>
      </c>
      <c r="D2030" s="2" t="str">
        <f ca="1">IFERROR(__xludf.DUMMYFUNCTION("GOOGLETRANSLATE(B2030,""en"",""ig"")"),"nkwusi ike")</f>
        <v>nkwusi ike</v>
      </c>
      <c r="E2030" s="2" t="str">
        <f ca="1">IFERROR(__xludf.DUMMYFUNCTION("GOOGLETRANSLATE(B2030,""en"",""fr"")"),"accent")</f>
        <v>accent</v>
      </c>
      <c r="F2030" s="2" t="str">
        <f ca="1">IFERROR(__xludf.DUMMYFUNCTION("GOOGLETRANSLATE(B2030,""en"",""it"")"),"enfasi")</f>
        <v>enfasi</v>
      </c>
      <c r="G2030" s="2" t="str">
        <f ca="1">IFERROR(__xludf.DUMMYFUNCTION("GOOGLETRANSLATE(B2030,""en"",""de"")"),"Schwerpunkt")</f>
        <v>Schwerpunkt</v>
      </c>
      <c r="H2030" s="2" t="str">
        <f ca="1">IFERROR(__xludf.DUMMYFUNCTION("GOOGLETRANSLATE(B2030,""en"",""zh"")"),"强调")</f>
        <v>强调</v>
      </c>
      <c r="I2030" s="2" t="str">
        <f ca="1">IFERROR(__xludf.DUMMYFUNCTION("GOOGLETRANSLATE(B2030,""en"",""gd"")"),"cuideam")</f>
        <v>cuideam</v>
      </c>
    </row>
    <row r="2031" spans="1:9" ht="14.25" customHeight="1" x14ac:dyDescent="0.3">
      <c r="A2031" s="2">
        <v>2030</v>
      </c>
      <c r="B2031" s="3" t="s">
        <v>2038</v>
      </c>
      <c r="C2031" s="2" t="str">
        <f ca="1">IFERROR(__xludf.DUMMYFUNCTION("GOOGLETRANSLATE(B2031, ""en"",""es"")"),"edición")</f>
        <v>edición</v>
      </c>
      <c r="D2031" s="2" t="str">
        <f ca="1">IFERROR(__xludf.DUMMYFUNCTION("GOOGLETRANSLATE(B2031,""en"",""ig"")"),"mbiputa")</f>
        <v>mbiputa</v>
      </c>
      <c r="E2031" s="2" t="str">
        <f ca="1">IFERROR(__xludf.DUMMYFUNCTION("GOOGLETRANSLATE(B2031,""en"",""fr"")"),"édition")</f>
        <v>édition</v>
      </c>
      <c r="F2031" s="2" t="str">
        <f ca="1">IFERROR(__xludf.DUMMYFUNCTION("GOOGLETRANSLATE(B2031,""en"",""it"")"),"edizione")</f>
        <v>edizione</v>
      </c>
      <c r="G2031" s="2" t="str">
        <f ca="1">IFERROR(__xludf.DUMMYFUNCTION("GOOGLETRANSLATE(B2031,""en"",""de"")"),"Auflage")</f>
        <v>Auflage</v>
      </c>
      <c r="H2031" s="2" t="str">
        <f ca="1">IFERROR(__xludf.DUMMYFUNCTION("GOOGLETRANSLATE(B2031,""en"",""zh"")"),"版")</f>
        <v>版</v>
      </c>
      <c r="I2031" s="2" t="str">
        <f ca="1">IFERROR(__xludf.DUMMYFUNCTION("GOOGLETRANSLATE(B2031,""en"",""gd"")"),"Deasachadh")</f>
        <v>Deasachadh</v>
      </c>
    </row>
    <row r="2032" spans="1:9" ht="14.25" customHeight="1" x14ac:dyDescent="0.3">
      <c r="A2032" s="2">
        <v>2031</v>
      </c>
      <c r="B2032" s="3" t="s">
        <v>2039</v>
      </c>
      <c r="C2032" s="2" t="str">
        <f ca="1">IFERROR(__xludf.DUMMYFUNCTION("GOOGLETRANSLATE(B2032, ""en"",""es"")"),"plata")</f>
        <v>plata</v>
      </c>
      <c r="D2032" s="2" t="str">
        <f ca="1">IFERROR(__xludf.DUMMYFUNCTION("GOOGLETRANSLATE(B2032,""en"",""ig"")"),"silva")</f>
        <v>silva</v>
      </c>
      <c r="E2032" s="2" t="str">
        <f ca="1">IFERROR(__xludf.DUMMYFUNCTION("GOOGLETRANSLATE(B2032,""en"",""fr"")"),"argent")</f>
        <v>argent</v>
      </c>
      <c r="F2032" s="2" t="str">
        <f ca="1">IFERROR(__xludf.DUMMYFUNCTION("GOOGLETRANSLATE(B2032,""en"",""it"")"),"argento")</f>
        <v>argento</v>
      </c>
      <c r="G2032" s="2" t="str">
        <f ca="1">IFERROR(__xludf.DUMMYFUNCTION("GOOGLETRANSLATE(B2032,""en"",""de"")"),"Silber")</f>
        <v>Silber</v>
      </c>
      <c r="H2032" s="2" t="str">
        <f ca="1">IFERROR(__xludf.DUMMYFUNCTION("GOOGLETRANSLATE(B2032,""en"",""zh"")"),"银")</f>
        <v>银</v>
      </c>
      <c r="I2032" s="2" t="str">
        <f ca="1">IFERROR(__xludf.DUMMYFUNCTION("GOOGLETRANSLATE(B2032,""en"",""gd"")"),"airgead")</f>
        <v>airgead</v>
      </c>
    </row>
    <row r="2033" spans="1:9" ht="14.25" customHeight="1" x14ac:dyDescent="0.3">
      <c r="A2033" s="2">
        <v>2032</v>
      </c>
      <c r="B2033" s="3" t="s">
        <v>2040</v>
      </c>
      <c r="C2033" s="2" t="str">
        <f ca="1">IFERROR(__xludf.DUMMYFUNCTION("GOOGLETRANSLATE(B2033, ""en"",""es"")"),"entretenimiento")</f>
        <v>entretenimiento</v>
      </c>
      <c r="D2033" s="2" t="str">
        <f ca="1">IFERROR(__xludf.DUMMYFUNCTION("GOOGLETRANSLATE(B2033,""en"",""ig"")"),"okwukwo obia")</f>
        <v>okwukwo obia</v>
      </c>
      <c r="E2033" s="2" t="str">
        <f ca="1">IFERROR(__xludf.DUMMYFUNCTION("GOOGLETRANSLATE(B2033,""en"",""fr"")"),"divertissement")</f>
        <v>divertissement</v>
      </c>
      <c r="F2033" s="2" t="str">
        <f ca="1">IFERROR(__xludf.DUMMYFUNCTION("GOOGLETRANSLATE(B2033,""en"",""it"")"),"divertimento")</f>
        <v>divertimento</v>
      </c>
      <c r="G2033" s="2" t="str">
        <f ca="1">IFERROR(__xludf.DUMMYFUNCTION("GOOGLETRANSLATE(B2033,""en"",""de"")"),"Unterhaltung")</f>
        <v>Unterhaltung</v>
      </c>
      <c r="H2033" s="2" t="str">
        <f ca="1">IFERROR(__xludf.DUMMYFUNCTION("GOOGLETRANSLATE(B2033,""en"",""zh"")"),"娱乐")</f>
        <v>娱乐</v>
      </c>
      <c r="I2033" s="2" t="str">
        <f ca="1">IFERROR(__xludf.DUMMYFUNCTION("GOOGLETRANSLATE(B2033,""en"",""gd"")"),"Cur-seachad")</f>
        <v>Cur-seachad</v>
      </c>
    </row>
    <row r="2034" spans="1:9" ht="14.25" customHeight="1" x14ac:dyDescent="0.3">
      <c r="A2034" s="2">
        <v>2033</v>
      </c>
      <c r="B2034" s="3" t="s">
        <v>2041</v>
      </c>
      <c r="C2034" s="2" t="str">
        <f ca="1">IFERROR(__xludf.DUMMYFUNCTION("GOOGLETRANSLATE(B2034, ""en"",""es"")"),"honesto")</f>
        <v>honesto</v>
      </c>
      <c r="D2034" s="2" t="str">
        <f ca="1">IFERROR(__xludf.DUMMYFUNCTION("GOOGLETRANSLATE(B2034,""en"",""ig"")"),"keeziokwu")</f>
        <v>keeziokwu</v>
      </c>
      <c r="E2034" s="2" t="str">
        <f ca="1">IFERROR(__xludf.DUMMYFUNCTION("GOOGLETRANSLATE(B2034,""en"",""fr"")"),"honnête")</f>
        <v>honnête</v>
      </c>
      <c r="F2034" s="2" t="str">
        <f ca="1">IFERROR(__xludf.DUMMYFUNCTION("GOOGLETRANSLATE(B2034,""en"",""it"")"),"onesto")</f>
        <v>onesto</v>
      </c>
      <c r="G2034" s="2" t="str">
        <f ca="1">IFERROR(__xludf.DUMMYFUNCTION("GOOGLETRANSLATE(B2034,""en"",""de"")"),"ehrlich")</f>
        <v>ehrlich</v>
      </c>
      <c r="H2034" s="2" t="str">
        <f ca="1">IFERROR(__xludf.DUMMYFUNCTION("GOOGLETRANSLATE(B2034,""en"",""zh"")"),"诚实的")</f>
        <v>诚实的</v>
      </c>
      <c r="I2034" s="2" t="str">
        <f ca="1">IFERROR(__xludf.DUMMYFUNCTION("GOOGLETRANSLATE(B2034,""en"",""gd"")"),"onarach")</f>
        <v>onarach</v>
      </c>
    </row>
    <row r="2035" spans="1:9" ht="14.25" customHeight="1" x14ac:dyDescent="0.3">
      <c r="A2035" s="2">
        <v>2034</v>
      </c>
      <c r="B2035" s="3" t="s">
        <v>2042</v>
      </c>
      <c r="C2035" s="2" t="str">
        <f ca="1">IFERROR(__xludf.DUMMYFUNCTION("GOOGLETRANSLATE(B2035, ""en"",""es"")"),"emprender")</f>
        <v>emprender</v>
      </c>
      <c r="D2035" s="2" t="str">
        <f ca="1">IFERROR(__xludf.DUMMYFUNCTION("GOOGLETRANSLATE(B2035,""en"",""ig"")"),"ibido")</f>
        <v>ibido</v>
      </c>
      <c r="E2035" s="2" t="str">
        <f ca="1">IFERROR(__xludf.DUMMYFUNCTION("GOOGLETRANSLATE(B2035,""en"",""fr"")"),"entreprendre")</f>
        <v>entreprendre</v>
      </c>
      <c r="F2035" s="2" t="str">
        <f ca="1">IFERROR(__xludf.DUMMYFUNCTION("GOOGLETRANSLATE(B2035,""en"",""it"")"),"intraprendere")</f>
        <v>intraprendere</v>
      </c>
      <c r="G2035" s="2" t="str">
        <f ca="1">IFERROR(__xludf.DUMMYFUNCTION("GOOGLETRANSLATE(B2035,""en"",""de"")"),"übernehmen")</f>
        <v>übernehmen</v>
      </c>
      <c r="H2035" s="2" t="str">
        <f ca="1">IFERROR(__xludf.DUMMYFUNCTION("GOOGLETRANSLATE(B2035,""en"",""zh"")"),"承担")</f>
        <v>承担</v>
      </c>
      <c r="I2035" s="2" t="str">
        <f ca="1">IFERROR(__xludf.DUMMYFUNCTION("GOOGLETRANSLATE(B2035,""en"",""gd"")"),"Dèan pàirt")</f>
        <v>Dèan pàirt</v>
      </c>
    </row>
    <row r="2036" spans="1:9" ht="14.25" customHeight="1" x14ac:dyDescent="0.3">
      <c r="A2036" s="2">
        <v>2035</v>
      </c>
      <c r="B2036" s="3" t="s">
        <v>2043</v>
      </c>
      <c r="C2036" s="2" t="str">
        <f ca="1">IFERROR(__xludf.DUMMYFUNCTION("GOOGLETRANSLATE(B2036, ""en"",""es"")"),"minorista")</f>
        <v>minorista</v>
      </c>
      <c r="D2036" s="2" t="str">
        <f ca="1">IFERROR(__xludf.DUMMYFUNCTION("GOOGLETRANSLATE(B2036,""en"",""ig"")"),"reteelu")</f>
        <v>reteelu</v>
      </c>
      <c r="E2036" s="2" t="str">
        <f ca="1">IFERROR(__xludf.DUMMYFUNCTION("GOOGLETRANSLATE(B2036,""en"",""fr"")"),"vente au détail")</f>
        <v>vente au détail</v>
      </c>
      <c r="F2036" s="2" t="str">
        <f ca="1">IFERROR(__xludf.DUMMYFUNCTION("GOOGLETRANSLATE(B2036,""en"",""it"")"),"vedere al dettaglio")</f>
        <v>vedere al dettaglio</v>
      </c>
      <c r="G2036" s="2" t="str">
        <f ca="1">IFERROR(__xludf.DUMMYFUNCTION("GOOGLETRANSLATE(B2036,""en"",""de"")"),"Einzelhandel")</f>
        <v>Einzelhandel</v>
      </c>
      <c r="H2036" s="2" t="str">
        <f ca="1">IFERROR(__xludf.DUMMYFUNCTION("GOOGLETRANSLATE(B2036,""en"",""zh"")"),"零售")</f>
        <v>零售</v>
      </c>
      <c r="I2036" s="2" t="str">
        <f ca="1">IFERROR(__xludf.DUMMYFUNCTION("GOOGLETRANSLATE(B2036,""en"",""gd"")"),"reic")</f>
        <v>reic</v>
      </c>
    </row>
    <row r="2037" spans="1:9" ht="14.25" customHeight="1" x14ac:dyDescent="0.3">
      <c r="A2037" s="2">
        <v>2036</v>
      </c>
      <c r="B2037" s="3" t="s">
        <v>2044</v>
      </c>
      <c r="C2037" s="2" t="str">
        <f ca="1">IFERROR(__xludf.DUMMYFUNCTION("GOOGLETRANSLATE(B2037, ""en"",""es"")"),"cable")</f>
        <v>cable</v>
      </c>
      <c r="D2037" s="2" t="str">
        <f ca="1">IFERROR(__xludf.DUMMYFUNCTION("GOOGLETRANSLATE(B2037,""en"",""ig"")"),"waya")</f>
        <v>waya</v>
      </c>
      <c r="E2037" s="2" t="str">
        <f ca="1">IFERROR(__xludf.DUMMYFUNCTION("GOOGLETRANSLATE(B2037,""en"",""fr"")"),"fil")</f>
        <v>fil</v>
      </c>
      <c r="F2037" s="2" t="str">
        <f ca="1">IFERROR(__xludf.DUMMYFUNCTION("GOOGLETRANSLATE(B2037,""en"",""it"")"),"filo")</f>
        <v>filo</v>
      </c>
      <c r="G2037" s="2" t="str">
        <f ca="1">IFERROR(__xludf.DUMMYFUNCTION("GOOGLETRANSLATE(B2037,""en"",""de"")"),"Draht")</f>
        <v>Draht</v>
      </c>
      <c r="H2037" s="2" t="str">
        <f ca="1">IFERROR(__xludf.DUMMYFUNCTION("GOOGLETRANSLATE(B2037,""en"",""zh"")"),"金属丝")</f>
        <v>金属丝</v>
      </c>
      <c r="I2037" s="2" t="str">
        <f ca="1">IFERROR(__xludf.DUMMYFUNCTION("GOOGLETRANSLATE(B2037,""en"",""gd"")"),"uèir")</f>
        <v>uèir</v>
      </c>
    </row>
    <row r="2038" spans="1:9" ht="14.25" customHeight="1" x14ac:dyDescent="0.3">
      <c r="A2038" s="2">
        <v>2037</v>
      </c>
      <c r="B2038" s="3" t="s">
        <v>2045</v>
      </c>
      <c r="C2038" s="2" t="str">
        <f ca="1">IFERROR(__xludf.DUMMYFUNCTION("GOOGLETRANSLATE(B2038, ""en"",""es"")"),"improbable")</f>
        <v>improbable</v>
      </c>
      <c r="D2038" s="2" t="str">
        <f ca="1">IFERROR(__xludf.DUMMYFUNCTION("GOOGLETRANSLATE(B2038,""en"",""ig"")"),"eleghi anya")</f>
        <v>eleghi anya</v>
      </c>
      <c r="E2038" s="2" t="str">
        <f ca="1">IFERROR(__xludf.DUMMYFUNCTION("GOOGLETRANSLATE(B2038,""en"",""fr"")"),"peu probable")</f>
        <v>peu probable</v>
      </c>
      <c r="F2038" s="2" t="str">
        <f ca="1">IFERROR(__xludf.DUMMYFUNCTION("GOOGLETRANSLATE(B2038,""en"",""it"")"),"improbabile")</f>
        <v>improbabile</v>
      </c>
      <c r="G2038" s="2" t="str">
        <f ca="1">IFERROR(__xludf.DUMMYFUNCTION("GOOGLETRANSLATE(B2038,""en"",""de"")"),"unwahrscheinlich")</f>
        <v>unwahrscheinlich</v>
      </c>
      <c r="H2038" s="2" t="str">
        <f ca="1">IFERROR(__xludf.DUMMYFUNCTION("GOOGLETRANSLATE(B2038,""en"",""zh"")"),"不太可能")</f>
        <v>不太可能</v>
      </c>
      <c r="I2038" s="2" t="str">
        <f ca="1">IFERROR(__xludf.DUMMYFUNCTION("GOOGLETRANSLATE(B2038,""en"",""gd"")"),"eu-coltach")</f>
        <v>eu-coltach</v>
      </c>
    </row>
    <row r="2039" spans="1:9" ht="14.25" customHeight="1" x14ac:dyDescent="0.3">
      <c r="A2039" s="2">
        <v>2038</v>
      </c>
      <c r="B2039" s="3" t="s">
        <v>2046</v>
      </c>
      <c r="C2039" s="2" t="str">
        <f ca="1">IFERROR(__xludf.DUMMYFUNCTION("GOOGLETRANSLATE(B2039, ""en"",""es"")"),"gay")</f>
        <v>gay</v>
      </c>
      <c r="D2039" s="2" t="str">
        <f ca="1">IFERROR(__xludf.DUMMYFUNCTION("GOOGLETRANSLATE(B2039,""en"",""ig"")"),"nwoke")</f>
        <v>nwoke</v>
      </c>
      <c r="E2039" s="2" t="str">
        <f ca="1">IFERROR(__xludf.DUMMYFUNCTION("GOOGLETRANSLATE(B2039,""en"",""fr"")"),"gay")</f>
        <v>gay</v>
      </c>
      <c r="F2039" s="2" t="str">
        <f ca="1">IFERROR(__xludf.DUMMYFUNCTION("GOOGLETRANSLATE(B2039,""en"",""it"")"),"gay")</f>
        <v>gay</v>
      </c>
      <c r="G2039" s="2" t="str">
        <f ca="1">IFERROR(__xludf.DUMMYFUNCTION("GOOGLETRANSLATE(B2039,""en"",""de"")"),"Fröhlich")</f>
        <v>Fröhlich</v>
      </c>
      <c r="H2039" s="2" t="str">
        <f ca="1">IFERROR(__xludf.DUMMYFUNCTION("GOOGLETRANSLATE(B2039,""en"",""zh"")"),"同性恋")</f>
        <v>同性恋</v>
      </c>
      <c r="I2039" s="2" t="str">
        <f ca="1">IFERROR(__xludf.DUMMYFUNCTION("GOOGLETRANSLATE(B2039,""en"",""gd"")"),"gay")</f>
        <v>gay</v>
      </c>
    </row>
    <row r="2040" spans="1:9" ht="14.25" customHeight="1" x14ac:dyDescent="0.3">
      <c r="A2040" s="2">
        <v>2039</v>
      </c>
      <c r="B2040" s="3" t="s">
        <v>2047</v>
      </c>
      <c r="C2040" s="2" t="str">
        <f ca="1">IFERROR(__xludf.DUMMYFUNCTION("GOOGLETRANSLATE(B2040, ""en"",""es"")"),"publicación")</f>
        <v>publicación</v>
      </c>
      <c r="D2040" s="2" t="str">
        <f ca="1">IFERROR(__xludf.DUMMYFUNCTION("GOOGLETRANSLATE(B2040,""en"",""ig"")"),"akwukwo ndeputa maka ogugu")</f>
        <v>akwukwo ndeputa maka ogugu</v>
      </c>
      <c r="E2040" s="2" t="str">
        <f ca="1">IFERROR(__xludf.DUMMYFUNCTION("GOOGLETRANSLATE(B2040,""en"",""fr"")"),"publication")</f>
        <v>publication</v>
      </c>
      <c r="F2040" s="2" t="str">
        <f ca="1">IFERROR(__xludf.DUMMYFUNCTION("GOOGLETRANSLATE(B2040,""en"",""it"")"),"pubblicazione")</f>
        <v>pubblicazione</v>
      </c>
      <c r="G2040" s="2" t="str">
        <f ca="1">IFERROR(__xludf.DUMMYFUNCTION("GOOGLETRANSLATE(B2040,""en"",""de"")"),"Veröffentlichung")</f>
        <v>Veröffentlichung</v>
      </c>
      <c r="H2040" s="2" t="str">
        <f ca="1">IFERROR(__xludf.DUMMYFUNCTION("GOOGLETRANSLATE(B2040,""en"",""zh"")"),"出版物")</f>
        <v>出版物</v>
      </c>
      <c r="I2040" s="2" t="str">
        <f ca="1">IFERROR(__xludf.DUMMYFUNCTION("GOOGLETRANSLATE(B2040,""en"",""gd"")"),"Foillseachadh")</f>
        <v>Foillseachadh</v>
      </c>
    </row>
    <row r="2041" spans="1:9" ht="14.25" customHeight="1" x14ac:dyDescent="0.3">
      <c r="A2041" s="2">
        <v>2040</v>
      </c>
      <c r="B2041" s="3" t="s">
        <v>2048</v>
      </c>
      <c r="C2041" s="2" t="str">
        <f ca="1">IFERROR(__xludf.DUMMYFUNCTION("GOOGLETRANSLATE(B2041, ""en"",""es"")"),"leve")</f>
        <v>leve</v>
      </c>
      <c r="D2041" s="2" t="str">
        <f ca="1">IFERROR(__xludf.DUMMYFUNCTION("GOOGLETRANSLATE(B2041,""en"",""ig"")"),"obere")</f>
        <v>obere</v>
      </c>
      <c r="E2041" s="2" t="str">
        <f ca="1">IFERROR(__xludf.DUMMYFUNCTION("GOOGLETRANSLATE(B2041,""en"",""fr"")"),"léger")</f>
        <v>léger</v>
      </c>
      <c r="F2041" s="2" t="str">
        <f ca="1">IFERROR(__xludf.DUMMYFUNCTION("GOOGLETRANSLATE(B2041,""en"",""it"")"),"lieve")</f>
        <v>lieve</v>
      </c>
      <c r="G2041" s="2" t="str">
        <f ca="1">IFERROR(__xludf.DUMMYFUNCTION("GOOGLETRANSLATE(B2041,""en"",""de"")"),"leicht")</f>
        <v>leicht</v>
      </c>
      <c r="H2041" s="2" t="str">
        <f ca="1">IFERROR(__xludf.DUMMYFUNCTION("GOOGLETRANSLATE(B2041,""en"",""zh"")"),"轻微")</f>
        <v>轻微</v>
      </c>
      <c r="I2041" s="2" t="str">
        <f ca="1">IFERROR(__xludf.DUMMYFUNCTION("GOOGLETRANSLATE(B2041,""en"",""gd"")"),"Beag air bheag")</f>
        <v>Beag air bheag</v>
      </c>
    </row>
    <row r="2042" spans="1:9" ht="14.25" customHeight="1" x14ac:dyDescent="0.3">
      <c r="A2042" s="2">
        <v>2041</v>
      </c>
      <c r="B2042" s="3" t="s">
        <v>2049</v>
      </c>
      <c r="C2042" s="2" t="str">
        <f ca="1">IFERROR(__xludf.DUMMYFUNCTION("GOOGLETRANSLATE(B2042, ""en"",""es"")"),"desconocido")</f>
        <v>desconocido</v>
      </c>
      <c r="D2042" s="2" t="str">
        <f ca="1">IFERROR(__xludf.DUMMYFUNCTION("GOOGLETRANSLATE(B2042,""en"",""ig"")"),"amaghi")</f>
        <v>amaghi</v>
      </c>
      <c r="E2042" s="2" t="str">
        <f ca="1">IFERROR(__xludf.DUMMYFUNCTION("GOOGLETRANSLATE(B2042,""en"",""fr"")"),"inconnu")</f>
        <v>inconnu</v>
      </c>
      <c r="F2042" s="2" t="str">
        <f ca="1">IFERROR(__xludf.DUMMYFUNCTION("GOOGLETRANSLATE(B2042,""en"",""it"")"),"sconosciuto")</f>
        <v>sconosciuto</v>
      </c>
      <c r="G2042" s="2" t="str">
        <f ca="1">IFERROR(__xludf.DUMMYFUNCTION("GOOGLETRANSLATE(B2042,""en"",""de"")"),"Unbekannt")</f>
        <v>Unbekannt</v>
      </c>
      <c r="H2042" s="2" t="str">
        <f ca="1">IFERROR(__xludf.DUMMYFUNCTION("GOOGLETRANSLATE(B2042,""en"",""zh"")"),"未知")</f>
        <v>未知</v>
      </c>
      <c r="I2042" s="2" t="str">
        <f ca="1">IFERROR(__xludf.DUMMYFUNCTION("GOOGLETRANSLATE(B2042,""en"",""gd"")"),"neo-aithnichte")</f>
        <v>neo-aithnichte</v>
      </c>
    </row>
    <row r="2043" spans="1:9" ht="14.25" customHeight="1" x14ac:dyDescent="0.3">
      <c r="A2043" s="2">
        <v>2042</v>
      </c>
      <c r="B2043" s="3" t="s">
        <v>2050</v>
      </c>
      <c r="C2043" s="2" t="str">
        <f ca="1">IFERROR(__xludf.DUMMYFUNCTION("GOOGLETRANSLATE(B2043, ""en"",""es"")"),"estructura")</f>
        <v>estructura</v>
      </c>
      <c r="D2043" s="2" t="str">
        <f ca="1">IFERROR(__xludf.DUMMYFUNCTION("GOOGLETRANSLATE(B2043,""en"",""ig"")"),"igba")</f>
        <v>igba</v>
      </c>
      <c r="E2043" s="2" t="str">
        <f ca="1">IFERROR(__xludf.DUMMYFUNCTION("GOOGLETRANSLATE(B2043,""en"",""fr"")"),"cadre")</f>
        <v>cadre</v>
      </c>
      <c r="F2043" s="2" t="str">
        <f ca="1">IFERROR(__xludf.DUMMYFUNCTION("GOOGLETRANSLATE(B2043,""en"",""it"")"),"struttura")</f>
        <v>struttura</v>
      </c>
      <c r="G2043" s="2" t="str">
        <f ca="1">IFERROR(__xludf.DUMMYFUNCTION("GOOGLETRANSLATE(B2043,""en"",""de"")"),"Rahmen")</f>
        <v>Rahmen</v>
      </c>
      <c r="H2043" s="2" t="str">
        <f ca="1">IFERROR(__xludf.DUMMYFUNCTION("GOOGLETRANSLATE(B2043,""en"",""zh"")"),"框架")</f>
        <v>框架</v>
      </c>
      <c r="I2043" s="2" t="str">
        <f ca="1">IFERROR(__xludf.DUMMYFUNCTION("GOOGLETRANSLATE(B2043,""en"",""gd"")"),"Frèam")</f>
        <v>Frèam</v>
      </c>
    </row>
    <row r="2044" spans="1:9" ht="14.25" customHeight="1" x14ac:dyDescent="0.3">
      <c r="A2044" s="2">
        <v>2043</v>
      </c>
      <c r="B2044" s="3" t="s">
        <v>2051</v>
      </c>
      <c r="C2044" s="2" t="str">
        <f ca="1">IFERROR(__xludf.DUMMYFUNCTION("GOOGLETRANSLATE(B2044, ""en"",""es"")"),"zona")</f>
        <v>zona</v>
      </c>
      <c r="D2044" s="2" t="str">
        <f ca="1">IFERROR(__xludf.DUMMYFUNCTION("GOOGLETRANSLATE(B2044,""en"",""ig"")"),"nkebi")</f>
        <v>nkebi</v>
      </c>
      <c r="E2044" s="2" t="str">
        <f ca="1">IFERROR(__xludf.DUMMYFUNCTION("GOOGLETRANSLATE(B2044,""en"",""fr"")"),"zone")</f>
        <v>zone</v>
      </c>
      <c r="F2044" s="2" t="str">
        <f ca="1">IFERROR(__xludf.DUMMYFUNCTION("GOOGLETRANSLATE(B2044,""en"",""it"")"),"zona")</f>
        <v>zona</v>
      </c>
      <c r="G2044" s="2" t="str">
        <f ca="1">IFERROR(__xludf.DUMMYFUNCTION("GOOGLETRANSLATE(B2044,""en"",""de"")"),"Zone")</f>
        <v>Zone</v>
      </c>
      <c r="H2044" s="2" t="str">
        <f ca="1">IFERROR(__xludf.DUMMYFUNCTION("GOOGLETRANSLATE(B2044,""en"",""zh"")"),"区")</f>
        <v>区</v>
      </c>
      <c r="I2044" s="2" t="str">
        <f ca="1">IFERROR(__xludf.DUMMYFUNCTION("GOOGLETRANSLATE(B2044,""en"",""gd"")"),"sòn")</f>
        <v>sòn</v>
      </c>
    </row>
    <row r="2045" spans="1:9" ht="14.25" customHeight="1" x14ac:dyDescent="0.3">
      <c r="A2045" s="2">
        <v>2044</v>
      </c>
      <c r="B2045" s="3" t="s">
        <v>2052</v>
      </c>
      <c r="C2045" s="2" t="str">
        <f ca="1">IFERROR(__xludf.DUMMYFUNCTION("GOOGLETRANSLATE(B2045, ""en"",""es"")"),"restringir")</f>
        <v>restringir</v>
      </c>
      <c r="D2045" s="2" t="str">
        <f ca="1">IFERROR(__xludf.DUMMYFUNCTION("GOOGLETRANSLATE(B2045,""en"",""ig"")"),"igbochi")</f>
        <v>igbochi</v>
      </c>
      <c r="E2045" s="2" t="str">
        <f ca="1">IFERROR(__xludf.DUMMYFUNCTION("GOOGLETRANSLATE(B2045,""en"",""fr"")"),"limiter")</f>
        <v>limiter</v>
      </c>
      <c r="F2045" s="2" t="str">
        <f ca="1">IFERROR(__xludf.DUMMYFUNCTION("GOOGLETRANSLATE(B2045,""en"",""it"")"),"limitare")</f>
        <v>limitare</v>
      </c>
      <c r="G2045" s="2" t="str">
        <f ca="1">IFERROR(__xludf.DUMMYFUNCTION("GOOGLETRANSLATE(B2045,""en"",""de"")"),"beschränken")</f>
        <v>beschränken</v>
      </c>
      <c r="H2045" s="2" t="str">
        <f ca="1">IFERROR(__xludf.DUMMYFUNCTION("GOOGLETRANSLATE(B2045,""en"",""zh"")"),"限制")</f>
        <v>限制</v>
      </c>
      <c r="I2045" s="2" t="str">
        <f ca="1">IFERROR(__xludf.DUMMYFUNCTION("GOOGLETRANSLATE(B2045,""en"",""gd"")"),"cuingealachadh")</f>
        <v>cuingealachadh</v>
      </c>
    </row>
    <row r="2046" spans="1:9" ht="14.25" customHeight="1" x14ac:dyDescent="0.3">
      <c r="A2046" s="2">
        <v>2045</v>
      </c>
      <c r="B2046" s="3" t="s">
        <v>2053</v>
      </c>
      <c r="C2046" s="2" t="str">
        <f ca="1">IFERROR(__xludf.DUMMYFUNCTION("GOOGLETRANSLATE(B2046, ""en"",""es"")"),"rastro")</f>
        <v>rastro</v>
      </c>
      <c r="D2046" s="2" t="str">
        <f ca="1">IFERROR(__xludf.DUMMYFUNCTION("GOOGLETRANSLATE(B2046,""en"",""ig"")"),"trace")</f>
        <v>trace</v>
      </c>
      <c r="E2046" s="2" t="str">
        <f ca="1">IFERROR(__xludf.DUMMYFUNCTION("GOOGLETRANSLATE(B2046,""en"",""fr"")"),"tracer")</f>
        <v>tracer</v>
      </c>
      <c r="F2046" s="2" t="str">
        <f ca="1">IFERROR(__xludf.DUMMYFUNCTION("GOOGLETRANSLATE(B2046,""en"",""it"")"),"traccia")</f>
        <v>traccia</v>
      </c>
      <c r="G2046" s="2" t="str">
        <f ca="1">IFERROR(__xludf.DUMMYFUNCTION("GOOGLETRANSLATE(B2046,""en"",""de"")"),"verfolgen")</f>
        <v>verfolgen</v>
      </c>
      <c r="H2046" s="2" t="str">
        <f ca="1">IFERROR(__xludf.DUMMYFUNCTION("GOOGLETRANSLATE(B2046,""en"",""zh"")"),"痕迹")</f>
        <v>痕迹</v>
      </c>
      <c r="I2046" s="2" t="str">
        <f ca="1">IFERROR(__xludf.DUMMYFUNCTION("GOOGLETRANSLATE(B2046,""en"",""gd"")"),"lorg")</f>
        <v>lorg</v>
      </c>
    </row>
    <row r="2047" spans="1:9" ht="14.25" customHeight="1" x14ac:dyDescent="0.3">
      <c r="A2047" s="2">
        <v>2046</v>
      </c>
      <c r="B2047" s="3" t="s">
        <v>2054</v>
      </c>
      <c r="C2047" s="2" t="str">
        <f ca="1">IFERROR(__xludf.DUMMYFUNCTION("GOOGLETRANSLATE(B2047, ""en"",""es"")"),"pulgada")</f>
        <v>pulgada</v>
      </c>
      <c r="D2047" s="2" t="str">
        <f ca="1">IFERROR(__xludf.DUMMYFUNCTION("GOOGLETRANSLATE(B2047,""en"",""ig"")"),"inch")</f>
        <v>inch</v>
      </c>
      <c r="E2047" s="2" t="str">
        <f ca="1">IFERROR(__xludf.DUMMYFUNCTION("GOOGLETRANSLATE(B2047,""en"",""fr"")"),"pouce")</f>
        <v>pouce</v>
      </c>
      <c r="F2047" s="2" t="str">
        <f ca="1">IFERROR(__xludf.DUMMYFUNCTION("GOOGLETRANSLATE(B2047,""en"",""it"")"),"pollice")</f>
        <v>pollice</v>
      </c>
      <c r="G2047" s="2" t="str">
        <f ca="1">IFERROR(__xludf.DUMMYFUNCTION("GOOGLETRANSLATE(B2047,""en"",""de"")"),"Zoll")</f>
        <v>Zoll</v>
      </c>
      <c r="H2047" s="2" t="str">
        <f ca="1">IFERROR(__xludf.DUMMYFUNCTION("GOOGLETRANSLATE(B2047,""en"",""zh"")"),"英寸")</f>
        <v>英寸</v>
      </c>
      <c r="I2047" s="2" t="str">
        <f ca="1">IFERROR(__xludf.DUMMYFUNCTION("GOOGLETRANSLATE(B2047,""en"",""gd"")"),"òirleach")</f>
        <v>òirleach</v>
      </c>
    </row>
    <row r="2048" spans="1:9" ht="14.25" customHeight="1" x14ac:dyDescent="0.3">
      <c r="A2048" s="2">
        <v>2047</v>
      </c>
      <c r="B2048" s="3" t="s">
        <v>2055</v>
      </c>
      <c r="C2048" s="2" t="str">
        <f ca="1">IFERROR(__xludf.DUMMYFUNCTION("GOOGLETRANSLATE(B2048, ""en"",""es"")"),"equivalente")</f>
        <v>equivalente</v>
      </c>
      <c r="D2048" s="2" t="str">
        <f ca="1">IFERROR(__xludf.DUMMYFUNCTION("GOOGLETRANSLATE(B2048,""en"",""ig"")"),"udinha")</f>
        <v>udinha</v>
      </c>
      <c r="E2048" s="2" t="str">
        <f ca="1">IFERROR(__xludf.DUMMYFUNCTION("GOOGLETRANSLATE(B2048,""en"",""fr"")"),"équivalent")</f>
        <v>équivalent</v>
      </c>
      <c r="F2048" s="2" t="str">
        <f ca="1">IFERROR(__xludf.DUMMYFUNCTION("GOOGLETRANSLATE(B2048,""en"",""it"")"),"equivalente")</f>
        <v>equivalente</v>
      </c>
      <c r="G2048" s="2" t="str">
        <f ca="1">IFERROR(__xludf.DUMMYFUNCTION("GOOGLETRANSLATE(B2048,""en"",""de"")"),"gleichwertig")</f>
        <v>gleichwertig</v>
      </c>
      <c r="H2048" s="2" t="str">
        <f ca="1">IFERROR(__xludf.DUMMYFUNCTION("GOOGLETRANSLATE(B2048,""en"",""zh"")"),"相等的")</f>
        <v>相等的</v>
      </c>
      <c r="I2048" s="2" t="str">
        <f ca="1">IFERROR(__xludf.DUMMYFUNCTION("GOOGLETRANSLATE(B2048,""en"",""gd"")"),"co-ionann")</f>
        <v>co-ionann</v>
      </c>
    </row>
    <row r="2049" spans="1:9" ht="14.25" customHeight="1" x14ac:dyDescent="0.3">
      <c r="A2049" s="2">
        <v>2048</v>
      </c>
      <c r="B2049" s="3" t="s">
        <v>2056</v>
      </c>
      <c r="C2049" s="2" t="str">
        <f ca="1">IFERROR(__xludf.DUMMYFUNCTION("GOOGLETRANSLATE(B2049, ""en"",""es"")"),"sólido")</f>
        <v>sólido</v>
      </c>
      <c r="D2049" s="2" t="str">
        <f ca="1">IFERROR(__xludf.DUMMYFUNCTION("GOOGLETRANSLATE(B2049,""en"",""ig"")"),"nke siriike")</f>
        <v>nke siriike</v>
      </c>
      <c r="E2049" s="2" t="str">
        <f ca="1">IFERROR(__xludf.DUMMYFUNCTION("GOOGLETRANSLATE(B2049,""en"",""fr"")"),"solide")</f>
        <v>solide</v>
      </c>
      <c r="F2049" s="2" t="str">
        <f ca="1">IFERROR(__xludf.DUMMYFUNCTION("GOOGLETRANSLATE(B2049,""en"",""it"")"),"solido")</f>
        <v>solido</v>
      </c>
      <c r="G2049" s="2" t="str">
        <f ca="1">IFERROR(__xludf.DUMMYFUNCTION("GOOGLETRANSLATE(B2049,""en"",""de"")"),"solide")</f>
        <v>solide</v>
      </c>
      <c r="H2049" s="2" t="str">
        <f ca="1">IFERROR(__xludf.DUMMYFUNCTION("GOOGLETRANSLATE(B2049,""en"",""zh"")"),"坚硬的")</f>
        <v>坚硬的</v>
      </c>
      <c r="I2049" s="2" t="str">
        <f ca="1">IFERROR(__xludf.DUMMYFUNCTION("GOOGLETRANSLATE(B2049,""en"",""gd"")"),"Solid")</f>
        <v>Solid</v>
      </c>
    </row>
    <row r="2050" spans="1:9" ht="14.25" customHeight="1" x14ac:dyDescent="0.3">
      <c r="A2050" s="2">
        <v>2049</v>
      </c>
      <c r="B2050" s="3" t="s">
        <v>2057</v>
      </c>
      <c r="C2050" s="2" t="str">
        <f ca="1">IFERROR(__xludf.DUMMYFUNCTION("GOOGLETRANSLATE(B2050, ""en"",""es"")"),"empresa")</f>
        <v>empresa</v>
      </c>
      <c r="D2050" s="2" t="str">
        <f ca="1">IFERROR(__xludf.DUMMYFUNCTION("GOOGLETRANSLATE(B2050,""en"",""ig"")"),"ulo ozuzu")</f>
        <v>ulo ozuzu</v>
      </c>
      <c r="E2050" s="2" t="str">
        <f ca="1">IFERROR(__xludf.DUMMYFUNCTION("GOOGLETRANSLATE(B2050,""en"",""fr"")"),"entreprise")</f>
        <v>entreprise</v>
      </c>
      <c r="F2050" s="2" t="str">
        <f ca="1">IFERROR(__xludf.DUMMYFUNCTION("GOOGLETRANSLATE(B2050,""en"",""it"")"),"impresa")</f>
        <v>impresa</v>
      </c>
      <c r="G2050" s="2" t="str">
        <f ca="1">IFERROR(__xludf.DUMMYFUNCTION("GOOGLETRANSLATE(B2050,""en"",""de"")"),"Unternehmen")</f>
        <v>Unternehmen</v>
      </c>
      <c r="H2050" s="2" t="str">
        <f ca="1">IFERROR(__xludf.DUMMYFUNCTION("GOOGLETRANSLATE(B2050,""en"",""zh"")"),"企业")</f>
        <v>企业</v>
      </c>
      <c r="I2050" s="2" t="str">
        <f ca="1">IFERROR(__xludf.DUMMYFUNCTION("GOOGLETRANSLATE(B2050,""en"",""gd"")"),"Iomairt")</f>
        <v>Iomairt</v>
      </c>
    </row>
    <row r="2051" spans="1:9" ht="14.25" customHeight="1" x14ac:dyDescent="0.3">
      <c r="A2051" s="2">
        <v>2050</v>
      </c>
      <c r="B2051" s="3" t="s">
        <v>2058</v>
      </c>
      <c r="C2051" s="2" t="str">
        <f ca="1">IFERROR(__xludf.DUMMYFUNCTION("GOOGLETRANSLATE(B2051, ""en"",""es"")"),"anciano")</f>
        <v>anciano</v>
      </c>
      <c r="D2051" s="2" t="str">
        <f ca="1">IFERROR(__xludf.DUMMYFUNCTION("GOOGLETRANSLATE(B2051,""en"",""ig"")"),"ndị okenye")</f>
        <v>ndị okenye</v>
      </c>
      <c r="E2051" s="2" t="str">
        <f ca="1">IFERROR(__xludf.DUMMYFUNCTION("GOOGLETRANSLATE(B2051,""en"",""fr"")"),"âgé")</f>
        <v>âgé</v>
      </c>
      <c r="F2051" s="2" t="str">
        <f ca="1">IFERROR(__xludf.DUMMYFUNCTION("GOOGLETRANSLATE(B2051,""en"",""it"")"),"anziano")</f>
        <v>anziano</v>
      </c>
      <c r="G2051" s="2" t="str">
        <f ca="1">IFERROR(__xludf.DUMMYFUNCTION("GOOGLETRANSLATE(B2051,""en"",""de"")"),"Alten")</f>
        <v>Alten</v>
      </c>
      <c r="H2051" s="2" t="str">
        <f ca="1">IFERROR(__xludf.DUMMYFUNCTION("GOOGLETRANSLATE(B2051,""en"",""zh"")"),"老年")</f>
        <v>老年</v>
      </c>
      <c r="I2051" s="2" t="str">
        <f ca="1">IFERROR(__xludf.DUMMYFUNCTION("GOOGLETRANSLATE(B2051,""en"",""gd"")"),"seann daoine")</f>
        <v>seann daoine</v>
      </c>
    </row>
    <row r="2052" spans="1:9" ht="14.25" customHeight="1" x14ac:dyDescent="0.3">
      <c r="A2052" s="2">
        <v>2051</v>
      </c>
      <c r="B2052" s="3" t="s">
        <v>2059</v>
      </c>
      <c r="C2052" s="2" t="str">
        <f ca="1">IFERROR(__xludf.DUMMYFUNCTION("GOOGLETRANSLATE(B2052, ""en"",""es"")"),"deber")</f>
        <v>deber</v>
      </c>
      <c r="D2052" s="2" t="str">
        <f ca="1">IFERROR(__xludf.DUMMYFUNCTION("GOOGLETRANSLATE(B2052,""en"",""ig"")"),"jiri")</f>
        <v>jiri</v>
      </c>
      <c r="E2052" s="2" t="str">
        <f ca="1">IFERROR(__xludf.DUMMYFUNCTION("GOOGLETRANSLATE(B2052,""en"",""fr"")"),"devoir")</f>
        <v>devoir</v>
      </c>
      <c r="F2052" s="2" t="str">
        <f ca="1">IFERROR(__xludf.DUMMYFUNCTION("GOOGLETRANSLATE(B2052,""en"",""it"")"),"essere debitore")</f>
        <v>essere debitore</v>
      </c>
      <c r="G2052" s="2" t="str">
        <f ca="1">IFERROR(__xludf.DUMMYFUNCTION("GOOGLETRANSLATE(B2052,""en"",""de"")"),"verdanken")</f>
        <v>verdanken</v>
      </c>
      <c r="H2052" s="2" t="str">
        <f ca="1">IFERROR(__xludf.DUMMYFUNCTION("GOOGLETRANSLATE(B2052,""en"",""zh"")"),"欠")</f>
        <v>欠</v>
      </c>
      <c r="I2052" s="2" t="str">
        <f ca="1">IFERROR(__xludf.DUMMYFUNCTION("GOOGLETRANSLATE(B2052,""en"",""gd"")"),"owe")</f>
        <v>owe</v>
      </c>
    </row>
    <row r="2053" spans="1:9" ht="14.25" customHeight="1" x14ac:dyDescent="0.3">
      <c r="A2053" s="2">
        <v>2052</v>
      </c>
      <c r="B2053" s="3" t="s">
        <v>2060</v>
      </c>
      <c r="C2053" s="2" t="str">
        <f ca="1">IFERROR(__xludf.DUMMYFUNCTION("GOOGLETRANSLATE(B2053, ""en"",""es"")"),"gobernador")</f>
        <v>gobernador</v>
      </c>
      <c r="D2053" s="2" t="str">
        <f ca="1">IFERROR(__xludf.DUMMYFUNCTION("GOOGLETRANSLATE(B2053,""en"",""ig"")"),"onye ochichi")</f>
        <v>onye ochichi</v>
      </c>
      <c r="E2053" s="2" t="str">
        <f ca="1">IFERROR(__xludf.DUMMYFUNCTION("GOOGLETRANSLATE(B2053,""en"",""fr"")"),"gouverneur")</f>
        <v>gouverneur</v>
      </c>
      <c r="F2053" s="2" t="str">
        <f ca="1">IFERROR(__xludf.DUMMYFUNCTION("GOOGLETRANSLATE(B2053,""en"",""it"")"),"governatore")</f>
        <v>governatore</v>
      </c>
      <c r="G2053" s="2" t="str">
        <f ca="1">IFERROR(__xludf.DUMMYFUNCTION("GOOGLETRANSLATE(B2053,""en"",""de"")"),"Gouverneur")</f>
        <v>Gouverneur</v>
      </c>
      <c r="H2053" s="2" t="str">
        <f ca="1">IFERROR(__xludf.DUMMYFUNCTION("GOOGLETRANSLATE(B2053,""en"",""zh"")"),"州长")</f>
        <v>州长</v>
      </c>
      <c r="I2053" s="2" t="str">
        <f ca="1">IFERROR(__xludf.DUMMYFUNCTION("GOOGLETRANSLATE(B2053,""en"",""gd"")"),"Riaghladair")</f>
        <v>Riaghladair</v>
      </c>
    </row>
    <row r="2054" spans="1:9" ht="14.25" customHeight="1" x14ac:dyDescent="0.3">
      <c r="A2054" s="2">
        <v>2053</v>
      </c>
      <c r="B2054" s="3" t="s">
        <v>2061</v>
      </c>
      <c r="C2054" s="2" t="str">
        <f ca="1">IFERROR(__xludf.DUMMYFUNCTION("GOOGLETRANSLATE(B2054, ""en"",""es"")"),"uniforme")</f>
        <v>uniforme</v>
      </c>
      <c r="D2054" s="2" t="str">
        <f ca="1">IFERROR(__xludf.DUMMYFUNCTION("GOOGLETRANSLATE(B2054,""en"",""ig"")"),"mbonotu")</f>
        <v>mbonotu</v>
      </c>
      <c r="E2054" s="2" t="str">
        <f ca="1">IFERROR(__xludf.DUMMYFUNCTION("GOOGLETRANSLATE(B2054,""en"",""fr"")"),"uniforme")</f>
        <v>uniforme</v>
      </c>
      <c r="F2054" s="2" t="str">
        <f ca="1">IFERROR(__xludf.DUMMYFUNCTION("GOOGLETRANSLATE(B2054,""en"",""it"")"),"uniforme")</f>
        <v>uniforme</v>
      </c>
      <c r="G2054" s="2" t="str">
        <f ca="1">IFERROR(__xludf.DUMMYFUNCTION("GOOGLETRANSLATE(B2054,""en"",""de"")"),"Uniform")</f>
        <v>Uniform</v>
      </c>
      <c r="H2054" s="2" t="str">
        <f ca="1">IFERROR(__xludf.DUMMYFUNCTION("GOOGLETRANSLATE(B2054,""en"",""zh"")"),"制服")</f>
        <v>制服</v>
      </c>
      <c r="I2054" s="2" t="str">
        <f ca="1">IFERROR(__xludf.DUMMYFUNCTION("GOOGLETRANSLATE(B2054,""en"",""gd"")"),"èideadh")</f>
        <v>èideadh</v>
      </c>
    </row>
    <row r="2055" spans="1:9" ht="14.25" customHeight="1" x14ac:dyDescent="0.3">
      <c r="A2055" s="2">
        <v>2054</v>
      </c>
      <c r="B2055" s="3" t="s">
        <v>2062</v>
      </c>
      <c r="C2055" s="2" t="str">
        <f ca="1">IFERROR(__xludf.DUMMYFUNCTION("GOOGLETRANSLATE(B2055, ""en"",""es"")"),"puerto")</f>
        <v>puerto</v>
      </c>
      <c r="D2055" s="2" t="str">
        <f ca="1">IFERROR(__xludf.DUMMYFUNCTION("GOOGLETRANSLATE(B2055,""en"",""ig"")"),"onu mmiri")</f>
        <v>onu mmiri</v>
      </c>
      <c r="E2055" s="2" t="str">
        <f ca="1">IFERROR(__xludf.DUMMYFUNCTION("GOOGLETRANSLATE(B2055,""en"",""fr"")"),"port")</f>
        <v>port</v>
      </c>
      <c r="F2055" s="2" t="str">
        <f ca="1">IFERROR(__xludf.DUMMYFUNCTION("GOOGLETRANSLATE(B2055,""en"",""it"")"),"porta")</f>
        <v>porta</v>
      </c>
      <c r="G2055" s="2" t="str">
        <f ca="1">IFERROR(__xludf.DUMMYFUNCTION("GOOGLETRANSLATE(B2055,""en"",""de"")"),"Hafen")</f>
        <v>Hafen</v>
      </c>
      <c r="H2055" s="2" t="str">
        <f ca="1">IFERROR(__xludf.DUMMYFUNCTION("GOOGLETRANSLATE(B2055,""en"",""zh"")"),"港口")</f>
        <v>港口</v>
      </c>
      <c r="I2055" s="2" t="str">
        <f ca="1">IFERROR(__xludf.DUMMYFUNCTION("GOOGLETRANSLATE(B2055,""en"",""gd"")"),"port")</f>
        <v>port</v>
      </c>
    </row>
    <row r="2056" spans="1:9" ht="14.25" customHeight="1" x14ac:dyDescent="0.3">
      <c r="A2056" s="2">
        <v>2055</v>
      </c>
      <c r="B2056" s="3" t="s">
        <v>2063</v>
      </c>
      <c r="C2056" s="2" t="str">
        <f ca="1">IFERROR(__xludf.DUMMYFUNCTION("GOOGLETRANSLATE(B2056, ""en"",""es"")"),"paso")</f>
        <v>paso</v>
      </c>
      <c r="D2056" s="2" t="str">
        <f ca="1">IFERROR(__xludf.DUMMYFUNCTION("GOOGLETRANSLATE(B2056,""en"",""ig"")"),"okwa olu")</f>
        <v>okwa olu</v>
      </c>
      <c r="E2056" s="2" t="str">
        <f ca="1">IFERROR(__xludf.DUMMYFUNCTION("GOOGLETRANSLATE(B2056,""en"",""fr"")"),"pas")</f>
        <v>pas</v>
      </c>
      <c r="F2056" s="2" t="str">
        <f ca="1">IFERROR(__xludf.DUMMYFUNCTION("GOOGLETRANSLATE(B2056,""en"",""it"")"),"pece")</f>
        <v>pece</v>
      </c>
      <c r="G2056" s="2" t="str">
        <f ca="1">IFERROR(__xludf.DUMMYFUNCTION("GOOGLETRANSLATE(B2056,""en"",""de"")"),"Tonhöhe")</f>
        <v>Tonhöhe</v>
      </c>
      <c r="H2056" s="2" t="str">
        <f ca="1">IFERROR(__xludf.DUMMYFUNCTION("GOOGLETRANSLATE(B2056,""en"",""zh"")"),"沥青")</f>
        <v>沥青</v>
      </c>
      <c r="I2056" s="2" t="str">
        <f ca="1">IFERROR(__xludf.DUMMYFUNCTION("GOOGLETRANSLATE(B2056,""en"",""gd"")"),"Pitch")</f>
        <v>Pitch</v>
      </c>
    </row>
    <row r="2057" spans="1:9" ht="14.25" customHeight="1" x14ac:dyDescent="0.3">
      <c r="A2057" s="2">
        <v>2056</v>
      </c>
      <c r="B2057" s="3" t="s">
        <v>2064</v>
      </c>
      <c r="C2057" s="2" t="str">
        <f ca="1">IFERROR(__xludf.DUMMYFUNCTION("GOOGLETRANSLATE(B2057, ""en"",""es"")"),"llegada")</f>
        <v>llegada</v>
      </c>
      <c r="D2057" s="2" t="str">
        <f ca="1">IFERROR(__xludf.DUMMYFUNCTION("GOOGLETRANSLATE(B2057,""en"",""ig"")"),"nlota")</f>
        <v>nlota</v>
      </c>
      <c r="E2057" s="2" t="str">
        <f ca="1">IFERROR(__xludf.DUMMYFUNCTION("GOOGLETRANSLATE(B2057,""en"",""fr"")"),"arrivée")</f>
        <v>arrivée</v>
      </c>
      <c r="F2057" s="2" t="str">
        <f ca="1">IFERROR(__xludf.DUMMYFUNCTION("GOOGLETRANSLATE(B2057,""en"",""it"")"),"arrivo")</f>
        <v>arrivo</v>
      </c>
      <c r="G2057" s="2" t="str">
        <f ca="1">IFERROR(__xludf.DUMMYFUNCTION("GOOGLETRANSLATE(B2057,""en"",""de"")"),"Ankunft")</f>
        <v>Ankunft</v>
      </c>
      <c r="H2057" s="2" t="str">
        <f ca="1">IFERROR(__xludf.DUMMYFUNCTION("GOOGLETRANSLATE(B2057,""en"",""zh"")"),"到达")</f>
        <v>到达</v>
      </c>
      <c r="I2057" s="2" t="str">
        <f ca="1">IFERROR(__xludf.DUMMYFUNCTION("GOOGLETRANSLATE(B2057,""en"",""gd"")"),"A 'ruighinn")</f>
        <v>A 'ruighinn</v>
      </c>
    </row>
    <row r="2058" spans="1:9" ht="14.25" customHeight="1" x14ac:dyDescent="0.3">
      <c r="A2058" s="2">
        <v>2057</v>
      </c>
      <c r="B2058" s="3" t="s">
        <v>2065</v>
      </c>
      <c r="C2058" s="2" t="str">
        <f ca="1">IFERROR(__xludf.DUMMYFUNCTION("GOOGLETRANSLATE(B2058, ""en"",""es"")"),"contemporáneo")</f>
        <v>contemporáneo</v>
      </c>
      <c r="D2058" s="2" t="str">
        <f ca="1">IFERROR(__xludf.DUMMYFUNCTION("GOOGLETRANSLATE(B2058,""en"",""ig"")"),"keomume")</f>
        <v>keomume</v>
      </c>
      <c r="E2058" s="2" t="str">
        <f ca="1">IFERROR(__xludf.DUMMYFUNCTION("GOOGLETRANSLATE(B2058,""en"",""fr"")"),"contemporain")</f>
        <v>contemporain</v>
      </c>
      <c r="F2058" s="2" t="str">
        <f ca="1">IFERROR(__xludf.DUMMYFUNCTION("GOOGLETRANSLATE(B2058,""en"",""it"")"),"contemporaneo")</f>
        <v>contemporaneo</v>
      </c>
      <c r="G2058" s="2" t="str">
        <f ca="1">IFERROR(__xludf.DUMMYFUNCTION("GOOGLETRANSLATE(B2058,""en"",""de"")"),"zeitgenössisch")</f>
        <v>zeitgenössisch</v>
      </c>
      <c r="H2058" s="2" t="str">
        <f ca="1">IFERROR(__xludf.DUMMYFUNCTION("GOOGLETRANSLATE(B2058,""en"",""zh"")"),"当代的")</f>
        <v>当代的</v>
      </c>
      <c r="I2058" s="2" t="str">
        <f ca="1">IFERROR(__xludf.DUMMYFUNCTION("GOOGLETRANSLATE(B2058,""en"",""gd"")"),"co-aimsireil")</f>
        <v>co-aimsireil</v>
      </c>
    </row>
    <row r="2059" spans="1:9" ht="14.25" customHeight="1" x14ac:dyDescent="0.3">
      <c r="A2059" s="2">
        <v>2058</v>
      </c>
      <c r="B2059" s="3" t="s">
        <v>2066</v>
      </c>
      <c r="C2059" s="2" t="str">
        <f ca="1">IFERROR(__xludf.DUMMYFUNCTION("GOOGLETRANSLATE(B2059, ""en"",""es"")"),"puerta")</f>
        <v>puerta</v>
      </c>
      <c r="D2059" s="2" t="str">
        <f ca="1">IFERROR(__xludf.DUMMYFUNCTION("GOOGLETRANSLATE(B2059,""en"",""ig"")"),"Ọnụ ụzọ")</f>
        <v>Ọnụ ụzọ</v>
      </c>
      <c r="E2059" s="2" t="str">
        <f ca="1">IFERROR(__xludf.DUMMYFUNCTION("GOOGLETRANSLATE(B2059,""en"",""fr"")"),"grille")</f>
        <v>grille</v>
      </c>
      <c r="F2059" s="2" t="str">
        <f ca="1">IFERROR(__xludf.DUMMYFUNCTION("GOOGLETRANSLATE(B2059,""en"",""it"")"),"cancello")</f>
        <v>cancello</v>
      </c>
      <c r="G2059" s="2" t="str">
        <f ca="1">IFERROR(__xludf.DUMMYFUNCTION("GOOGLETRANSLATE(B2059,""en"",""de"")"),"Tor")</f>
        <v>Tor</v>
      </c>
      <c r="H2059" s="2" t="str">
        <f ca="1">IFERROR(__xludf.DUMMYFUNCTION("GOOGLETRANSLATE(B2059,""en"",""zh"")"),"门")</f>
        <v>门</v>
      </c>
      <c r="I2059" s="2" t="str">
        <f ca="1">IFERROR(__xludf.DUMMYFUNCTION("GOOGLETRANSLATE(B2059,""en"",""gd"")"),"Geata")</f>
        <v>Geata</v>
      </c>
    </row>
    <row r="2060" spans="1:9" ht="14.25" customHeight="1" x14ac:dyDescent="0.3">
      <c r="A2060" s="2">
        <v>2059</v>
      </c>
      <c r="B2060" s="3" t="s">
        <v>2067</v>
      </c>
      <c r="C2060" s="2" t="str">
        <f ca="1">IFERROR(__xludf.DUMMYFUNCTION("GOOGLETRANSLATE(B2060, ""en"",""es"")"),"facilidad")</f>
        <v>facilidad</v>
      </c>
      <c r="D2060" s="2" t="str">
        <f ca="1">IFERROR(__xludf.DUMMYFUNCTION("GOOGLETRANSLATE(B2060,""en"",""ig"")"),"mfe")</f>
        <v>mfe</v>
      </c>
      <c r="E2060" s="2" t="str">
        <f ca="1">IFERROR(__xludf.DUMMYFUNCTION("GOOGLETRANSLATE(B2060,""en"",""fr"")"),"facilité")</f>
        <v>facilité</v>
      </c>
      <c r="F2060" s="2" t="str">
        <f ca="1">IFERROR(__xludf.DUMMYFUNCTION("GOOGLETRANSLATE(B2060,""en"",""it"")"),"sollievo")</f>
        <v>sollievo</v>
      </c>
      <c r="G2060" s="2" t="str">
        <f ca="1">IFERROR(__xludf.DUMMYFUNCTION("GOOGLETRANSLATE(B2060,""en"",""de"")"),"Leichtigkeit")</f>
        <v>Leichtigkeit</v>
      </c>
      <c r="H2060" s="2" t="str">
        <f ca="1">IFERROR(__xludf.DUMMYFUNCTION("GOOGLETRANSLATE(B2060,""en"",""zh"")"),"舒适")</f>
        <v>舒适</v>
      </c>
      <c r="I2060" s="2" t="str">
        <f ca="1">IFERROR(__xludf.DUMMYFUNCTION("GOOGLETRANSLATE(B2060,""en"",""gd"")"),"Ease")</f>
        <v>Ease</v>
      </c>
    </row>
    <row r="2061" spans="1:9" ht="14.25" customHeight="1" x14ac:dyDescent="0.3">
      <c r="A2061" s="2">
        <v>2060</v>
      </c>
      <c r="B2061" s="3" t="s">
        <v>2068</v>
      </c>
      <c r="C2061" s="2" t="str">
        <f ca="1">IFERROR(__xludf.DUMMYFUNCTION("GOOGLETRANSLATE(B2061, ""en"",""es"")"),"cerveza")</f>
        <v>cerveza</v>
      </c>
      <c r="D2061" s="2" t="str">
        <f ca="1">IFERROR(__xludf.DUMMYFUNCTION("GOOGLETRANSLATE(B2061,""en"",""ig"")"),"biya")</f>
        <v>biya</v>
      </c>
      <c r="E2061" s="2" t="str">
        <f ca="1">IFERROR(__xludf.DUMMYFUNCTION("GOOGLETRANSLATE(B2061,""en"",""fr"")"),"bière")</f>
        <v>bière</v>
      </c>
      <c r="F2061" s="2" t="str">
        <f ca="1">IFERROR(__xludf.DUMMYFUNCTION("GOOGLETRANSLATE(B2061,""en"",""it"")"),"birra")</f>
        <v>birra</v>
      </c>
      <c r="G2061" s="2" t="str">
        <f ca="1">IFERROR(__xludf.DUMMYFUNCTION("GOOGLETRANSLATE(B2061,""en"",""de"")"),"Bier")</f>
        <v>Bier</v>
      </c>
      <c r="H2061" s="2" t="str">
        <f ca="1">IFERROR(__xludf.DUMMYFUNCTION("GOOGLETRANSLATE(B2061,""en"",""zh"")"),"啤酒")</f>
        <v>啤酒</v>
      </c>
      <c r="I2061" s="2" t="str">
        <f ca="1">IFERROR(__xludf.DUMMYFUNCTION("GOOGLETRANSLATE(B2061,""en"",""gd"")"),"lionn")</f>
        <v>lionn</v>
      </c>
    </row>
    <row r="2062" spans="1:9" ht="14.25" customHeight="1" x14ac:dyDescent="0.3">
      <c r="A2062" s="2">
        <v>2061</v>
      </c>
      <c r="B2062" s="3" t="s">
        <v>2069</v>
      </c>
      <c r="C2062" s="2" t="str">
        <f ca="1">IFERROR(__xludf.DUMMYFUNCTION("GOOGLETRANSLATE(B2062, ""en"",""es"")"),"especialista")</f>
        <v>especialista</v>
      </c>
      <c r="D2062" s="2" t="str">
        <f ca="1">IFERROR(__xludf.DUMMYFUNCTION("GOOGLETRANSLATE(B2062,""en"",""ig"")"),"nwaanyi speshalist")</f>
        <v>nwaanyi speshalist</v>
      </c>
      <c r="E2062" s="2" t="str">
        <f ca="1">IFERROR(__xludf.DUMMYFUNCTION("GOOGLETRANSLATE(B2062,""en"",""fr"")"),"spécialiste")</f>
        <v>spécialiste</v>
      </c>
      <c r="F2062" s="2" t="str">
        <f ca="1">IFERROR(__xludf.DUMMYFUNCTION("GOOGLETRANSLATE(B2062,""en"",""it"")"),"specialista")</f>
        <v>specialista</v>
      </c>
      <c r="G2062" s="2" t="str">
        <f ca="1">IFERROR(__xludf.DUMMYFUNCTION("GOOGLETRANSLATE(B2062,""en"",""de"")"),"Spezialist")</f>
        <v>Spezialist</v>
      </c>
      <c r="H2062" s="2" t="str">
        <f ca="1">IFERROR(__xludf.DUMMYFUNCTION("GOOGLETRANSLATE(B2062,""en"",""zh"")"),"专家")</f>
        <v>专家</v>
      </c>
      <c r="I2062" s="2" t="str">
        <f ca="1">IFERROR(__xludf.DUMMYFUNCTION("GOOGLETRANSLATE(B2062,""en"",""gd"")"),"Speisealaiche")</f>
        <v>Speisealaiche</v>
      </c>
    </row>
    <row r="2063" spans="1:9" ht="14.25" customHeight="1" x14ac:dyDescent="0.3">
      <c r="A2063" s="2">
        <v>2062</v>
      </c>
      <c r="B2063" s="3" t="s">
        <v>2070</v>
      </c>
      <c r="C2063" s="2" t="str">
        <f ca="1">IFERROR(__xludf.DUMMYFUNCTION("GOOGLETRANSLATE(B2063, ""en"",""es"")"),"asegurar")</f>
        <v>asegurar</v>
      </c>
      <c r="D2063" s="2" t="str">
        <f ca="1">IFERROR(__xludf.DUMMYFUNCTION("GOOGLETRANSLATE(B2063,""en"",""ig"")"),"ikwe nkwa")</f>
        <v>ikwe nkwa</v>
      </c>
      <c r="E2063" s="2" t="str">
        <f ca="1">IFERROR(__xludf.DUMMYFUNCTION("GOOGLETRANSLATE(B2063,""en"",""fr"")"),"assurer")</f>
        <v>assurer</v>
      </c>
      <c r="F2063" s="2" t="str">
        <f ca="1">IFERROR(__xludf.DUMMYFUNCTION("GOOGLETRANSLATE(B2063,""en"",""it"")"),"assicurare")</f>
        <v>assicurare</v>
      </c>
      <c r="G2063" s="2" t="str">
        <f ca="1">IFERROR(__xludf.DUMMYFUNCTION("GOOGLETRANSLATE(B2063,""en"",""de"")"),"versichern")</f>
        <v>versichern</v>
      </c>
      <c r="H2063" s="2" t="str">
        <f ca="1">IFERROR(__xludf.DUMMYFUNCTION("GOOGLETRANSLATE(B2063,""en"",""zh"")"),"保证")</f>
        <v>保证</v>
      </c>
      <c r="I2063" s="2" t="str">
        <f ca="1">IFERROR(__xludf.DUMMYFUNCTION("GOOGLETRANSLATE(B2063,""en"",""gd"")"),"Mì-dhearbhadh")</f>
        <v>Mì-dhearbhadh</v>
      </c>
    </row>
    <row r="2064" spans="1:9" ht="14.25" customHeight="1" x14ac:dyDescent="0.3">
      <c r="A2064" s="2">
        <v>2063</v>
      </c>
      <c r="B2064" s="3" t="s">
        <v>2071</v>
      </c>
      <c r="C2064" s="2" t="str">
        <f ca="1">IFERROR(__xludf.DUMMYFUNCTION("GOOGLETRANSLATE(B2064, ""en"",""es"")"),"perfil")</f>
        <v>perfil</v>
      </c>
      <c r="D2064" s="2" t="str">
        <f ca="1">IFERROR(__xludf.DUMMYFUNCTION("GOOGLETRANSLATE(B2064,""en"",""ig"")"),"profili")</f>
        <v>profili</v>
      </c>
      <c r="E2064" s="2" t="str">
        <f ca="1">IFERROR(__xludf.DUMMYFUNCTION("GOOGLETRANSLATE(B2064,""en"",""fr"")"),"profil")</f>
        <v>profil</v>
      </c>
      <c r="F2064" s="2" t="str">
        <f ca="1">IFERROR(__xludf.DUMMYFUNCTION("GOOGLETRANSLATE(B2064,""en"",""it"")"),"profilo")</f>
        <v>profilo</v>
      </c>
      <c r="G2064" s="2" t="str">
        <f ca="1">IFERROR(__xludf.DUMMYFUNCTION("GOOGLETRANSLATE(B2064,""en"",""de"")"),"Profil")</f>
        <v>Profil</v>
      </c>
      <c r="H2064" s="2" t="str">
        <f ca="1">IFERROR(__xludf.DUMMYFUNCTION("GOOGLETRANSLATE(B2064,""en"",""zh"")"),"轮廓")</f>
        <v>轮廓</v>
      </c>
      <c r="I2064" s="2" t="str">
        <f ca="1">IFERROR(__xludf.DUMMYFUNCTION("GOOGLETRANSLATE(B2064,""en"",""gd"")"),"Pròifil")</f>
        <v>Pròifil</v>
      </c>
    </row>
    <row r="2065" spans="1:9" ht="14.25" customHeight="1" x14ac:dyDescent="0.3">
      <c r="A2065" s="2">
        <v>2064</v>
      </c>
      <c r="B2065" s="3" t="s">
        <v>2072</v>
      </c>
      <c r="C2065" s="2" t="str">
        <f ca="1">IFERROR(__xludf.DUMMYFUNCTION("GOOGLETRANSLATE(B2065, ""en"",""es"")"),"ánimo")</f>
        <v>ánimo</v>
      </c>
      <c r="D2065" s="2" t="str">
        <f ca="1">IFERROR(__xludf.DUMMYFUNCTION("GOOGLETRANSLATE(B2065,""en"",""ig"")"),"muudu")</f>
        <v>muudu</v>
      </c>
      <c r="E2065" s="2" t="str">
        <f ca="1">IFERROR(__xludf.DUMMYFUNCTION("GOOGLETRANSLATE(B2065,""en"",""fr"")"),"humeur")</f>
        <v>humeur</v>
      </c>
      <c r="F2065" s="2" t="str">
        <f ca="1">IFERROR(__xludf.DUMMYFUNCTION("GOOGLETRANSLATE(B2065,""en"",""it"")"),"Umore")</f>
        <v>Umore</v>
      </c>
      <c r="G2065" s="2" t="str">
        <f ca="1">IFERROR(__xludf.DUMMYFUNCTION("GOOGLETRANSLATE(B2065,""en"",""de"")"),"Stimmung")</f>
        <v>Stimmung</v>
      </c>
      <c r="H2065" s="2" t="str">
        <f ca="1">IFERROR(__xludf.DUMMYFUNCTION("GOOGLETRANSLATE(B2065,""en"",""zh"")"),"情绪")</f>
        <v>情绪</v>
      </c>
      <c r="I2065" s="2" t="str">
        <f ca="1">IFERROR(__xludf.DUMMYFUNCTION("GOOGLETRANSLATE(B2065,""en"",""gd"")"),"Mood")</f>
        <v>Mood</v>
      </c>
    </row>
    <row r="2066" spans="1:9" ht="14.25" customHeight="1" x14ac:dyDescent="0.3">
      <c r="A2066" s="2">
        <v>2065</v>
      </c>
      <c r="B2066" s="3" t="s">
        <v>2073</v>
      </c>
      <c r="C2066" s="2" t="str">
        <f ca="1">IFERROR(__xludf.DUMMYFUNCTION("GOOGLETRANSLATE(B2066, ""en"",""es"")"),"episodio")</f>
        <v>episodio</v>
      </c>
      <c r="D2066" s="2" t="str">
        <f ca="1">IFERROR(__xludf.DUMMYFUNCTION("GOOGLETRANSLATE(B2066,""en"",""ig"")"),"ihe omume")</f>
        <v>ihe omume</v>
      </c>
      <c r="E2066" s="2" t="str">
        <f ca="1">IFERROR(__xludf.DUMMYFUNCTION("GOOGLETRANSLATE(B2066,""en"",""fr"")"),"épisode")</f>
        <v>épisode</v>
      </c>
      <c r="F2066" s="2" t="str">
        <f ca="1">IFERROR(__xludf.DUMMYFUNCTION("GOOGLETRANSLATE(B2066,""en"",""it"")"),"episodio")</f>
        <v>episodio</v>
      </c>
      <c r="G2066" s="2" t="str">
        <f ca="1">IFERROR(__xludf.DUMMYFUNCTION("GOOGLETRANSLATE(B2066,""en"",""de"")"),"Folge")</f>
        <v>Folge</v>
      </c>
      <c r="H2066" s="2" t="str">
        <f ca="1">IFERROR(__xludf.DUMMYFUNCTION("GOOGLETRANSLATE(B2066,""en"",""zh"")"),"插曲")</f>
        <v>插曲</v>
      </c>
      <c r="I2066" s="2" t="str">
        <f ca="1">IFERROR(__xludf.DUMMYFUNCTION("GOOGLETRANSLATE(B2066,""en"",""gd"")"),"Episode")</f>
        <v>Episode</v>
      </c>
    </row>
    <row r="2067" spans="1:9" ht="14.25" customHeight="1" x14ac:dyDescent="0.3">
      <c r="A2067" s="2">
        <v>2066</v>
      </c>
      <c r="B2067" s="3" t="s">
        <v>2074</v>
      </c>
      <c r="C2067" s="2" t="str">
        <f ca="1">IFERROR(__xludf.DUMMYFUNCTION("GOOGLETRANSLATE(B2067, ""en"",""es"")"),"grieta")</f>
        <v>grieta</v>
      </c>
      <c r="D2067" s="2" t="str">
        <f ca="1">IFERROR(__xludf.DUMMYFUNCTION("GOOGLETRANSLATE(B2067,""en"",""ig"")"),"mgbape")</f>
        <v>mgbape</v>
      </c>
      <c r="E2067" s="2" t="str">
        <f ca="1">IFERROR(__xludf.DUMMYFUNCTION("GOOGLETRANSLATE(B2067,""en"",""fr"")"),"fissure")</f>
        <v>fissure</v>
      </c>
      <c r="F2067" s="2" t="str">
        <f ca="1">IFERROR(__xludf.DUMMYFUNCTION("GOOGLETRANSLATE(B2067,""en"",""it"")"),"crepa")</f>
        <v>crepa</v>
      </c>
      <c r="G2067" s="2" t="str">
        <f ca="1">IFERROR(__xludf.DUMMYFUNCTION("GOOGLETRANSLATE(B2067,""en"",""de"")"),"Riss")</f>
        <v>Riss</v>
      </c>
      <c r="H2067" s="2" t="str">
        <f ca="1">IFERROR(__xludf.DUMMYFUNCTION("GOOGLETRANSLATE(B2067,""en"",""zh"")"),"裂缝")</f>
        <v>裂缝</v>
      </c>
      <c r="I2067" s="2" t="str">
        <f ca="1">IFERROR(__xludf.DUMMYFUNCTION("GOOGLETRANSLATE(B2067,""en"",""gd"")"),"sgàineadh")</f>
        <v>sgàineadh</v>
      </c>
    </row>
    <row r="2068" spans="1:9" ht="14.25" customHeight="1" x14ac:dyDescent="0.3">
      <c r="A2068" s="2">
        <v>2067</v>
      </c>
      <c r="B2068" s="3" t="s">
        <v>2075</v>
      </c>
      <c r="C2068" s="2" t="str">
        <f ca="1">IFERROR(__xludf.DUMMYFUNCTION("GOOGLETRANSLATE(B2068, ""en"",""es"")"),"numeroso")</f>
        <v>numeroso</v>
      </c>
      <c r="D2068" s="2" t="str">
        <f ca="1">IFERROR(__xludf.DUMMYFUNCTION("GOOGLETRANSLATE(B2068,""en"",""ig"")"),"otutu")</f>
        <v>otutu</v>
      </c>
      <c r="E2068" s="2" t="str">
        <f ca="1">IFERROR(__xludf.DUMMYFUNCTION("GOOGLETRANSLATE(B2068,""en"",""fr"")"),"nombreux")</f>
        <v>nombreux</v>
      </c>
      <c r="F2068" s="2" t="str">
        <f ca="1">IFERROR(__xludf.DUMMYFUNCTION("GOOGLETRANSLATE(B2068,""en"",""it"")"),"numerose")</f>
        <v>numerose</v>
      </c>
      <c r="G2068" s="2" t="str">
        <f ca="1">IFERROR(__xludf.DUMMYFUNCTION("GOOGLETRANSLATE(B2068,""en"",""de"")"),"zahlreich")</f>
        <v>zahlreich</v>
      </c>
      <c r="H2068" s="2" t="str">
        <f ca="1">IFERROR(__xludf.DUMMYFUNCTION("GOOGLETRANSLATE(B2068,""en"",""zh"")"),"很多的")</f>
        <v>很多的</v>
      </c>
      <c r="I2068" s="2" t="str">
        <f ca="1">IFERROR(__xludf.DUMMYFUNCTION("GOOGLETRANSLATE(B2068,""en"",""gd"")"),"iomadach")</f>
        <v>iomadach</v>
      </c>
    </row>
    <row r="2069" spans="1:9" ht="14.25" customHeight="1" x14ac:dyDescent="0.3">
      <c r="A2069" s="2">
        <v>2068</v>
      </c>
      <c r="B2069" s="3" t="s">
        <v>2076</v>
      </c>
      <c r="C2069" s="2" t="str">
        <f ca="1">IFERROR(__xludf.DUMMYFUNCTION("GOOGLETRANSLATE(B2069, ""en"",""es"")"),"entregar")</f>
        <v>entregar</v>
      </c>
      <c r="D2069" s="2" t="str">
        <f ca="1">IFERROR(__xludf.DUMMYFUNCTION("GOOGLETRANSLATE(B2069,""en"",""ig"")"),"irubeisi")</f>
        <v>irubeisi</v>
      </c>
      <c r="E2069" s="2" t="str">
        <f ca="1">IFERROR(__xludf.DUMMYFUNCTION("GOOGLETRANSLATE(B2069,""en"",""fr"")"),"soumettre")</f>
        <v>soumettre</v>
      </c>
      <c r="F2069" s="2" t="str">
        <f ca="1">IFERROR(__xludf.DUMMYFUNCTION("GOOGLETRANSLATE(B2069,""en"",""it"")"),"invia")</f>
        <v>invia</v>
      </c>
      <c r="G2069" s="2" t="str">
        <f ca="1">IFERROR(__xludf.DUMMYFUNCTION("GOOGLETRANSLATE(B2069,""en"",""de"")"),"einreichen")</f>
        <v>einreichen</v>
      </c>
      <c r="H2069" s="2" t="str">
        <f ca="1">IFERROR(__xludf.DUMMYFUNCTION("GOOGLETRANSLATE(B2069,""en"",""zh"")"),"提交")</f>
        <v>提交</v>
      </c>
      <c r="I2069" s="2" t="str">
        <f ca="1">IFERROR(__xludf.DUMMYFUNCTION("GOOGLETRANSLATE(B2069,""en"",""gd"")"),"Cuir a-steach")</f>
        <v>Cuir a-steach</v>
      </c>
    </row>
    <row r="2070" spans="1:9" ht="14.25" customHeight="1" x14ac:dyDescent="0.3">
      <c r="A2070" s="2">
        <v>2069</v>
      </c>
      <c r="B2070" s="3" t="s">
        <v>2077</v>
      </c>
      <c r="C2070" s="2" t="str">
        <f ca="1">IFERROR(__xludf.DUMMYFUNCTION("GOOGLETRANSLATE(B2070, ""en"",""es"")"),"síntoma")</f>
        <v>síntoma</v>
      </c>
      <c r="D2070" s="2" t="str">
        <f ca="1">IFERROR(__xludf.DUMMYFUNCTION("GOOGLETRANSLATE(B2070,""en"",""ig"")"),"nziputa")</f>
        <v>nziputa</v>
      </c>
      <c r="E2070" s="2" t="str">
        <f ca="1">IFERROR(__xludf.DUMMYFUNCTION("GOOGLETRANSLATE(B2070,""en"",""fr"")"),"symptôme")</f>
        <v>symptôme</v>
      </c>
      <c r="F2070" s="2" t="str">
        <f ca="1">IFERROR(__xludf.DUMMYFUNCTION("GOOGLETRANSLATE(B2070,""en"",""it"")"),"sintomo")</f>
        <v>sintomo</v>
      </c>
      <c r="G2070" s="2" t="str">
        <f ca="1">IFERROR(__xludf.DUMMYFUNCTION("GOOGLETRANSLATE(B2070,""en"",""de"")"),"Symptom")</f>
        <v>Symptom</v>
      </c>
      <c r="H2070" s="2" t="str">
        <f ca="1">IFERROR(__xludf.DUMMYFUNCTION("GOOGLETRANSLATE(B2070,""en"",""zh"")"),"症状")</f>
        <v>症状</v>
      </c>
      <c r="I2070" s="2" t="str">
        <f ca="1">IFERROR(__xludf.DUMMYFUNCTION("GOOGLETRANSLATE(B2070,""en"",""gd"")"),"symptom")</f>
        <v>symptom</v>
      </c>
    </row>
    <row r="2071" spans="1:9" ht="14.25" customHeight="1" x14ac:dyDescent="0.3">
      <c r="A2071" s="2">
        <v>2070</v>
      </c>
      <c r="B2071" s="3" t="s">
        <v>2078</v>
      </c>
      <c r="C2071" s="2" t="str">
        <f ca="1">IFERROR(__xludf.DUMMYFUNCTION("GOOGLETRANSLATE(B2071, ""en"",""es"")"),"virtualmente")</f>
        <v>virtualmente</v>
      </c>
      <c r="D2071" s="2" t="str">
        <f ca="1">IFERROR(__xludf.DUMMYFUNCTION("GOOGLETRANSLATE(B2071,""en"",""ig"")"),"ihe nile")</f>
        <v>ihe nile</v>
      </c>
      <c r="E2071" s="2" t="str">
        <f ca="1">IFERROR(__xludf.DUMMYFUNCTION("GOOGLETRANSLATE(B2071,""en"",""fr"")"),"virtuellement")</f>
        <v>virtuellement</v>
      </c>
      <c r="F2071" s="2" t="str">
        <f ca="1">IFERROR(__xludf.DUMMYFUNCTION("GOOGLETRANSLATE(B2071,""en"",""it"")"),"virtualmente")</f>
        <v>virtualmente</v>
      </c>
      <c r="G2071" s="2" t="str">
        <f ca="1">IFERROR(__xludf.DUMMYFUNCTION("GOOGLETRANSLATE(B2071,""en"",""de"")"),"virtuell")</f>
        <v>virtuell</v>
      </c>
      <c r="H2071" s="2" t="str">
        <f ca="1">IFERROR(__xludf.DUMMYFUNCTION("GOOGLETRANSLATE(B2071,""en"",""zh"")"),"几乎")</f>
        <v>几乎</v>
      </c>
      <c r="I2071" s="2" t="str">
        <f ca="1">IFERROR(__xludf.DUMMYFUNCTION("GOOGLETRANSLATE(B2071,""en"",""gd"")"),"cha mhòr")</f>
        <v>cha mhòr</v>
      </c>
    </row>
    <row r="2072" spans="1:9" ht="14.25" customHeight="1" x14ac:dyDescent="0.3">
      <c r="A2072" s="2">
        <v>2071</v>
      </c>
      <c r="B2072" s="3" t="s">
        <v>2079</v>
      </c>
      <c r="C2072" s="2" t="str">
        <f ca="1">IFERROR(__xludf.DUMMYFUNCTION("GOOGLETRANSLATE(B2072, ""en"",""es"")"),"era")</f>
        <v>era</v>
      </c>
      <c r="D2072" s="2" t="str">
        <f ca="1">IFERROR(__xludf.DUMMYFUNCTION("GOOGLETRANSLATE(B2072,""en"",""ig"")"),"era")</f>
        <v>era</v>
      </c>
      <c r="E2072" s="2" t="str">
        <f ca="1">IFERROR(__xludf.DUMMYFUNCTION("GOOGLETRANSLATE(B2072,""en"",""fr"")"),"ère")</f>
        <v>ère</v>
      </c>
      <c r="F2072" s="2" t="str">
        <f ca="1">IFERROR(__xludf.DUMMYFUNCTION("GOOGLETRANSLATE(B2072,""en"",""it"")"),"era")</f>
        <v>era</v>
      </c>
      <c r="G2072" s="2" t="str">
        <f ca="1">IFERROR(__xludf.DUMMYFUNCTION("GOOGLETRANSLATE(B2072,""en"",""de"")"),"Epoche")</f>
        <v>Epoche</v>
      </c>
      <c r="H2072" s="2" t="str">
        <f ca="1">IFERROR(__xludf.DUMMYFUNCTION("GOOGLETRANSLATE(B2072,""en"",""zh"")"),"时代")</f>
        <v>时代</v>
      </c>
      <c r="I2072" s="2" t="str">
        <f ca="1">IFERROR(__xludf.DUMMYFUNCTION("GOOGLETRANSLATE(B2072,""en"",""gd"")"),"ERA")</f>
        <v>ERA</v>
      </c>
    </row>
    <row r="2073" spans="1:9" ht="14.25" customHeight="1" x14ac:dyDescent="0.3">
      <c r="A2073" s="2">
        <v>2072</v>
      </c>
      <c r="B2073" s="3" t="s">
        <v>2080</v>
      </c>
      <c r="C2073" s="2" t="str">
        <f ca="1">IFERROR(__xludf.DUMMYFUNCTION("GOOGLETRANSLATE(B2073, ""en"",""es"")"),"cobertura")</f>
        <v>cobertura</v>
      </c>
      <c r="D2073" s="2" t="str">
        <f ca="1">IFERROR(__xludf.DUMMYFUNCTION("GOOGLETRANSLATE(B2073,""en"",""ig"")"),"mkpuchi")</f>
        <v>mkpuchi</v>
      </c>
      <c r="E2073" s="2" t="str">
        <f ca="1">IFERROR(__xludf.DUMMYFUNCTION("GOOGLETRANSLATE(B2073,""en"",""fr"")"),"couverture")</f>
        <v>couverture</v>
      </c>
      <c r="F2073" s="2" t="str">
        <f ca="1">IFERROR(__xludf.DUMMYFUNCTION("GOOGLETRANSLATE(B2073,""en"",""it"")"),"copertura")</f>
        <v>copertura</v>
      </c>
      <c r="G2073" s="2" t="str">
        <f ca="1">IFERROR(__xludf.DUMMYFUNCTION("GOOGLETRANSLATE(B2073,""en"",""de"")"),"Berichterstattung")</f>
        <v>Berichterstattung</v>
      </c>
      <c r="H2073" s="2" t="str">
        <f ca="1">IFERROR(__xludf.DUMMYFUNCTION("GOOGLETRANSLATE(B2073,""en"",""zh"")"),"覆盖范围")</f>
        <v>覆盖范围</v>
      </c>
      <c r="I2073" s="2" t="str">
        <f ca="1">IFERROR(__xludf.DUMMYFUNCTION("GOOGLETRANSLATE(B2073,""en"",""gd"")"),"Còmhdach")</f>
        <v>Còmhdach</v>
      </c>
    </row>
    <row r="2074" spans="1:9" ht="14.25" customHeight="1" x14ac:dyDescent="0.3">
      <c r="A2074" s="2">
        <v>2073</v>
      </c>
      <c r="B2074" s="3" t="s">
        <v>2081</v>
      </c>
      <c r="C2074" s="2" t="str">
        <f ca="1">IFERROR(__xludf.DUMMYFUNCTION("GOOGLETRANSLATE(B2074, ""en"",""es"")"),"tensión")</f>
        <v>tensión</v>
      </c>
      <c r="D2074" s="2" t="str">
        <f ca="1">IFERROR(__xludf.DUMMYFUNCTION("GOOGLETRANSLATE(B2074,""en"",""ig"")"),"obimgbalielu")</f>
        <v>obimgbalielu</v>
      </c>
      <c r="E2074" s="2" t="str">
        <f ca="1">IFERROR(__xludf.DUMMYFUNCTION("GOOGLETRANSLATE(B2074,""en"",""fr"")"),"tension")</f>
        <v>tension</v>
      </c>
      <c r="F2074" s="2" t="str">
        <f ca="1">IFERROR(__xludf.DUMMYFUNCTION("GOOGLETRANSLATE(B2074,""en"",""it"")"),"tensione")</f>
        <v>tensione</v>
      </c>
      <c r="G2074" s="2" t="str">
        <f ca="1">IFERROR(__xludf.DUMMYFUNCTION("GOOGLETRANSLATE(B2074,""en"",""de"")"),"Spannung")</f>
        <v>Spannung</v>
      </c>
      <c r="H2074" s="2" t="str">
        <f ca="1">IFERROR(__xludf.DUMMYFUNCTION("GOOGLETRANSLATE(B2074,""en"",""zh"")"),"紧张")</f>
        <v>紧张</v>
      </c>
      <c r="I2074" s="2" t="str">
        <f ca="1">IFERROR(__xludf.DUMMYFUNCTION("GOOGLETRANSLATE(B2074,""en"",""gd"")"),"teannachadh")</f>
        <v>teannachadh</v>
      </c>
    </row>
    <row r="2075" spans="1:9" ht="14.25" customHeight="1" x14ac:dyDescent="0.3">
      <c r="A2075" s="2">
        <v>2074</v>
      </c>
      <c r="B2075" s="3" t="s">
        <v>2082</v>
      </c>
      <c r="C2075" s="2" t="str">
        <f ca="1">IFERROR(__xludf.DUMMYFUNCTION("GOOGLETRANSLATE(B2075, ""en"",""es"")"),"cable")</f>
        <v>cable</v>
      </c>
      <c r="D2075" s="2" t="str">
        <f ca="1">IFERROR(__xludf.DUMMYFUNCTION("GOOGLETRANSLATE(B2075,""en"",""ig"")"),"aya")</f>
        <v>aya</v>
      </c>
      <c r="E2075" s="2" t="str">
        <f ca="1">IFERROR(__xludf.DUMMYFUNCTION("GOOGLETRANSLATE(B2075,""en"",""fr"")"),"câble")</f>
        <v>câble</v>
      </c>
      <c r="F2075" s="2" t="str">
        <f ca="1">IFERROR(__xludf.DUMMYFUNCTION("GOOGLETRANSLATE(B2075,""en"",""it"")"),"cavo")</f>
        <v>cavo</v>
      </c>
      <c r="G2075" s="2" t="str">
        <f ca="1">IFERROR(__xludf.DUMMYFUNCTION("GOOGLETRANSLATE(B2075,""en"",""de"")"),"Kabel")</f>
        <v>Kabel</v>
      </c>
      <c r="H2075" s="2" t="str">
        <f ca="1">IFERROR(__xludf.DUMMYFUNCTION("GOOGLETRANSLATE(B2075,""en"",""zh"")"),"电缆")</f>
        <v>电缆</v>
      </c>
      <c r="I2075" s="2" t="str">
        <f ca="1">IFERROR(__xludf.DUMMYFUNCTION("GOOGLETRANSLATE(B2075,""en"",""gd"")"),"càball")</f>
        <v>càball</v>
      </c>
    </row>
    <row r="2076" spans="1:9" ht="14.25" customHeight="1" x14ac:dyDescent="0.3">
      <c r="A2076" s="2">
        <v>2075</v>
      </c>
      <c r="B2076" s="3" t="s">
        <v>2083</v>
      </c>
      <c r="C2076" s="2" t="str">
        <f ca="1">IFERROR(__xludf.DUMMYFUNCTION("GOOGLETRANSLATE(B2076, ""en"",""es"")"),"sensible")</f>
        <v>sensible</v>
      </c>
      <c r="D2076" s="2" t="str">
        <f ca="1">IFERROR(__xludf.DUMMYFUNCTION("GOOGLETRANSLATE(B2076,""en"",""ig"")"),"maka inweuche")</f>
        <v>maka inweuche</v>
      </c>
      <c r="E2076" s="2" t="str">
        <f ca="1">IFERROR(__xludf.DUMMYFUNCTION("GOOGLETRANSLATE(B2076,""en"",""fr"")"),"sensible")</f>
        <v>sensible</v>
      </c>
      <c r="F2076" s="2" t="str">
        <f ca="1">IFERROR(__xludf.DUMMYFUNCTION("GOOGLETRANSLATE(B2076,""en"",""it"")"),"sensibile")</f>
        <v>sensibile</v>
      </c>
      <c r="G2076" s="2" t="str">
        <f ca="1">IFERROR(__xludf.DUMMYFUNCTION("GOOGLETRANSLATE(B2076,""en"",""de"")"),"empfindlich")</f>
        <v>empfindlich</v>
      </c>
      <c r="H2076" s="2" t="str">
        <f ca="1">IFERROR(__xludf.DUMMYFUNCTION("GOOGLETRANSLATE(B2076,""en"",""zh"")"),"敏感的")</f>
        <v>敏感的</v>
      </c>
      <c r="I2076" s="2" t="str">
        <f ca="1">IFERROR(__xludf.DUMMYFUNCTION("GOOGLETRANSLATE(B2076,""en"",""gd"")"),"mothachail")</f>
        <v>mothachail</v>
      </c>
    </row>
    <row r="2077" spans="1:9" ht="14.25" customHeight="1" x14ac:dyDescent="0.3">
      <c r="A2077" s="2">
        <v>2076</v>
      </c>
      <c r="B2077" s="3" t="s">
        <v>2084</v>
      </c>
      <c r="C2077" s="2" t="str">
        <f ca="1">IFERROR(__xludf.DUMMYFUNCTION("GOOGLETRANSLATE(B2077, ""en"",""es"")"),"nervioso")</f>
        <v>nervioso</v>
      </c>
      <c r="D2077" s="2" t="str">
        <f ca="1">IFERROR(__xludf.DUMMYFUNCTION("GOOGLETRANSLATE(B2077,""en"",""ig"")"),"imaririri")</f>
        <v>imaririri</v>
      </c>
      <c r="E2077" s="2" t="str">
        <f ca="1">IFERROR(__xludf.DUMMYFUNCTION("GOOGLETRANSLATE(B2077,""en"",""fr"")"),"nerveux")</f>
        <v>nerveux</v>
      </c>
      <c r="F2077" s="2" t="str">
        <f ca="1">IFERROR(__xludf.DUMMYFUNCTION("GOOGLETRANSLATE(B2077,""en"",""it"")"),"nervoso")</f>
        <v>nervoso</v>
      </c>
      <c r="G2077" s="2" t="str">
        <f ca="1">IFERROR(__xludf.DUMMYFUNCTION("GOOGLETRANSLATE(B2077,""en"",""de"")"),"nervös")</f>
        <v>nervös</v>
      </c>
      <c r="H2077" s="2" t="str">
        <f ca="1">IFERROR(__xludf.DUMMYFUNCTION("GOOGLETRANSLATE(B2077,""en"",""zh"")"),"紧张的")</f>
        <v>紧张的</v>
      </c>
      <c r="I2077" s="2" t="str">
        <f ca="1">IFERROR(__xludf.DUMMYFUNCTION("GOOGLETRANSLATE(B2077,""en"",""gd"")"),"nearbhach")</f>
        <v>nearbhach</v>
      </c>
    </row>
    <row r="2078" spans="1:9" ht="14.25" customHeight="1" x14ac:dyDescent="0.3">
      <c r="A2078" s="2">
        <v>2077</v>
      </c>
      <c r="B2078" s="3" t="s">
        <v>2085</v>
      </c>
      <c r="C2078" s="2" t="str">
        <f ca="1">IFERROR(__xludf.DUMMYFUNCTION("GOOGLETRANSLATE(B2078, ""en"",""es"")"),"aporte")</f>
        <v>aporte</v>
      </c>
      <c r="D2078" s="2" t="str">
        <f ca="1">IFERROR(__xludf.DUMMYFUNCTION("GOOGLETRANSLATE(B2078,""en"",""ig"")"),"itinye ihe")</f>
        <v>itinye ihe</v>
      </c>
      <c r="E2078" s="2" t="str">
        <f ca="1">IFERROR(__xludf.DUMMYFUNCTION("GOOGLETRANSLATE(B2078,""en"",""fr"")"),"saisir")</f>
        <v>saisir</v>
      </c>
      <c r="F2078" s="2" t="str">
        <f ca="1">IFERROR(__xludf.DUMMYFUNCTION("GOOGLETRANSLATE(B2078,""en"",""it"")"),"ingresso")</f>
        <v>ingresso</v>
      </c>
      <c r="G2078" s="2" t="str">
        <f ca="1">IFERROR(__xludf.DUMMYFUNCTION("GOOGLETRANSLATE(B2078,""en"",""de"")"),"Eingang")</f>
        <v>Eingang</v>
      </c>
      <c r="H2078" s="2" t="str">
        <f ca="1">IFERROR(__xludf.DUMMYFUNCTION("GOOGLETRANSLATE(B2078,""en"",""zh"")"),"输入")</f>
        <v>输入</v>
      </c>
      <c r="I2078" s="2" t="str">
        <f ca="1">IFERROR(__xludf.DUMMYFUNCTION("GOOGLETRANSLATE(B2078,""en"",""gd"")"),"cuir a-steach")</f>
        <v>cuir a-steach</v>
      </c>
    </row>
    <row r="2079" spans="1:9" ht="14.25" customHeight="1" x14ac:dyDescent="0.3">
      <c r="A2079" s="2">
        <v>2078</v>
      </c>
      <c r="B2079" s="3" t="s">
        <v>2086</v>
      </c>
      <c r="C2079" s="2" t="str">
        <f ca="1">IFERROR(__xludf.DUMMYFUNCTION("GOOGLETRANSLATE(B2079, ""en"",""es"")"),"aislar")</f>
        <v>aislar</v>
      </c>
      <c r="D2079" s="2" t="str">
        <f ca="1">IFERROR(__xludf.DUMMYFUNCTION("GOOGLETRANSLATE(B2079,""en"",""ig"")"),"iwepu")</f>
        <v>iwepu</v>
      </c>
      <c r="E2079" s="2" t="str">
        <f ca="1">IFERROR(__xludf.DUMMYFUNCTION("GOOGLETRANSLATE(B2079,""en"",""fr"")"),"isoler")</f>
        <v>isoler</v>
      </c>
      <c r="F2079" s="2" t="str">
        <f ca="1">IFERROR(__xludf.DUMMYFUNCTION("GOOGLETRANSLATE(B2079,""en"",""it"")"),"isolato")</f>
        <v>isolato</v>
      </c>
      <c r="G2079" s="2" t="str">
        <f ca="1">IFERROR(__xludf.DUMMYFUNCTION("GOOGLETRANSLATE(B2079,""en"",""de"")"),"isolieren")</f>
        <v>isolieren</v>
      </c>
      <c r="H2079" s="2" t="str">
        <f ca="1">IFERROR(__xludf.DUMMYFUNCTION("GOOGLETRANSLATE(B2079,""en"",""zh"")"),"隔离")</f>
        <v>隔离</v>
      </c>
      <c r="I2079" s="2" t="str">
        <f ca="1">IFERROR(__xludf.DUMMYFUNCTION("GOOGLETRANSLATE(B2079,""en"",""gd"")"),"isolate")</f>
        <v>isolate</v>
      </c>
    </row>
    <row r="2080" spans="1:9" ht="14.25" customHeight="1" x14ac:dyDescent="0.3">
      <c r="A2080" s="2">
        <v>2079</v>
      </c>
      <c r="B2080" s="3" t="s">
        <v>2087</v>
      </c>
      <c r="C2080" s="2" t="str">
        <f ca="1">IFERROR(__xludf.DUMMYFUNCTION("GOOGLETRANSLATE(B2080, ""en"",""es"")"),"prisionero")</f>
        <v>prisionero</v>
      </c>
      <c r="D2080" s="2" t="str">
        <f ca="1">IFERROR(__xludf.DUMMYFUNCTION("GOOGLETRANSLATE(B2080,""en"",""ig"")"),"nwaanyi onye nkporo")</f>
        <v>nwaanyi onye nkporo</v>
      </c>
      <c r="E2080" s="2" t="str">
        <f ca="1">IFERROR(__xludf.DUMMYFUNCTION("GOOGLETRANSLATE(B2080,""en"",""fr"")"),"prisonnier")</f>
        <v>prisonnier</v>
      </c>
      <c r="F2080" s="2" t="str">
        <f ca="1">IFERROR(__xludf.DUMMYFUNCTION("GOOGLETRANSLATE(B2080,""en"",""it"")"),"prigioniero")</f>
        <v>prigioniero</v>
      </c>
      <c r="G2080" s="2" t="str">
        <f ca="1">IFERROR(__xludf.DUMMYFUNCTION("GOOGLETRANSLATE(B2080,""en"",""de"")"),"Häftling")</f>
        <v>Häftling</v>
      </c>
      <c r="H2080" s="2" t="str">
        <f ca="1">IFERROR(__xludf.DUMMYFUNCTION("GOOGLETRANSLATE(B2080,""en"",""zh"")"),"囚犯")</f>
        <v>囚犯</v>
      </c>
      <c r="I2080" s="2" t="str">
        <f ca="1">IFERROR(__xludf.DUMMYFUNCTION("GOOGLETRANSLATE(B2080,""en"",""gd"")"),"prìosanach")</f>
        <v>prìosanach</v>
      </c>
    </row>
    <row r="2081" spans="1:9" ht="14.25" customHeight="1" x14ac:dyDescent="0.3">
      <c r="A2081" s="2">
        <v>2080</v>
      </c>
      <c r="B2081" s="3" t="s">
        <v>2088</v>
      </c>
      <c r="C2081" s="2" t="str">
        <f ca="1">IFERROR(__xludf.DUMMYFUNCTION("GOOGLETRANSLATE(B2081, ""en"",""es"")"),"eliminar")</f>
        <v>eliminar</v>
      </c>
      <c r="D2081" s="2" t="str">
        <f ca="1">IFERROR(__xludf.DUMMYFUNCTION("GOOGLETRANSLATE(B2081,""en"",""ig"")"),"iwepu")</f>
        <v>iwepu</v>
      </c>
      <c r="E2081" s="2" t="str">
        <f ca="1">IFERROR(__xludf.DUMMYFUNCTION("GOOGLETRANSLATE(B2081,""en"",""fr"")"),"éliminer")</f>
        <v>éliminer</v>
      </c>
      <c r="F2081" s="2" t="str">
        <f ca="1">IFERROR(__xludf.DUMMYFUNCTION("GOOGLETRANSLATE(B2081,""en"",""it"")"),"eliminare")</f>
        <v>eliminare</v>
      </c>
      <c r="G2081" s="2" t="str">
        <f ca="1">IFERROR(__xludf.DUMMYFUNCTION("GOOGLETRANSLATE(B2081,""en"",""de"")"),"beseitigen")</f>
        <v>beseitigen</v>
      </c>
      <c r="H2081" s="2" t="str">
        <f ca="1">IFERROR(__xludf.DUMMYFUNCTION("GOOGLETRANSLATE(B2081,""en"",""zh"")"),"排除")</f>
        <v>排除</v>
      </c>
      <c r="I2081" s="2" t="str">
        <f ca="1">IFERROR(__xludf.DUMMYFUNCTION("GOOGLETRANSLATE(B2081,""en"",""gd"")"),"Cuir às do")</f>
        <v>Cuir às do</v>
      </c>
    </row>
    <row r="2082" spans="1:9" ht="14.25" customHeight="1" x14ac:dyDescent="0.3">
      <c r="A2082" s="2">
        <v>2081</v>
      </c>
      <c r="B2082" s="3" t="s">
        <v>2089</v>
      </c>
      <c r="C2082" s="2" t="str">
        <f ca="1">IFERROR(__xludf.DUMMYFUNCTION("GOOGLETRANSLATE(B2082, ""en"",""es"")"),"ajustado")</f>
        <v>ajustado</v>
      </c>
      <c r="D2082" s="2" t="str">
        <f ca="1">IFERROR(__xludf.DUMMYFUNCTION("GOOGLETRANSLATE(B2082,""en"",""ig"")"),"kenkesiike")</f>
        <v>kenkesiike</v>
      </c>
      <c r="E2082" s="2" t="str">
        <f ca="1">IFERROR(__xludf.DUMMYFUNCTION("GOOGLETRANSLATE(B2082,""en"",""fr"")"),"serré")</f>
        <v>serré</v>
      </c>
      <c r="F2082" s="2" t="str">
        <f ca="1">IFERROR(__xludf.DUMMYFUNCTION("GOOGLETRANSLATE(B2082,""en"",""it"")"),"stretto")</f>
        <v>stretto</v>
      </c>
      <c r="G2082" s="2" t="str">
        <f ca="1">IFERROR(__xludf.DUMMYFUNCTION("GOOGLETRANSLATE(B2082,""en"",""de"")"),"eng")</f>
        <v>eng</v>
      </c>
      <c r="H2082" s="2" t="str">
        <f ca="1">IFERROR(__xludf.DUMMYFUNCTION("GOOGLETRANSLATE(B2082,""en"",""zh"")"),"紧的")</f>
        <v>紧的</v>
      </c>
      <c r="I2082" s="2" t="str">
        <f ca="1">IFERROR(__xludf.DUMMYFUNCTION("GOOGLETRANSLATE(B2082,""en"",""gd"")"),"teann")</f>
        <v>teann</v>
      </c>
    </row>
    <row r="2083" spans="1:9" ht="14.25" customHeight="1" x14ac:dyDescent="0.3">
      <c r="A2083" s="2">
        <v>2082</v>
      </c>
      <c r="B2083" s="3" t="s">
        <v>2090</v>
      </c>
      <c r="C2083" s="2" t="str">
        <f ca="1">IFERROR(__xludf.DUMMYFUNCTION("GOOGLETRANSLATE(B2083, ""en"",""es"")"),"húmedo")</f>
        <v>húmedo</v>
      </c>
      <c r="D2083" s="2" t="str">
        <f ca="1">IFERROR(__xludf.DUMMYFUNCTION("GOOGLETRANSLATE(B2083,""en"",""ig"")"),"mmiri mmiri")</f>
        <v>mmiri mmiri</v>
      </c>
      <c r="E2083" s="2" t="str">
        <f ca="1">IFERROR(__xludf.DUMMYFUNCTION("GOOGLETRANSLATE(B2083,""en"",""fr"")"),"mouillé")</f>
        <v>mouillé</v>
      </c>
      <c r="F2083" s="2" t="str">
        <f ca="1">IFERROR(__xludf.DUMMYFUNCTION("GOOGLETRANSLATE(B2083,""en"",""it"")"),"Bagnato")</f>
        <v>Bagnato</v>
      </c>
      <c r="G2083" s="2" t="str">
        <f ca="1">IFERROR(__xludf.DUMMYFUNCTION("GOOGLETRANSLATE(B2083,""en"",""de"")"),"nass")</f>
        <v>nass</v>
      </c>
      <c r="H2083" s="2" t="str">
        <f ca="1">IFERROR(__xludf.DUMMYFUNCTION("GOOGLETRANSLATE(B2083,""en"",""zh"")"),"湿的")</f>
        <v>湿的</v>
      </c>
      <c r="I2083" s="2" t="str">
        <f ca="1">IFERROR(__xludf.DUMMYFUNCTION("GOOGLETRANSLATE(B2083,""en"",""gd"")"),"fliuch")</f>
        <v>fliuch</v>
      </c>
    </row>
    <row r="2084" spans="1:9" ht="14.25" customHeight="1" x14ac:dyDescent="0.3">
      <c r="A2084" s="2">
        <v>2083</v>
      </c>
      <c r="B2084" s="3" t="s">
        <v>2091</v>
      </c>
      <c r="C2084" s="2" t="str">
        <f ca="1">IFERROR(__xludf.DUMMYFUNCTION("GOOGLETRANSLATE(B2084, ""en"",""es"")"),"secundario")</f>
        <v>secundario</v>
      </c>
      <c r="D2084" s="2" t="str">
        <f ca="1">IFERROR(__xludf.DUMMYFUNCTION("GOOGLETRANSLATE(B2084,""en"",""ig"")"),"nsoje")</f>
        <v>nsoje</v>
      </c>
      <c r="E2084" s="2" t="str">
        <f ca="1">IFERROR(__xludf.DUMMYFUNCTION("GOOGLETRANSLATE(B2084,""en"",""fr"")"),"secondaire")</f>
        <v>secondaire</v>
      </c>
      <c r="F2084" s="2" t="str">
        <f ca="1">IFERROR(__xludf.DUMMYFUNCTION("GOOGLETRANSLATE(B2084,""en"",""it"")"),"secondario")</f>
        <v>secondario</v>
      </c>
      <c r="G2084" s="2" t="str">
        <f ca="1">IFERROR(__xludf.DUMMYFUNCTION("GOOGLETRANSLATE(B2084,""en"",""de"")"),"sekundär")</f>
        <v>sekundär</v>
      </c>
      <c r="H2084" s="2" t="str">
        <f ca="1">IFERROR(__xludf.DUMMYFUNCTION("GOOGLETRANSLATE(B2084,""en"",""zh"")"),"次要")</f>
        <v>次要</v>
      </c>
      <c r="I2084" s="2" t="str">
        <f ca="1">IFERROR(__xludf.DUMMYFUNCTION("GOOGLETRANSLATE(B2084,""en"",""gd"")"),"Àrd-sgoil")</f>
        <v>Àrd-sgoil</v>
      </c>
    </row>
    <row r="2085" spans="1:9" ht="14.25" customHeight="1" x14ac:dyDescent="0.3">
      <c r="A2085" s="2">
        <v>2084</v>
      </c>
      <c r="B2085" s="3" t="s">
        <v>2092</v>
      </c>
      <c r="C2085" s="2" t="str">
        <f ca="1">IFERROR(__xludf.DUMMYFUNCTION("GOOGLETRANSLATE(B2085, ""en"",""es"")"),"bienestar")</f>
        <v>bienestar</v>
      </c>
      <c r="D2085" s="2" t="str">
        <f ca="1">IFERROR(__xludf.DUMMYFUNCTION("GOOGLETRANSLATE(B2085,""en"",""ig"")"),"inwe mmasị")</f>
        <v>inwe mmasị</v>
      </c>
      <c r="E2085" s="2" t="str">
        <f ca="1">IFERROR(__xludf.DUMMYFUNCTION("GOOGLETRANSLATE(B2085,""en"",""fr"")"),"bien-être")</f>
        <v>bien-être</v>
      </c>
      <c r="F2085" s="2" t="str">
        <f ca="1">IFERROR(__xludf.DUMMYFUNCTION("GOOGLETRANSLATE(B2085,""en"",""it"")"),"benessere")</f>
        <v>benessere</v>
      </c>
      <c r="G2085" s="2" t="str">
        <f ca="1">IFERROR(__xludf.DUMMYFUNCTION("GOOGLETRANSLATE(B2085,""en"",""de"")"),"Wohlfahrt")</f>
        <v>Wohlfahrt</v>
      </c>
      <c r="H2085" s="2" t="str">
        <f ca="1">IFERROR(__xludf.DUMMYFUNCTION("GOOGLETRANSLATE(B2085,""en"",""zh"")"),"福利")</f>
        <v>福利</v>
      </c>
      <c r="I2085" s="2" t="str">
        <f ca="1">IFERROR(__xludf.DUMMYFUNCTION("GOOGLETRANSLATE(B2085,""en"",""gd"")"),"Sochair")</f>
        <v>Sochair</v>
      </c>
    </row>
    <row r="2086" spans="1:9" ht="14.25" customHeight="1" x14ac:dyDescent="0.3">
      <c r="A2086" s="2">
        <v>2085</v>
      </c>
      <c r="B2086" s="3" t="s">
        <v>2093</v>
      </c>
      <c r="C2086" s="2" t="str">
        <f ca="1">IFERROR(__xludf.DUMMYFUNCTION("GOOGLETRANSLATE(B2086, ""en"",""es"")"),"recluta")</f>
        <v>recluta</v>
      </c>
      <c r="D2086" s="2" t="str">
        <f ca="1">IFERROR(__xludf.DUMMYFUNCTION("GOOGLETRANSLATE(B2086,""en"",""ig"")"),"wee n'oru")</f>
        <v>wee n'oru</v>
      </c>
      <c r="E2086" s="2" t="str">
        <f ca="1">IFERROR(__xludf.DUMMYFUNCTION("GOOGLETRANSLATE(B2086,""en"",""fr"")"),"recruter")</f>
        <v>recruter</v>
      </c>
      <c r="F2086" s="2" t="str">
        <f ca="1">IFERROR(__xludf.DUMMYFUNCTION("GOOGLETRANSLATE(B2086,""en"",""it"")"),"reclutare")</f>
        <v>reclutare</v>
      </c>
      <c r="G2086" s="2" t="str">
        <f ca="1">IFERROR(__xludf.DUMMYFUNCTION("GOOGLETRANSLATE(B2086,""en"",""de"")"),"rekrutieren")</f>
        <v>rekrutieren</v>
      </c>
      <c r="H2086" s="2" t="str">
        <f ca="1">IFERROR(__xludf.DUMMYFUNCTION("GOOGLETRANSLATE(B2086,""en"",""zh"")"),"招募")</f>
        <v>招募</v>
      </c>
      <c r="I2086" s="2" t="str">
        <f ca="1">IFERROR(__xludf.DUMMYFUNCTION("GOOGLETRANSLATE(B2086,""en"",""gd"")"),"fastadh")</f>
        <v>fastadh</v>
      </c>
    </row>
    <row r="2087" spans="1:9" ht="14.25" customHeight="1" x14ac:dyDescent="0.3">
      <c r="A2087" s="2">
        <v>2086</v>
      </c>
      <c r="B2087" s="3" t="s">
        <v>2094</v>
      </c>
      <c r="C2087" s="2" t="str">
        <f ca="1">IFERROR(__xludf.DUMMYFUNCTION("GOOGLETRANSLATE(B2087, ""en"",""es"")"),"excluir")</f>
        <v>excluir</v>
      </c>
      <c r="D2087" s="2" t="str">
        <f ca="1">IFERROR(__xludf.DUMMYFUNCTION("GOOGLETRANSLATE(B2087,""en"",""ig"")"),"ewepu")</f>
        <v>ewepu</v>
      </c>
      <c r="E2087" s="2" t="str">
        <f ca="1">IFERROR(__xludf.DUMMYFUNCTION("GOOGLETRANSLATE(B2087,""en"",""fr"")"),"exclure")</f>
        <v>exclure</v>
      </c>
      <c r="F2087" s="2" t="str">
        <f ca="1">IFERROR(__xludf.DUMMYFUNCTION("GOOGLETRANSLATE(B2087,""en"",""it"")"),"escludere")</f>
        <v>escludere</v>
      </c>
      <c r="G2087" s="2" t="str">
        <f ca="1">IFERROR(__xludf.DUMMYFUNCTION("GOOGLETRANSLATE(B2087,""en"",""de"")"),"ausschließen")</f>
        <v>ausschließen</v>
      </c>
      <c r="H2087" s="2" t="str">
        <f ca="1">IFERROR(__xludf.DUMMYFUNCTION("GOOGLETRANSLATE(B2087,""en"",""zh"")"),"排除")</f>
        <v>排除</v>
      </c>
      <c r="I2087" s="2" t="str">
        <f ca="1">IFERROR(__xludf.DUMMYFUNCTION("GOOGLETRANSLATE(B2087,""en"",""gd"")"),"toirmeaste")</f>
        <v>toirmeaste</v>
      </c>
    </row>
    <row r="2088" spans="1:9" ht="14.25" customHeight="1" x14ac:dyDescent="0.3">
      <c r="A2088" s="2">
        <v>2087</v>
      </c>
      <c r="B2088" s="3" t="s">
        <v>2095</v>
      </c>
      <c r="C2088" s="2" t="str">
        <f ca="1">IFERROR(__xludf.DUMMYFUNCTION("GOOGLETRANSLATE(B2088, ""en"",""es"")"),"cadena")</f>
        <v>cadena</v>
      </c>
      <c r="D2088" s="2" t="str">
        <f ca="1">IFERROR(__xludf.DUMMYFUNCTION("GOOGLETRANSLATE(B2088,""en"",""ig"")"),"eriri")</f>
        <v>eriri</v>
      </c>
      <c r="E2088" s="2" t="str">
        <f ca="1">IFERROR(__xludf.DUMMYFUNCTION("GOOGLETRANSLATE(B2088,""en"",""fr"")"),"chaîne")</f>
        <v>chaîne</v>
      </c>
      <c r="F2088" s="2" t="str">
        <f ca="1">IFERROR(__xludf.DUMMYFUNCTION("GOOGLETRANSLATE(B2088,""en"",""it"")"),"corda")</f>
        <v>corda</v>
      </c>
      <c r="G2088" s="2" t="str">
        <f ca="1">IFERROR(__xludf.DUMMYFUNCTION("GOOGLETRANSLATE(B2088,""en"",""de"")"),"Saite")</f>
        <v>Saite</v>
      </c>
      <c r="H2088" s="2" t="str">
        <f ca="1">IFERROR(__xludf.DUMMYFUNCTION("GOOGLETRANSLATE(B2088,""en"",""zh"")"),"细绳")</f>
        <v>细绳</v>
      </c>
      <c r="I2088" s="2" t="str">
        <f ca="1">IFERROR(__xludf.DUMMYFUNCTION("GOOGLETRANSLATE(B2088,""en"",""gd"")"),"sreang")</f>
        <v>sreang</v>
      </c>
    </row>
    <row r="2089" spans="1:9" ht="14.25" customHeight="1" x14ac:dyDescent="0.3">
      <c r="A2089" s="2">
        <v>2088</v>
      </c>
      <c r="B2089" s="3" t="s">
        <v>2096</v>
      </c>
      <c r="C2089" s="2" t="str">
        <f ca="1">IFERROR(__xludf.DUMMYFUNCTION("GOOGLETRANSLATE(B2089, ""en"",""es"")"),"nube")</f>
        <v>nube</v>
      </c>
      <c r="D2089" s="2" t="str">
        <f ca="1">IFERROR(__xludf.DUMMYFUNCTION("GOOGLETRANSLATE(B2089,""en"",""ig"")"),"urupuru")</f>
        <v>urupuru</v>
      </c>
      <c r="E2089" s="2" t="str">
        <f ca="1">IFERROR(__xludf.DUMMYFUNCTION("GOOGLETRANSLATE(B2089,""en"",""fr"")"),"nuage")</f>
        <v>nuage</v>
      </c>
      <c r="F2089" s="2" t="str">
        <f ca="1">IFERROR(__xludf.DUMMYFUNCTION("GOOGLETRANSLATE(B2089,""en"",""it"")"),"nuvola")</f>
        <v>nuvola</v>
      </c>
      <c r="G2089" s="2" t="str">
        <f ca="1">IFERROR(__xludf.DUMMYFUNCTION("GOOGLETRANSLATE(B2089,""en"",""de"")"),"Wolke")</f>
        <v>Wolke</v>
      </c>
      <c r="H2089" s="2" t="str">
        <f ca="1">IFERROR(__xludf.DUMMYFUNCTION("GOOGLETRANSLATE(B2089,""en"",""zh"")"),"云")</f>
        <v>云</v>
      </c>
      <c r="I2089" s="2" t="str">
        <f ca="1">IFERROR(__xludf.DUMMYFUNCTION("GOOGLETRANSLATE(B2089,""en"",""gd"")"),"Cloud")</f>
        <v>Cloud</v>
      </c>
    </row>
    <row r="2090" spans="1:9" ht="14.25" customHeight="1" x14ac:dyDescent="0.3">
      <c r="A2090" s="2">
        <v>2089</v>
      </c>
      <c r="B2090" s="3" t="s">
        <v>2097</v>
      </c>
      <c r="C2090" s="2" t="str">
        <f ca="1">IFERROR(__xludf.DUMMYFUNCTION("GOOGLETRANSLATE(B2090, ""en"",""es"")"),"persuadir")</f>
        <v>persuadir</v>
      </c>
      <c r="D2090" s="2" t="str">
        <f ca="1">IFERROR(__xludf.DUMMYFUNCTION("GOOGLETRANSLATE(B2090,""en"",""ig"")"),"kwagide ya")</f>
        <v>kwagide ya</v>
      </c>
      <c r="E2090" s="2" t="str">
        <f ca="1">IFERROR(__xludf.DUMMYFUNCTION("GOOGLETRANSLATE(B2090,""en"",""fr"")"),"persuader")</f>
        <v>persuader</v>
      </c>
      <c r="F2090" s="2" t="str">
        <f ca="1">IFERROR(__xludf.DUMMYFUNCTION("GOOGLETRANSLATE(B2090,""en"",""it"")"),"persuadere")</f>
        <v>persuadere</v>
      </c>
      <c r="G2090" s="2" t="str">
        <f ca="1">IFERROR(__xludf.DUMMYFUNCTION("GOOGLETRANSLATE(B2090,""en"",""de"")"),"überreden")</f>
        <v>überreden</v>
      </c>
      <c r="H2090" s="2" t="str">
        <f ca="1">IFERROR(__xludf.DUMMYFUNCTION("GOOGLETRANSLATE(B2090,""en"",""zh"")"),"说服")</f>
        <v>说服</v>
      </c>
      <c r="I2090" s="2" t="str">
        <f ca="1">IFERROR(__xludf.DUMMYFUNCTION("GOOGLETRANSLATE(B2090,""en"",""gd"")"),"ìmpidh")</f>
        <v>ìmpidh</v>
      </c>
    </row>
    <row r="2091" spans="1:9" ht="14.25" customHeight="1" x14ac:dyDescent="0.3">
      <c r="A2091" s="2">
        <v>2090</v>
      </c>
      <c r="B2091" s="3" t="s">
        <v>2098</v>
      </c>
      <c r="C2091" s="2" t="str">
        <f ca="1">IFERROR(__xludf.DUMMYFUNCTION("GOOGLETRANSLATE(B2091, ""en"",""es"")"),"inspirar")</f>
        <v>inspirar</v>
      </c>
      <c r="D2091" s="2" t="str">
        <f ca="1">IFERROR(__xludf.DUMMYFUNCTION("GOOGLETRANSLATE(B2091,""en"",""ig"")"),"kpate mmuo")</f>
        <v>kpate mmuo</v>
      </c>
      <c r="E2091" s="2" t="str">
        <f ca="1">IFERROR(__xludf.DUMMYFUNCTION("GOOGLETRANSLATE(B2091,""en"",""fr"")"),"inspirer")</f>
        <v>inspirer</v>
      </c>
      <c r="F2091" s="2" t="str">
        <f ca="1">IFERROR(__xludf.DUMMYFUNCTION("GOOGLETRANSLATE(B2091,""en"",""it"")"),"ispirare")</f>
        <v>ispirare</v>
      </c>
      <c r="G2091" s="2" t="str">
        <f ca="1">IFERROR(__xludf.DUMMYFUNCTION("GOOGLETRANSLATE(B2091,""en"",""de"")"),"inspirieren")</f>
        <v>inspirieren</v>
      </c>
      <c r="H2091" s="2" t="str">
        <f ca="1">IFERROR(__xludf.DUMMYFUNCTION("GOOGLETRANSLATE(B2091,""en"",""zh"")"),"启发")</f>
        <v>启发</v>
      </c>
      <c r="I2091" s="2" t="str">
        <f ca="1">IFERROR(__xludf.DUMMYFUNCTION("GOOGLETRANSLATE(B2091,""en"",""gd"")"),"brosnachadh")</f>
        <v>brosnachadh</v>
      </c>
    </row>
    <row r="2092" spans="1:9" ht="14.25" customHeight="1" x14ac:dyDescent="0.3">
      <c r="A2092" s="2">
        <v>2091</v>
      </c>
      <c r="B2092" s="3" t="s">
        <v>2099</v>
      </c>
      <c r="C2092" s="2" t="str">
        <f ca="1">IFERROR(__xludf.DUMMYFUNCTION("GOOGLETRANSLATE(B2092, ""en"",""es"")"),"grandioso")</f>
        <v>grandioso</v>
      </c>
      <c r="D2092" s="2" t="str">
        <f ca="1">IFERROR(__xludf.DUMMYFUNCTION("GOOGLETRANSLATE(B2092,""en"",""ig"")"),"kwa")</f>
        <v>kwa</v>
      </c>
      <c r="E2092" s="2" t="str">
        <f ca="1">IFERROR(__xludf.DUMMYFUNCTION("GOOGLETRANSLATE(B2092,""en"",""fr"")"),"grandiose")</f>
        <v>grandiose</v>
      </c>
      <c r="F2092" s="2" t="str">
        <f ca="1">IFERROR(__xludf.DUMMYFUNCTION("GOOGLETRANSLATE(B2092,""en"",""it"")"),"mille dollari")</f>
        <v>mille dollari</v>
      </c>
      <c r="G2092" s="2" t="str">
        <f ca="1">IFERROR(__xludf.DUMMYFUNCTION("GOOGLETRANSLATE(B2092,""en"",""de"")"),"Grand")</f>
        <v>Grand</v>
      </c>
      <c r="H2092" s="2" t="str">
        <f ca="1">IFERROR(__xludf.DUMMYFUNCTION("GOOGLETRANSLATE(B2092,""en"",""zh"")"),"盛大")</f>
        <v>盛大</v>
      </c>
      <c r="I2092" s="2" t="str">
        <f ca="1">IFERROR(__xludf.DUMMYFUNCTION("GOOGLETRANSLATE(B2092,""en"",""gd"")"),"Grand")</f>
        <v>Grand</v>
      </c>
    </row>
    <row r="2093" spans="1:9" ht="14.25" customHeight="1" x14ac:dyDescent="0.3">
      <c r="A2093" s="2">
        <v>2092</v>
      </c>
      <c r="B2093" s="3" t="s">
        <v>2100</v>
      </c>
      <c r="C2093" s="2" t="str">
        <f ca="1">IFERROR(__xludf.DUMMYFUNCTION("GOOGLETRANSLATE(B2093, ""en"",""es"")"),"por eso")</f>
        <v>por eso</v>
      </c>
      <c r="D2093" s="2" t="str">
        <f ca="1">IFERROR(__xludf.DUMMYFUNCTION("GOOGLETRANSLATE(B2093,""en"",""ig"")"),"maka ya")</f>
        <v>maka ya</v>
      </c>
      <c r="E2093" s="2" t="str">
        <f ca="1">IFERROR(__xludf.DUMMYFUNCTION("GOOGLETRANSLATE(B2093,""en"",""fr"")"),"ainsi")</f>
        <v>ainsi</v>
      </c>
      <c r="F2093" s="2" t="str">
        <f ca="1">IFERROR(__xludf.DUMMYFUNCTION("GOOGLETRANSLATE(B2093,""en"",""it"")"),"quindi")</f>
        <v>quindi</v>
      </c>
      <c r="G2093" s="2" t="str">
        <f ca="1">IFERROR(__xludf.DUMMYFUNCTION("GOOGLETRANSLATE(B2093,""en"",""de"")"),"somit")</f>
        <v>somit</v>
      </c>
      <c r="H2093" s="2" t="str">
        <f ca="1">IFERROR(__xludf.DUMMYFUNCTION("GOOGLETRANSLATE(B2093,""en"",""zh"")"),"因此")</f>
        <v>因此</v>
      </c>
      <c r="I2093" s="2" t="str">
        <f ca="1">IFERROR(__xludf.DUMMYFUNCTION("GOOGLETRANSLATE(B2093,""en"",""gd"")"),"mar sin")</f>
        <v>mar sin</v>
      </c>
    </row>
    <row r="2094" spans="1:9" ht="14.25" customHeight="1" x14ac:dyDescent="0.3">
      <c r="A2094" s="2">
        <v>2093</v>
      </c>
      <c r="B2094" s="3" t="s">
        <v>2101</v>
      </c>
      <c r="C2094" s="2" t="str">
        <f ca="1">IFERROR(__xludf.DUMMYFUNCTION("GOOGLETRANSLATE(B2094, ""en"",""es"")"),"multitud")</f>
        <v>multitud</v>
      </c>
      <c r="D2094" s="2" t="str">
        <f ca="1">IFERROR(__xludf.DUMMYFUNCTION("GOOGLETRANSLATE(B2094,""en"",""ig"")"),"ndi oru ugbo")</f>
        <v>ndi oru ugbo</v>
      </c>
      <c r="E2094" s="2" t="str">
        <f ca="1">IFERROR(__xludf.DUMMYFUNCTION("GOOGLETRANSLATE(B2094,""en"",""fr"")"),"équipage")</f>
        <v>équipage</v>
      </c>
      <c r="F2094" s="2" t="str">
        <f ca="1">IFERROR(__xludf.DUMMYFUNCTION("GOOGLETRANSLATE(B2094,""en"",""it"")"),"equipaggio")</f>
        <v>equipaggio</v>
      </c>
      <c r="G2094" s="2" t="str">
        <f ca="1">IFERROR(__xludf.DUMMYFUNCTION("GOOGLETRANSLATE(B2094,""en"",""de"")"),"Besatzung")</f>
        <v>Besatzung</v>
      </c>
      <c r="H2094" s="2" t="str">
        <f ca="1">IFERROR(__xludf.DUMMYFUNCTION("GOOGLETRANSLATE(B2094,""en"",""zh"")"),"全体人员")</f>
        <v>全体人员</v>
      </c>
      <c r="I2094" s="2" t="str">
        <f ca="1">IFERROR(__xludf.DUMMYFUNCTION("GOOGLETRANSLATE(B2094,""en"",""gd"")"),"sgioba")</f>
        <v>sgioba</v>
      </c>
    </row>
    <row r="2095" spans="1:9" ht="14.25" customHeight="1" x14ac:dyDescent="0.3">
      <c r="A2095" s="2">
        <v>2094</v>
      </c>
      <c r="B2095" s="3" t="s">
        <v>2102</v>
      </c>
      <c r="C2095" s="2" t="str">
        <f ca="1">IFERROR(__xludf.DUMMYFUNCTION("GOOGLETRANSLATE(B2095, ""en"",""es"")"),"fenómeno")</f>
        <v>fenómeno</v>
      </c>
      <c r="D2095" s="2" t="str">
        <f ca="1">IFERROR(__xludf.DUMMYFUNCTION("GOOGLETRANSLATE(B2095,""en"",""ig"")"),"phenomenon")</f>
        <v>phenomenon</v>
      </c>
      <c r="E2095" s="2" t="str">
        <f ca="1">IFERROR(__xludf.DUMMYFUNCTION("GOOGLETRANSLATE(B2095,""en"",""fr"")"),"phénomène")</f>
        <v>phénomène</v>
      </c>
      <c r="F2095" s="2" t="str">
        <f ca="1">IFERROR(__xludf.DUMMYFUNCTION("GOOGLETRANSLATE(B2095,""en"",""it"")"),"fenomeno")</f>
        <v>fenomeno</v>
      </c>
      <c r="G2095" s="2" t="str">
        <f ca="1">IFERROR(__xludf.DUMMYFUNCTION("GOOGLETRANSLATE(B2095,""en"",""de"")"),"Phänomen")</f>
        <v>Phänomen</v>
      </c>
      <c r="H2095" s="2" t="str">
        <f ca="1">IFERROR(__xludf.DUMMYFUNCTION("GOOGLETRANSLATE(B2095,""en"",""zh"")"),"现象")</f>
        <v>现象</v>
      </c>
      <c r="I2095" s="2" t="str">
        <f ca="1">IFERROR(__xludf.DUMMYFUNCTION("GOOGLETRANSLATE(B2095,""en"",""gd"")"),"iongantas")</f>
        <v>iongantas</v>
      </c>
    </row>
    <row r="2096" spans="1:9" ht="14.25" customHeight="1" x14ac:dyDescent="0.3">
      <c r="A2096" s="2">
        <v>2095</v>
      </c>
      <c r="B2096" s="3" t="s">
        <v>2103</v>
      </c>
      <c r="C2096" s="2" t="str">
        <f ca="1">IFERROR(__xludf.DUMMYFUNCTION("GOOGLETRANSLATE(B2096, ""en"",""es"")"),"alumno")</f>
        <v>alumno</v>
      </c>
      <c r="D2096" s="2" t="str">
        <f ca="1">IFERROR(__xludf.DUMMYFUNCTION("GOOGLETRANSLATE(B2096,""en"",""ig"")"),"etiti anya")</f>
        <v>etiti anya</v>
      </c>
      <c r="E2096" s="2" t="str">
        <f ca="1">IFERROR(__xludf.DUMMYFUNCTION("GOOGLETRANSLATE(B2096,""en"",""fr"")"),"élève")</f>
        <v>élève</v>
      </c>
      <c r="F2096" s="2" t="str">
        <f ca="1">IFERROR(__xludf.DUMMYFUNCTION("GOOGLETRANSLATE(B2096,""en"",""it"")"),"allievo")</f>
        <v>allievo</v>
      </c>
      <c r="G2096" s="2" t="str">
        <f ca="1">IFERROR(__xludf.DUMMYFUNCTION("GOOGLETRANSLATE(B2096,""en"",""de"")"),"Schüler")</f>
        <v>Schüler</v>
      </c>
      <c r="H2096" s="2" t="str">
        <f ca="1">IFERROR(__xludf.DUMMYFUNCTION("GOOGLETRANSLATE(B2096,""en"",""zh"")"),"瞳孔")</f>
        <v>瞳孔</v>
      </c>
      <c r="I2096" s="2" t="str">
        <f ca="1">IFERROR(__xludf.DUMMYFUNCTION("GOOGLETRANSLATE(B2096,""en"",""gd"")"),"Sgoilear")</f>
        <v>Sgoilear</v>
      </c>
    </row>
    <row r="2097" spans="1:9" ht="14.25" customHeight="1" x14ac:dyDescent="0.3">
      <c r="A2097" s="2">
        <v>2096</v>
      </c>
      <c r="B2097" s="3" t="s">
        <v>2104</v>
      </c>
      <c r="C2097" s="2" t="str">
        <f ca="1">IFERROR(__xludf.DUMMYFUNCTION("GOOGLETRANSLATE(B2097, ""en"",""es"")"),"FALSO")</f>
        <v>FALSO</v>
      </c>
      <c r="D2097" s="2" t="str">
        <f ca="1">IFERROR(__xludf.DUMMYFUNCTION("GOOGLETRANSLATE(B2097,""en"",""ig"")"),"asi")</f>
        <v>asi</v>
      </c>
      <c r="E2097" s="2" t="str">
        <f ca="1">IFERROR(__xludf.DUMMYFUNCTION("GOOGLETRANSLATE(B2097,""en"",""fr"")"),"FAUX")</f>
        <v>FAUX</v>
      </c>
      <c r="F2097" s="2" t="str">
        <f ca="1">IFERROR(__xludf.DUMMYFUNCTION("GOOGLETRANSLATE(B2097,""en"",""it"")"),"falso")</f>
        <v>falso</v>
      </c>
      <c r="G2097" s="2" t="str">
        <f ca="1">IFERROR(__xludf.DUMMYFUNCTION("GOOGLETRANSLATE(B2097,""en"",""de"")"),"FALSCH")</f>
        <v>FALSCH</v>
      </c>
      <c r="H2097" s="2" t="str">
        <f ca="1">IFERROR(__xludf.DUMMYFUNCTION("GOOGLETRANSLATE(B2097,""en"",""zh"")"),"错误的")</f>
        <v>错误的</v>
      </c>
      <c r="I2097" s="2" t="str">
        <f ca="1">IFERROR(__xludf.DUMMYFUNCTION("GOOGLETRANSLATE(B2097,""en"",""gd"")"),"FALSE")</f>
        <v>FALSE</v>
      </c>
    </row>
    <row r="2098" spans="1:9" ht="14.25" customHeight="1" x14ac:dyDescent="0.3">
      <c r="A2098" s="2">
        <v>2097</v>
      </c>
      <c r="B2098" s="3" t="s">
        <v>2105</v>
      </c>
      <c r="C2098" s="2" t="str">
        <f ca="1">IFERROR(__xludf.DUMMYFUNCTION("GOOGLETRANSLATE(B2098, ""en"",""es"")"),"asistir")</f>
        <v>asistir</v>
      </c>
      <c r="D2098" s="2" t="str">
        <f ca="1">IFERROR(__xludf.DUMMYFUNCTION("GOOGLETRANSLATE(B2098,""en"",""ig"")"),"inyere aka")</f>
        <v>inyere aka</v>
      </c>
      <c r="E2098" s="2" t="str">
        <f ca="1">IFERROR(__xludf.DUMMYFUNCTION("GOOGLETRANSLATE(B2098,""en"",""fr"")"),"assister")</f>
        <v>assister</v>
      </c>
      <c r="F2098" s="2" t="str">
        <f ca="1">IFERROR(__xludf.DUMMYFUNCTION("GOOGLETRANSLATE(B2098,""en"",""it"")"),"assistere")</f>
        <v>assistere</v>
      </c>
      <c r="G2098" s="2" t="str">
        <f ca="1">IFERROR(__xludf.DUMMYFUNCTION("GOOGLETRANSLATE(B2098,""en"",""de"")"),"helfen")</f>
        <v>helfen</v>
      </c>
      <c r="H2098" s="2" t="str">
        <f ca="1">IFERROR(__xludf.DUMMYFUNCTION("GOOGLETRANSLATE(B2098,""en"",""zh"")"),"协助")</f>
        <v>协助</v>
      </c>
      <c r="I2098" s="2" t="str">
        <f ca="1">IFERROR(__xludf.DUMMYFUNCTION("GOOGLETRANSLATE(B2098,""en"",""gd"")"),"cuideachadh")</f>
        <v>cuideachadh</v>
      </c>
    </row>
    <row r="2099" spans="1:9" ht="14.25" customHeight="1" x14ac:dyDescent="0.3">
      <c r="A2099" s="2">
        <v>2098</v>
      </c>
      <c r="B2099" s="3" t="s">
        <v>2106</v>
      </c>
      <c r="C2099" s="2" t="str">
        <f ca="1">IFERROR(__xludf.DUMMYFUNCTION("GOOGLETRANSLATE(B2099, ""en"",""es"")"),"restaurar")</f>
        <v>restaurar</v>
      </c>
      <c r="D2099" s="2" t="str">
        <f ca="1">IFERROR(__xludf.DUMMYFUNCTION("GOOGLETRANSLATE(B2099,""en"",""ig"")"),"ikpoghachi")</f>
        <v>ikpoghachi</v>
      </c>
      <c r="E2099" s="2" t="str">
        <f ca="1">IFERROR(__xludf.DUMMYFUNCTION("GOOGLETRANSLATE(B2099,""en"",""fr"")"),"restaurer")</f>
        <v>restaurer</v>
      </c>
      <c r="F2099" s="2" t="str">
        <f ca="1">IFERROR(__xludf.DUMMYFUNCTION("GOOGLETRANSLATE(B2099,""en"",""it"")"),"ristabilire")</f>
        <v>ristabilire</v>
      </c>
      <c r="G2099" s="2" t="str">
        <f ca="1">IFERROR(__xludf.DUMMYFUNCTION("GOOGLETRANSLATE(B2099,""en"",""de"")"),"wiederherstellen")</f>
        <v>wiederherstellen</v>
      </c>
      <c r="H2099" s="2" t="str">
        <f ca="1">IFERROR(__xludf.DUMMYFUNCTION("GOOGLETRANSLATE(B2099,""en"",""zh"")"),"恢复")</f>
        <v>恢复</v>
      </c>
      <c r="I2099" s="2" t="str">
        <f ca="1">IFERROR(__xludf.DUMMYFUNCTION("GOOGLETRANSLATE(B2099,""en"",""gd"")"),"ath-nuadhachadh")</f>
        <v>ath-nuadhachadh</v>
      </c>
    </row>
    <row r="2100" spans="1:9" ht="14.25" customHeight="1" x14ac:dyDescent="0.3">
      <c r="A2100" s="2">
        <v>2099</v>
      </c>
      <c r="B2100" s="3" t="s">
        <v>2107</v>
      </c>
      <c r="C2100" s="2" t="str">
        <f ca="1">IFERROR(__xludf.DUMMYFUNCTION("GOOGLETRANSLATE(B2100, ""en"",""es"")"),"fórmula")</f>
        <v>fórmula</v>
      </c>
      <c r="D2100" s="2" t="str">
        <f ca="1">IFERROR(__xludf.DUMMYFUNCTION("GOOGLETRANSLATE(B2100,""en"",""ig"")"),"fomula")</f>
        <v>fomula</v>
      </c>
      <c r="E2100" s="2" t="str">
        <f ca="1">IFERROR(__xludf.DUMMYFUNCTION("GOOGLETRANSLATE(B2100,""en"",""fr"")"),"formule")</f>
        <v>formule</v>
      </c>
      <c r="F2100" s="2" t="str">
        <f ca="1">IFERROR(__xludf.DUMMYFUNCTION("GOOGLETRANSLATE(B2100,""en"",""it"")"),"formula")</f>
        <v>formula</v>
      </c>
      <c r="G2100" s="2" t="str">
        <f ca="1">IFERROR(__xludf.DUMMYFUNCTION("GOOGLETRANSLATE(B2100,""en"",""de"")"),"Formel")</f>
        <v>Formel</v>
      </c>
      <c r="H2100" s="2" t="str">
        <f ca="1">IFERROR(__xludf.DUMMYFUNCTION("GOOGLETRANSLATE(B2100,""en"",""zh"")"),"公式")</f>
        <v>公式</v>
      </c>
      <c r="I2100" s="2" t="str">
        <f ca="1">IFERROR(__xludf.DUMMYFUNCTION("GOOGLETRANSLATE(B2100,""en"",""gd"")"),"foirmle")</f>
        <v>foirmle</v>
      </c>
    </row>
    <row r="2101" spans="1:9" ht="14.25" customHeight="1" x14ac:dyDescent="0.3">
      <c r="A2101" s="2">
        <v>2100</v>
      </c>
      <c r="B2101" s="3" t="s">
        <v>2108</v>
      </c>
      <c r="C2101" s="2" t="str">
        <f ca="1">IFERROR(__xludf.DUMMYFUNCTION("GOOGLETRANSLATE(B2101, ""en"",""es"")"),"alterar")</f>
        <v>alterar</v>
      </c>
      <c r="D2101" s="2" t="str">
        <f ca="1">IFERROR(__xludf.DUMMYFUNCTION("GOOGLETRANSLATE(B2101,""en"",""ig"")"),"igbanwe")</f>
        <v>igbanwe</v>
      </c>
      <c r="E2101" s="2" t="str">
        <f ca="1">IFERROR(__xludf.DUMMYFUNCTION("GOOGLETRANSLATE(B2101,""en"",""fr"")"),"modifier")</f>
        <v>modifier</v>
      </c>
      <c r="F2101" s="2" t="str">
        <f ca="1">IFERROR(__xludf.DUMMYFUNCTION("GOOGLETRANSLATE(B2101,""en"",""it"")"),"altera")</f>
        <v>altera</v>
      </c>
      <c r="G2101" s="2" t="str">
        <f ca="1">IFERROR(__xludf.DUMMYFUNCTION("GOOGLETRANSLATE(B2101,""en"",""de"")"),"ändern")</f>
        <v>ändern</v>
      </c>
      <c r="H2101" s="2" t="str">
        <f ca="1">IFERROR(__xludf.DUMMYFUNCTION("GOOGLETRANSLATE(B2101,""en"",""zh"")"),"改变")</f>
        <v>改变</v>
      </c>
      <c r="I2101" s="2" t="str">
        <f ca="1">IFERROR(__xludf.DUMMYFUNCTION("GOOGLETRANSLATE(B2101,""en"",""gd"")"),"Alter")</f>
        <v>Alter</v>
      </c>
    </row>
    <row r="2102" spans="1:9" ht="14.25" customHeight="1" x14ac:dyDescent="0.3">
      <c r="A2102" s="2">
        <v>2101</v>
      </c>
      <c r="B2102" s="3" t="s">
        <v>2109</v>
      </c>
      <c r="C2102" s="2" t="str">
        <f ca="1">IFERROR(__xludf.DUMMYFUNCTION("GOOGLETRANSLATE(B2102, ""en"",""es"")"),"percibir")</f>
        <v>percibir</v>
      </c>
      <c r="D2102" s="2" t="str">
        <f ca="1">IFERROR(__xludf.DUMMYFUNCTION("GOOGLETRANSLATE(B2102,""en"",""ig"")"),"maranuche")</f>
        <v>maranuche</v>
      </c>
      <c r="E2102" s="2" t="str">
        <f ca="1">IFERROR(__xludf.DUMMYFUNCTION("GOOGLETRANSLATE(B2102,""en"",""fr"")"),"percevoir")</f>
        <v>percevoir</v>
      </c>
      <c r="F2102" s="2" t="str">
        <f ca="1">IFERROR(__xludf.DUMMYFUNCTION("GOOGLETRANSLATE(B2102,""en"",""it"")"),"percepire")</f>
        <v>percepire</v>
      </c>
      <c r="G2102" s="2" t="str">
        <f ca="1">IFERROR(__xludf.DUMMYFUNCTION("GOOGLETRANSLATE(B2102,""en"",""de"")"),"wahrnehmen")</f>
        <v>wahrnehmen</v>
      </c>
      <c r="H2102" s="2" t="str">
        <f ca="1">IFERROR(__xludf.DUMMYFUNCTION("GOOGLETRANSLATE(B2102,""en"",""zh"")"),"感知")</f>
        <v>感知</v>
      </c>
      <c r="I2102" s="2" t="str">
        <f ca="1">IFERROR(__xludf.DUMMYFUNCTION("GOOGLETRANSLATE(B2102,""en"",""gd"")"),"a 'faicinn")</f>
        <v>a 'faicinn</v>
      </c>
    </row>
    <row r="2103" spans="1:9" ht="14.25" customHeight="1" x14ac:dyDescent="0.3">
      <c r="A2103" s="2">
        <v>2102</v>
      </c>
      <c r="B2103" s="3" t="s">
        <v>2110</v>
      </c>
      <c r="C2103" s="2" t="str">
        <f ca="1">IFERROR(__xludf.DUMMYFUNCTION("GOOGLETRANSLATE(B2103, ""en"",""es"")"),"rutina")</f>
        <v>rutina</v>
      </c>
      <c r="D2103" s="2" t="str">
        <f ca="1">IFERROR(__xludf.DUMMYFUNCTION("GOOGLETRANSLATE(B2103,""en"",""ig"")"),"usoro imeihe")</f>
        <v>usoro imeihe</v>
      </c>
      <c r="E2103" s="2" t="str">
        <f ca="1">IFERROR(__xludf.DUMMYFUNCTION("GOOGLETRANSLATE(B2103,""en"",""fr"")"),"routine")</f>
        <v>routine</v>
      </c>
      <c r="F2103" s="2" t="str">
        <f ca="1">IFERROR(__xludf.DUMMYFUNCTION("GOOGLETRANSLATE(B2103,""en"",""it"")"),"routine")</f>
        <v>routine</v>
      </c>
      <c r="G2103" s="2" t="str">
        <f ca="1">IFERROR(__xludf.DUMMYFUNCTION("GOOGLETRANSLATE(B2103,""en"",""de"")"),"Routine")</f>
        <v>Routine</v>
      </c>
      <c r="H2103" s="2" t="str">
        <f ca="1">IFERROR(__xludf.DUMMYFUNCTION("GOOGLETRANSLATE(B2103,""en"",""zh"")"),"常规")</f>
        <v>常规</v>
      </c>
      <c r="I2103" s="2" t="str">
        <f ca="1">IFERROR(__xludf.DUMMYFUNCTION("GOOGLETRANSLATE(B2103,""en"",""gd"")"),"cleachdadh àbhaisteach")</f>
        <v>cleachdadh àbhaisteach</v>
      </c>
    </row>
    <row r="2104" spans="1:9" ht="14.25" customHeight="1" x14ac:dyDescent="0.3">
      <c r="A2104" s="2">
        <v>2103</v>
      </c>
      <c r="B2104" s="3" t="s">
        <v>2111</v>
      </c>
      <c r="C2104" s="2" t="str">
        <f ca="1">IFERROR(__xludf.DUMMYFUNCTION("GOOGLETRANSLATE(B2104, ""en"",""es"")"),"hundir")</f>
        <v>hundir</v>
      </c>
      <c r="D2104" s="2" t="str">
        <f ca="1">IFERROR(__xludf.DUMMYFUNCTION("GOOGLETRANSLATE(B2104,""en"",""ig"")"),"sink")</f>
        <v>sink</v>
      </c>
      <c r="E2104" s="2" t="str">
        <f ca="1">IFERROR(__xludf.DUMMYFUNCTION("GOOGLETRANSLATE(B2104,""en"",""fr"")"),"couler")</f>
        <v>couler</v>
      </c>
      <c r="F2104" s="2" t="str">
        <f ca="1">IFERROR(__xludf.DUMMYFUNCTION("GOOGLETRANSLATE(B2104,""en"",""it"")"),"lavello")</f>
        <v>lavello</v>
      </c>
      <c r="G2104" s="2" t="str">
        <f ca="1">IFERROR(__xludf.DUMMYFUNCTION("GOOGLETRANSLATE(B2104,""en"",""de"")"),"Waschbecken")</f>
        <v>Waschbecken</v>
      </c>
      <c r="H2104" s="2" t="str">
        <f ca="1">IFERROR(__xludf.DUMMYFUNCTION("GOOGLETRANSLATE(B2104,""en"",""zh"")"),"下沉")</f>
        <v>下沉</v>
      </c>
      <c r="I2104" s="2" t="str">
        <f ca="1">IFERROR(__xludf.DUMMYFUNCTION("GOOGLETRANSLATE(B2104,""en"",""gd"")"),"sin fodha")</f>
        <v>sin fodha</v>
      </c>
    </row>
    <row r="2105" spans="1:9" ht="14.25" customHeight="1" x14ac:dyDescent="0.3">
      <c r="A2105" s="2">
        <v>2104</v>
      </c>
      <c r="B2105" s="3" t="s">
        <v>2112</v>
      </c>
      <c r="C2105" s="2" t="str">
        <f ca="1">IFERROR(__xludf.DUMMYFUNCTION("GOOGLETRANSLATE(B2105, ""en"",""es"")"),"mirar fijamente")</f>
        <v>mirar fijamente</v>
      </c>
      <c r="D2105" s="2" t="str">
        <f ca="1">IFERROR(__xludf.DUMMYFUNCTION("GOOGLETRANSLATE(B2105,""en"",""ig"")"),"leezii")</f>
        <v>leezii</v>
      </c>
      <c r="E2105" s="2" t="str">
        <f ca="1">IFERROR(__xludf.DUMMYFUNCTION("GOOGLETRANSLATE(B2105,""en"",""fr"")"),"regard")</f>
        <v>regard</v>
      </c>
      <c r="F2105" s="2" t="str">
        <f ca="1">IFERROR(__xludf.DUMMYFUNCTION("GOOGLETRANSLATE(B2105,""en"",""it"")"),"fissare")</f>
        <v>fissare</v>
      </c>
      <c r="G2105" s="2" t="str">
        <f ca="1">IFERROR(__xludf.DUMMYFUNCTION("GOOGLETRANSLATE(B2105,""en"",""de"")"),"starren")</f>
        <v>starren</v>
      </c>
      <c r="H2105" s="2" t="str">
        <f ca="1">IFERROR(__xludf.DUMMYFUNCTION("GOOGLETRANSLATE(B2105,""en"",""zh"")"),"盯")</f>
        <v>盯</v>
      </c>
      <c r="I2105" s="2" t="str">
        <f ca="1">IFERROR(__xludf.DUMMYFUNCTION("GOOGLETRANSLATE(B2105,""en"",""gd"")"),"spleuchd")</f>
        <v>spleuchd</v>
      </c>
    </row>
    <row r="2106" spans="1:9" ht="14.25" customHeight="1" x14ac:dyDescent="0.3">
      <c r="A2106" s="2">
        <v>2105</v>
      </c>
      <c r="B2106" s="3" t="s">
        <v>2113</v>
      </c>
      <c r="C2106" s="2" t="str">
        <f ca="1">IFERROR(__xludf.DUMMYFUNCTION("GOOGLETRANSLATE(B2106, ""en"",""es"")"),"ya no")</f>
        <v>ya no</v>
      </c>
      <c r="D2106" s="2" t="str">
        <f ca="1">IFERROR(__xludf.DUMMYFUNCTION("GOOGLETRANSLATE(B2106,""en"",""ig"")"),"ozo")</f>
        <v>ozo</v>
      </c>
      <c r="E2106" s="2" t="str">
        <f ca="1">IFERROR(__xludf.DUMMYFUNCTION("GOOGLETRANSLATE(B2106,""en"",""fr"")"),"plus")</f>
        <v>plus</v>
      </c>
      <c r="F2106" s="2" t="str">
        <f ca="1">IFERROR(__xludf.DUMMYFUNCTION("GOOGLETRANSLATE(B2106,""en"",""it"")"),"più")</f>
        <v>più</v>
      </c>
      <c r="G2106" s="2" t="str">
        <f ca="1">IFERROR(__xludf.DUMMYFUNCTION("GOOGLETRANSLATE(B2106,""en"",""de"")"),"mehr")</f>
        <v>mehr</v>
      </c>
      <c r="H2106" s="2" t="str">
        <f ca="1">IFERROR(__xludf.DUMMYFUNCTION("GOOGLETRANSLATE(B2106,""en"",""zh"")"),"再过了")</f>
        <v>再过了</v>
      </c>
      <c r="I2106" s="2" t="str">
        <f ca="1">IFERROR(__xludf.DUMMYFUNCTION("GOOGLETRANSLATE(B2106,""en"",""gd"")"),"tuilleadh")</f>
        <v>tuilleadh</v>
      </c>
    </row>
    <row r="2107" spans="1:9" ht="14.25" customHeight="1" x14ac:dyDescent="0.3">
      <c r="A2107" s="2">
        <v>2106</v>
      </c>
      <c r="B2107" s="3" t="s">
        <v>2114</v>
      </c>
      <c r="C2107" s="2" t="str">
        <f ca="1">IFERROR(__xludf.DUMMYFUNCTION("GOOGLETRANSLATE(B2107, ""en"",""es"")"),"héroe")</f>
        <v>héroe</v>
      </c>
      <c r="D2107" s="2" t="str">
        <f ca="1">IFERROR(__xludf.DUMMYFUNCTION("GOOGLETRANSLATE(B2107,""en"",""ig"")"),"odogwu")</f>
        <v>odogwu</v>
      </c>
      <c r="E2107" s="2" t="str">
        <f ca="1">IFERROR(__xludf.DUMMYFUNCTION("GOOGLETRANSLATE(B2107,""en"",""fr"")"),"héros")</f>
        <v>héros</v>
      </c>
      <c r="F2107" s="2" t="str">
        <f ca="1">IFERROR(__xludf.DUMMYFUNCTION("GOOGLETRANSLATE(B2107,""en"",""it"")"),"eroe")</f>
        <v>eroe</v>
      </c>
      <c r="G2107" s="2" t="str">
        <f ca="1">IFERROR(__xludf.DUMMYFUNCTION("GOOGLETRANSLATE(B2107,""en"",""de"")"),"Held")</f>
        <v>Held</v>
      </c>
      <c r="H2107" s="2" t="str">
        <f ca="1">IFERROR(__xludf.DUMMYFUNCTION("GOOGLETRANSLATE(B2107,""en"",""zh"")"),"英雄")</f>
        <v>英雄</v>
      </c>
      <c r="I2107" s="2" t="str">
        <f ca="1">IFERROR(__xludf.DUMMYFUNCTION("GOOGLETRANSLATE(B2107,""en"",""gd"")"),"gaisgeach")</f>
        <v>gaisgeach</v>
      </c>
    </row>
    <row r="2108" spans="1:9" ht="14.25" customHeight="1" x14ac:dyDescent="0.3">
      <c r="A2108" s="2">
        <v>2107</v>
      </c>
      <c r="B2108" s="3" t="s">
        <v>2115</v>
      </c>
      <c r="C2108" s="2" t="str">
        <f ca="1">IFERROR(__xludf.DUMMYFUNCTION("GOOGLETRANSLATE(B2108, ""en"",""es"")"),"seguidor")</f>
        <v>seguidor</v>
      </c>
      <c r="D2108" s="2" t="str">
        <f ca="1">IFERROR(__xludf.DUMMYFUNCTION("GOOGLETRANSLATE(B2108,""en"",""ig"")"),"onye nkwado")</f>
        <v>onye nkwado</v>
      </c>
      <c r="E2108" s="2" t="str">
        <f ca="1">IFERROR(__xludf.DUMMYFUNCTION("GOOGLETRANSLATE(B2108,""en"",""fr"")"),"Supporter")</f>
        <v>Supporter</v>
      </c>
      <c r="F2108" s="2" t="str">
        <f ca="1">IFERROR(__xludf.DUMMYFUNCTION("GOOGLETRANSLATE(B2108,""en"",""it"")"),"sostenitore")</f>
        <v>sostenitore</v>
      </c>
      <c r="G2108" s="2" t="str">
        <f ca="1">IFERROR(__xludf.DUMMYFUNCTION("GOOGLETRANSLATE(B2108,""en"",""de"")"),"Fan")</f>
        <v>Fan</v>
      </c>
      <c r="H2108" s="2" t="str">
        <f ca="1">IFERROR(__xludf.DUMMYFUNCTION("GOOGLETRANSLATE(B2108,""en"",""zh"")"),"支持者")</f>
        <v>支持者</v>
      </c>
      <c r="I2108" s="2" t="str">
        <f ca="1">IFERROR(__xludf.DUMMYFUNCTION("GOOGLETRANSLATE(B2108,""en"",""gd"")"),"neach-taic")</f>
        <v>neach-taic</v>
      </c>
    </row>
    <row r="2109" spans="1:9" ht="14.25" customHeight="1" x14ac:dyDescent="0.3">
      <c r="A2109" s="2">
        <v>2108</v>
      </c>
      <c r="B2109" s="3" t="s">
        <v>2116</v>
      </c>
      <c r="C2109" s="2" t="str">
        <f ca="1">IFERROR(__xludf.DUMMYFUNCTION("GOOGLETRANSLATE(B2109, ""en"",""es"")"),"convertir")</f>
        <v>convertir</v>
      </c>
      <c r="D2109" s="2" t="str">
        <f ca="1">IFERROR(__xludf.DUMMYFUNCTION("GOOGLETRANSLATE(B2109,""en"",""ig"")"),"itughari")</f>
        <v>itughari</v>
      </c>
      <c r="E2109" s="2" t="str">
        <f ca="1">IFERROR(__xludf.DUMMYFUNCTION("GOOGLETRANSLATE(B2109,""en"",""fr"")"),"convertir")</f>
        <v>convertir</v>
      </c>
      <c r="F2109" s="2" t="str">
        <f ca="1">IFERROR(__xludf.DUMMYFUNCTION("GOOGLETRANSLATE(B2109,""en"",""it"")"),"convertire")</f>
        <v>convertire</v>
      </c>
      <c r="G2109" s="2" t="str">
        <f ca="1">IFERROR(__xludf.DUMMYFUNCTION("GOOGLETRANSLATE(B2109,""en"",""de"")"),"Konvertieren")</f>
        <v>Konvertieren</v>
      </c>
      <c r="H2109" s="2" t="str">
        <f ca="1">IFERROR(__xludf.DUMMYFUNCTION("GOOGLETRANSLATE(B2109,""en"",""zh"")"),"转变")</f>
        <v>转变</v>
      </c>
      <c r="I2109" s="2" t="str">
        <f ca="1">IFERROR(__xludf.DUMMYFUNCTION("GOOGLETRANSLATE(B2109,""en"",""gd"")"),"Tionndadh")</f>
        <v>Tionndadh</v>
      </c>
    </row>
    <row r="2110" spans="1:9" ht="14.25" customHeight="1" x14ac:dyDescent="0.3">
      <c r="A2110" s="2">
        <v>2109</v>
      </c>
      <c r="B2110" s="3" t="s">
        <v>2117</v>
      </c>
      <c r="C2110" s="2" t="str">
        <f ca="1">IFERROR(__xludf.DUMMYFUNCTION("GOOGLETRANSLATE(B2110, ""en"",""es"")"),"estable")</f>
        <v>estable</v>
      </c>
      <c r="D2110" s="2" t="str">
        <f ca="1">IFERROR(__xludf.DUMMYFUNCTION("GOOGLETRANSLATE(B2110,""en"",""ig"")"),"onodu nguzosi")</f>
        <v>onodu nguzosi</v>
      </c>
      <c r="E2110" s="2" t="str">
        <f ca="1">IFERROR(__xludf.DUMMYFUNCTION("GOOGLETRANSLATE(B2110,""en"",""fr"")"),"constant")</f>
        <v>constant</v>
      </c>
      <c r="F2110" s="2" t="str">
        <f ca="1">IFERROR(__xludf.DUMMYFUNCTION("GOOGLETRANSLATE(B2110,""en"",""it"")"),"costante")</f>
        <v>costante</v>
      </c>
      <c r="G2110" s="2" t="str">
        <f ca="1">IFERROR(__xludf.DUMMYFUNCTION("GOOGLETRANSLATE(B2110,""en"",""de"")"),"stetig")</f>
        <v>stetig</v>
      </c>
      <c r="H2110" s="2" t="str">
        <f ca="1">IFERROR(__xludf.DUMMYFUNCTION("GOOGLETRANSLATE(B2110,""en"",""zh"")"),"稳定的")</f>
        <v>稳定的</v>
      </c>
      <c r="I2110" s="2" t="str">
        <f ca="1">IFERROR(__xludf.DUMMYFUNCTION("GOOGLETRANSLATE(B2110,""en"",""gd"")"),"seasmhach")</f>
        <v>seasmhach</v>
      </c>
    </row>
    <row r="2111" spans="1:9" ht="14.25" customHeight="1" x14ac:dyDescent="0.3">
      <c r="A2111" s="2">
        <v>2110</v>
      </c>
      <c r="B2111" s="3" t="s">
        <v>2118</v>
      </c>
      <c r="C2111" s="2" t="str">
        <f ca="1">IFERROR(__xludf.DUMMYFUNCTION("GOOGLETRANSLATE(B2111, ""en"",""es"")"),"metro")</f>
        <v>metro</v>
      </c>
      <c r="D2111" s="2" t="str">
        <f ca="1">IFERROR(__xludf.DUMMYFUNCTION("GOOGLETRANSLATE(B2111,""en"",""ig"")"),"mita")</f>
        <v>mita</v>
      </c>
      <c r="E2111" s="2" t="str">
        <f ca="1">IFERROR(__xludf.DUMMYFUNCTION("GOOGLETRANSLATE(B2111,""en"",""fr"")"),"mètre")</f>
        <v>mètre</v>
      </c>
      <c r="F2111" s="2" t="str">
        <f ca="1">IFERROR(__xludf.DUMMYFUNCTION("GOOGLETRANSLATE(B2111,""en"",""it"")"),"metro")</f>
        <v>metro</v>
      </c>
      <c r="G2111" s="2" t="str">
        <f ca="1">IFERROR(__xludf.DUMMYFUNCTION("GOOGLETRANSLATE(B2111,""en"",""de"")"),"Meter")</f>
        <v>Meter</v>
      </c>
      <c r="H2111" s="2" t="str">
        <f ca="1">IFERROR(__xludf.DUMMYFUNCTION("GOOGLETRANSLATE(B2111,""en"",""zh"")"),"仪表")</f>
        <v>仪表</v>
      </c>
      <c r="I2111" s="2" t="str">
        <f ca="1">IFERROR(__xludf.DUMMYFUNCTION("GOOGLETRANSLATE(B2111,""en"",""gd"")"),"meatair")</f>
        <v>meatair</v>
      </c>
    </row>
    <row r="2112" spans="1:9" ht="14.25" customHeight="1" x14ac:dyDescent="0.3">
      <c r="A2112" s="2">
        <v>2111</v>
      </c>
      <c r="B2112" s="3" t="s">
        <v>2119</v>
      </c>
      <c r="C2112" s="2" t="str">
        <f ca="1">IFERROR(__xludf.DUMMYFUNCTION("GOOGLETRANSLATE(B2112, ""en"",""es"")"),"camión")</f>
        <v>camión</v>
      </c>
      <c r="D2112" s="2" t="str">
        <f ca="1">IFERROR(__xludf.DUMMYFUNCTION("GOOGLETRANSLATE(B2112,""en"",""ig"")"),"trok")</f>
        <v>trok</v>
      </c>
      <c r="E2112" s="2" t="str">
        <f ca="1">IFERROR(__xludf.DUMMYFUNCTION("GOOGLETRANSLATE(B2112,""en"",""fr"")"),"camion")</f>
        <v>camion</v>
      </c>
      <c r="F2112" s="2" t="str">
        <f ca="1">IFERROR(__xludf.DUMMYFUNCTION("GOOGLETRANSLATE(B2112,""en"",""it"")"),"camion")</f>
        <v>camion</v>
      </c>
      <c r="G2112" s="2" t="str">
        <f ca="1">IFERROR(__xludf.DUMMYFUNCTION("GOOGLETRANSLATE(B2112,""en"",""de"")"),"LKW")</f>
        <v>LKW</v>
      </c>
      <c r="H2112" s="2" t="str">
        <f ca="1">IFERROR(__xludf.DUMMYFUNCTION("GOOGLETRANSLATE(B2112,""en"",""zh"")"),"卡车")</f>
        <v>卡车</v>
      </c>
      <c r="I2112" s="2" t="str">
        <f ca="1">IFERROR(__xludf.DUMMYFUNCTION("GOOGLETRANSLATE(B2112,""en"",""gd"")"),"Truck")</f>
        <v>Truck</v>
      </c>
    </row>
    <row r="2113" spans="1:9" ht="14.25" customHeight="1" x14ac:dyDescent="0.3">
      <c r="A2113" s="2">
        <v>2112</v>
      </c>
      <c r="B2113" s="3" t="s">
        <v>2120</v>
      </c>
      <c r="C2113" s="2" t="str">
        <f ca="1">IFERROR(__xludf.DUMMYFUNCTION("GOOGLETRANSLATE(B2113, ""en"",""es"")"),"nariz")</f>
        <v>nariz</v>
      </c>
      <c r="D2113" s="2" t="str">
        <f ca="1">IFERROR(__xludf.DUMMYFUNCTION("GOOGLETRANSLATE(B2113,""en"",""ig"")"),"imi")</f>
        <v>imi</v>
      </c>
      <c r="E2113" s="2" t="str">
        <f ca="1">IFERROR(__xludf.DUMMYFUNCTION("GOOGLETRANSLATE(B2113,""en"",""fr"")"),"nez")</f>
        <v>nez</v>
      </c>
      <c r="F2113" s="2" t="str">
        <f ca="1">IFERROR(__xludf.DUMMYFUNCTION("GOOGLETRANSLATE(B2113,""en"",""it"")"),"naso")</f>
        <v>naso</v>
      </c>
      <c r="G2113" s="2" t="str">
        <f ca="1">IFERROR(__xludf.DUMMYFUNCTION("GOOGLETRANSLATE(B2113,""en"",""de"")"),"Nase")</f>
        <v>Nase</v>
      </c>
      <c r="H2113" s="2" t="str">
        <f ca="1">IFERROR(__xludf.DUMMYFUNCTION("GOOGLETRANSLATE(B2113,""en"",""zh"")"),"鼻子")</f>
        <v>鼻子</v>
      </c>
      <c r="I2113" s="2" t="str">
        <f ca="1">IFERROR(__xludf.DUMMYFUNCTION("GOOGLETRANSLATE(B2113,""en"",""gd"")"),"sròn")</f>
        <v>sròn</v>
      </c>
    </row>
    <row r="2114" spans="1:9" ht="14.25" customHeight="1" x14ac:dyDescent="0.3">
      <c r="A2114" s="2">
        <v>2113</v>
      </c>
      <c r="B2114" s="3" t="s">
        <v>2121</v>
      </c>
      <c r="C2114" s="2" t="str">
        <f ca="1">IFERROR(__xludf.DUMMYFUNCTION("GOOGLETRANSLATE(B2114, ""en"",""es"")"),"al lado de")</f>
        <v>al lado de</v>
      </c>
      <c r="D2114" s="2" t="str">
        <f ca="1">IFERROR(__xludf.DUMMYFUNCTION("GOOGLETRANSLATE(B2114,""en"",""ig"")"),"ewepu")</f>
        <v>ewepu</v>
      </c>
      <c r="E2114" s="2" t="str">
        <f ca="1">IFERROR(__xludf.DUMMYFUNCTION("GOOGLETRANSLATE(B2114,""en"",""fr"")"),"à côté de")</f>
        <v>à côté de</v>
      </c>
      <c r="F2114" s="2" t="str">
        <f ca="1">IFERROR(__xludf.DUMMYFUNCTION("GOOGLETRANSLATE(B2114,""en"",""it"")"),"accanto")</f>
        <v>accanto</v>
      </c>
      <c r="G2114" s="2" t="str">
        <f ca="1">IFERROR(__xludf.DUMMYFUNCTION("GOOGLETRANSLATE(B2114,""en"",""de"")"),"neben")</f>
        <v>neben</v>
      </c>
      <c r="H2114" s="2" t="str">
        <f ca="1">IFERROR(__xludf.DUMMYFUNCTION("GOOGLETRANSLATE(B2114,""en"",""zh"")"),"旁")</f>
        <v>旁</v>
      </c>
      <c r="I2114" s="2" t="str">
        <f ca="1">IFERROR(__xludf.DUMMYFUNCTION("GOOGLETRANSLATE(B2114,""en"",""gd"")"),"ri taobh")</f>
        <v>ri taobh</v>
      </c>
    </row>
    <row r="2115" spans="1:9" ht="14.25" customHeight="1" x14ac:dyDescent="0.3">
      <c r="A2115" s="2">
        <v>2114</v>
      </c>
      <c r="B2115" s="3" t="s">
        <v>2122</v>
      </c>
      <c r="C2115" s="2" t="str">
        <f ca="1">IFERROR(__xludf.DUMMYFUNCTION("GOOGLETRANSLATE(B2115, ""en"",""es"")"),"navegar")</f>
        <v>navegar</v>
      </c>
      <c r="D2115" s="2" t="str">
        <f ca="1">IFERROR(__xludf.DUMMYFUNCTION("GOOGLETRANSLATE(B2115,""en"",""ig"")"),"napu ugbo")</f>
        <v>napu ugbo</v>
      </c>
      <c r="E2115" s="2" t="str">
        <f ca="1">IFERROR(__xludf.DUMMYFUNCTION("GOOGLETRANSLATE(B2115,""en"",""fr"")"),"naviguer")</f>
        <v>naviguer</v>
      </c>
      <c r="F2115" s="2" t="str">
        <f ca="1">IFERROR(__xludf.DUMMYFUNCTION("GOOGLETRANSLATE(B2115,""en"",""it"")"),"vela")</f>
        <v>vela</v>
      </c>
      <c r="G2115" s="2" t="str">
        <f ca="1">IFERROR(__xludf.DUMMYFUNCTION("GOOGLETRANSLATE(B2115,""en"",""de"")"),"Segel")</f>
        <v>Segel</v>
      </c>
      <c r="H2115" s="2" t="str">
        <f ca="1">IFERROR(__xludf.DUMMYFUNCTION("GOOGLETRANSLATE(B2115,""en"",""zh"")"),"帆")</f>
        <v>帆</v>
      </c>
      <c r="I2115" s="2" t="str">
        <f ca="1">IFERROR(__xludf.DUMMYFUNCTION("GOOGLETRANSLATE(B2115,""en"",""gd"")"),"Seòl")</f>
        <v>Seòl</v>
      </c>
    </row>
    <row r="2116" spans="1:9" ht="14.25" customHeight="1" x14ac:dyDescent="0.3">
      <c r="A2116" s="2">
        <v>2115</v>
      </c>
      <c r="B2116" s="3" t="s">
        <v>2123</v>
      </c>
      <c r="C2116" s="2" t="str">
        <f ca="1">IFERROR(__xludf.DUMMYFUNCTION("GOOGLETRANSLATE(B2116, ""en"",""es"")"),"desastre")</f>
        <v>desastre</v>
      </c>
      <c r="D2116" s="2" t="str">
        <f ca="1">IFERROR(__xludf.DUMMYFUNCTION("GOOGLETRANSLATE(B2116,""en"",""ig"")"),"oru")</f>
        <v>oru</v>
      </c>
      <c r="E2116" s="2" t="str">
        <f ca="1">IFERROR(__xludf.DUMMYFUNCTION("GOOGLETRANSLATE(B2116,""en"",""fr"")"),"catastrophe")</f>
        <v>catastrophe</v>
      </c>
      <c r="F2116" s="2" t="str">
        <f ca="1">IFERROR(__xludf.DUMMYFUNCTION("GOOGLETRANSLATE(B2116,""en"",""it"")"),"disastro")</f>
        <v>disastro</v>
      </c>
      <c r="G2116" s="2" t="str">
        <f ca="1">IFERROR(__xludf.DUMMYFUNCTION("GOOGLETRANSLATE(B2116,""en"",""de"")"),"Katastrophe")</f>
        <v>Katastrophe</v>
      </c>
      <c r="H2116" s="2" t="str">
        <f ca="1">IFERROR(__xludf.DUMMYFUNCTION("GOOGLETRANSLATE(B2116,""en"",""zh"")"),"灾难")</f>
        <v>灾难</v>
      </c>
      <c r="I2116" s="2" t="str">
        <f ca="1">IFERROR(__xludf.DUMMYFUNCTION("GOOGLETRANSLATE(B2116,""en"",""gd"")"),"mòr-thubaist")</f>
        <v>mòr-thubaist</v>
      </c>
    </row>
    <row r="2117" spans="1:9" ht="14.25" customHeight="1" x14ac:dyDescent="0.3">
      <c r="A2117" s="2">
        <v>2116</v>
      </c>
      <c r="B2117" s="3" t="s">
        <v>2124</v>
      </c>
      <c r="C2117" s="2" t="str">
        <f ca="1">IFERROR(__xludf.DUMMYFUNCTION("GOOGLETRANSLATE(B2117, ""en"",""es"")"),"paso")</f>
        <v>paso</v>
      </c>
      <c r="D2117" s="2" t="str">
        <f ca="1">IFERROR(__xludf.DUMMYFUNCTION("GOOGLETRANSLATE(B2117,""en"",""ig"")"),"keosoro")</f>
        <v>keosoro</v>
      </c>
      <c r="E2117" s="2" t="str">
        <f ca="1">IFERROR(__xludf.DUMMYFUNCTION("GOOGLETRANSLATE(B2117,""en"",""fr"")"),"rythme")</f>
        <v>rythme</v>
      </c>
      <c r="F2117" s="2" t="str">
        <f ca="1">IFERROR(__xludf.DUMMYFUNCTION("GOOGLETRANSLATE(B2117,""en"",""it"")"),"ritmo")</f>
        <v>ritmo</v>
      </c>
      <c r="G2117" s="2" t="str">
        <f ca="1">IFERROR(__xludf.DUMMYFUNCTION("GOOGLETRANSLATE(B2117,""en"",""de"")"),"Tempo")</f>
        <v>Tempo</v>
      </c>
      <c r="H2117" s="2" t="str">
        <f ca="1">IFERROR(__xludf.DUMMYFUNCTION("GOOGLETRANSLATE(B2117,""en"",""zh"")"),"步伐")</f>
        <v>步伐</v>
      </c>
      <c r="I2117" s="2" t="str">
        <f ca="1">IFERROR(__xludf.DUMMYFUNCTION("GOOGLETRANSLATE(B2117,""en"",""gd"")"),"astar")</f>
        <v>astar</v>
      </c>
    </row>
    <row r="2118" spans="1:9" ht="14.25" customHeight="1" x14ac:dyDescent="0.3">
      <c r="A2118" s="2">
        <v>2117</v>
      </c>
      <c r="B2118" s="3" t="s">
        <v>2125</v>
      </c>
      <c r="C2118" s="2" t="str">
        <f ca="1">IFERROR(__xludf.DUMMYFUNCTION("GOOGLETRANSLATE(B2118, ""en"",""es"")"),"fuertemente")</f>
        <v>fuertemente</v>
      </c>
      <c r="D2118" s="2" t="str">
        <f ca="1">IFERROR(__xludf.DUMMYFUNCTION("GOOGLETRANSLATE(B2118,""en"",""ig"")"),"sierore")</f>
        <v>sierore</v>
      </c>
      <c r="E2118" s="2" t="str">
        <f ca="1">IFERROR(__xludf.DUMMYFUNCTION("GOOGLETRANSLATE(B2118,""en"",""fr"")"),"fortement")</f>
        <v>fortement</v>
      </c>
      <c r="F2118" s="2" t="str">
        <f ca="1">IFERROR(__xludf.DUMMYFUNCTION("GOOGLETRANSLATE(B2118,""en"",""it"")"),"pesantemente")</f>
        <v>pesantemente</v>
      </c>
      <c r="G2118" s="2" t="str">
        <f ca="1">IFERROR(__xludf.DUMMYFUNCTION("GOOGLETRANSLATE(B2118,""en"",""de"")"),"schwer")</f>
        <v>schwer</v>
      </c>
      <c r="H2118" s="2" t="str">
        <f ca="1">IFERROR(__xludf.DUMMYFUNCTION("GOOGLETRANSLATE(B2118,""en"",""zh"")"),"沉重")</f>
        <v>沉重</v>
      </c>
      <c r="I2118" s="2" t="str">
        <f ca="1">IFERROR(__xludf.DUMMYFUNCTION("GOOGLETRANSLATE(B2118,""en"",""gd"")"),"gu mòr")</f>
        <v>gu mòr</v>
      </c>
    </row>
    <row r="2119" spans="1:9" ht="14.25" customHeight="1" x14ac:dyDescent="0.3">
      <c r="A2119" s="2">
        <v>2118</v>
      </c>
      <c r="B2119" s="3" t="s">
        <v>2126</v>
      </c>
      <c r="C2119" s="2" t="str">
        <f ca="1">IFERROR(__xludf.DUMMYFUNCTION("GOOGLETRANSLATE(B2119, ""en"",""es"")"),"dedicar")</f>
        <v>dedicar</v>
      </c>
      <c r="D2119" s="2" t="str">
        <f ca="1">IFERROR(__xludf.DUMMYFUNCTION("GOOGLETRANSLATE(B2119,""en"",""ig"")"),"itinye")</f>
        <v>itinye</v>
      </c>
      <c r="E2119" s="2" t="str">
        <f ca="1">IFERROR(__xludf.DUMMYFUNCTION("GOOGLETRANSLATE(B2119,""en"",""fr"")"),"consacrer")</f>
        <v>consacrer</v>
      </c>
      <c r="F2119" s="2" t="str">
        <f ca="1">IFERROR(__xludf.DUMMYFUNCTION("GOOGLETRANSLATE(B2119,""en"",""it"")"),"dedicare")</f>
        <v>dedicare</v>
      </c>
      <c r="G2119" s="2" t="str">
        <f ca="1">IFERROR(__xludf.DUMMYFUNCTION("GOOGLETRANSLATE(B2119,""en"",""de"")"),"widmen")</f>
        <v>widmen</v>
      </c>
      <c r="H2119" s="2" t="str">
        <f ca="1">IFERROR(__xludf.DUMMYFUNCTION("GOOGLETRANSLATE(B2119,""en"",""zh"")"),"奉献")</f>
        <v>奉献</v>
      </c>
      <c r="I2119" s="2" t="str">
        <f ca="1">IFERROR(__xludf.DUMMYFUNCTION("GOOGLETRANSLATE(B2119,""en"",""gd"")"),"devote")</f>
        <v>devote</v>
      </c>
    </row>
    <row r="2120" spans="1:9" ht="14.25" customHeight="1" x14ac:dyDescent="0.3">
      <c r="A2120" s="2">
        <v>2119</v>
      </c>
      <c r="B2120" s="3" t="s">
        <v>2127</v>
      </c>
      <c r="C2120" s="2" t="str">
        <f ca="1">IFERROR(__xludf.DUMMYFUNCTION("GOOGLETRANSLATE(B2120, ""en"",""es"")"),"terrorista")</f>
        <v>terrorista</v>
      </c>
      <c r="D2120" s="2" t="str">
        <f ca="1">IFERROR(__xludf.DUMMYFUNCTION("GOOGLETRANSLATE(B2120,""en"",""ig"")"),"onyemmenyeujo nwanyi")</f>
        <v>onyemmenyeujo nwanyi</v>
      </c>
      <c r="E2120" s="2" t="str">
        <f ca="1">IFERROR(__xludf.DUMMYFUNCTION("GOOGLETRANSLATE(B2120,""en"",""fr"")"),"terroriste")</f>
        <v>terroriste</v>
      </c>
      <c r="F2120" s="2" t="str">
        <f ca="1">IFERROR(__xludf.DUMMYFUNCTION("GOOGLETRANSLATE(B2120,""en"",""it"")"),"terrorista")</f>
        <v>terrorista</v>
      </c>
      <c r="G2120" s="2" t="str">
        <f ca="1">IFERROR(__xludf.DUMMYFUNCTION("GOOGLETRANSLATE(B2120,""en"",""de"")"),"Terrorist")</f>
        <v>Terrorist</v>
      </c>
      <c r="H2120" s="2" t="str">
        <f ca="1">IFERROR(__xludf.DUMMYFUNCTION("GOOGLETRANSLATE(B2120,""en"",""zh"")"),"恐怖分子")</f>
        <v>恐怖分子</v>
      </c>
      <c r="I2120" s="2" t="str">
        <f ca="1">IFERROR(__xludf.DUMMYFUNCTION("GOOGLETRANSLATE(B2120,""en"",""gd"")"),"ceannairc")</f>
        <v>ceannairc</v>
      </c>
    </row>
    <row r="2121" spans="1:9" ht="14.25" customHeight="1" x14ac:dyDescent="0.3">
      <c r="A2121" s="2">
        <v>2120</v>
      </c>
      <c r="B2121" s="3" t="s">
        <v>2128</v>
      </c>
      <c r="C2121" s="2" t="str">
        <f ca="1">IFERROR(__xludf.DUMMYFUNCTION("GOOGLETRANSLATE(B2121, ""en"",""es"")"),"justificar")</f>
        <v>justificar</v>
      </c>
      <c r="D2121" s="2" t="str">
        <f ca="1">IFERROR(__xludf.DUMMYFUNCTION("GOOGLETRANSLATE(B2121,""en"",""ig"")"),"ikwu ihe mkpata")</f>
        <v>ikwu ihe mkpata</v>
      </c>
      <c r="E2121" s="2" t="str">
        <f ca="1">IFERROR(__xludf.DUMMYFUNCTION("GOOGLETRANSLATE(B2121,""en"",""fr"")"),"justifier")</f>
        <v>justifier</v>
      </c>
      <c r="F2121" s="2" t="str">
        <f ca="1">IFERROR(__xludf.DUMMYFUNCTION("GOOGLETRANSLATE(B2121,""en"",""it"")"),"giustificare")</f>
        <v>giustificare</v>
      </c>
      <c r="G2121" s="2" t="str">
        <f ca="1">IFERROR(__xludf.DUMMYFUNCTION("GOOGLETRANSLATE(B2121,""en"",""de"")"),"rechtfertigen")</f>
        <v>rechtfertigen</v>
      </c>
      <c r="H2121" s="2" t="str">
        <f ca="1">IFERROR(__xludf.DUMMYFUNCTION("GOOGLETRANSLATE(B2121,""en"",""zh"")"),"证明合法")</f>
        <v>证明合法</v>
      </c>
      <c r="I2121" s="2" t="str">
        <f ca="1">IFERROR(__xludf.DUMMYFUNCTION("GOOGLETRANSLATE(B2121,""en"",""gd"")"),"fìreanachadh")</f>
        <v>fìreanachadh</v>
      </c>
    </row>
    <row r="2122" spans="1:9" ht="14.25" customHeight="1" x14ac:dyDescent="0.3">
      <c r="A2122" s="2">
        <v>2121</v>
      </c>
      <c r="B2122" s="3" t="s">
        <v>2129</v>
      </c>
      <c r="C2122" s="2" t="str">
        <f ca="1">IFERROR(__xludf.DUMMYFUNCTION("GOOGLETRANSLATE(B2122, ""en"",""es"")"),"vital")</f>
        <v>vital</v>
      </c>
      <c r="D2122" s="2" t="str">
        <f ca="1">IFERROR(__xludf.DUMMYFUNCTION("GOOGLETRANSLATE(B2122,""en"",""ig"")"),"dimkpa")</f>
        <v>dimkpa</v>
      </c>
      <c r="E2122" s="2" t="str">
        <f ca="1">IFERROR(__xludf.DUMMYFUNCTION("GOOGLETRANSLATE(B2122,""en"",""fr"")"),"vital")</f>
        <v>vital</v>
      </c>
      <c r="F2122" s="2" t="str">
        <f ca="1">IFERROR(__xludf.DUMMYFUNCTION("GOOGLETRANSLATE(B2122,""en"",""it"")"),"vitale")</f>
        <v>vitale</v>
      </c>
      <c r="G2122" s="2" t="str">
        <f ca="1">IFERROR(__xludf.DUMMYFUNCTION("GOOGLETRANSLATE(B2122,""en"",""de"")"),"vital")</f>
        <v>vital</v>
      </c>
      <c r="H2122" s="2" t="str">
        <f ca="1">IFERROR(__xludf.DUMMYFUNCTION("GOOGLETRANSLATE(B2122,""en"",""zh"")"),"必不可少的")</f>
        <v>必不可少的</v>
      </c>
      <c r="I2122" s="2" t="str">
        <f ca="1">IFERROR(__xludf.DUMMYFUNCTION("GOOGLETRANSLATE(B2122,""en"",""gd"")"),"deatamach")</f>
        <v>deatamach</v>
      </c>
    </row>
    <row r="2123" spans="1:9" ht="14.25" customHeight="1" x14ac:dyDescent="0.3">
      <c r="A2123" s="2">
        <v>2122</v>
      </c>
      <c r="B2123" s="3" t="s">
        <v>2130</v>
      </c>
      <c r="C2123" s="2" t="str">
        <f ca="1">IFERROR(__xludf.DUMMYFUNCTION("GOOGLETRANSLATE(B2123, ""en"",""es"")"),"fascinar")</f>
        <v>fascinar</v>
      </c>
      <c r="D2123" s="2" t="str">
        <f ca="1">IFERROR(__xludf.DUMMYFUNCTION("GOOGLETRANSLATE(B2123,""en"",""ig"")"),"maa mfe")</f>
        <v>maa mfe</v>
      </c>
      <c r="E2123" s="2" t="str">
        <f ca="1">IFERROR(__xludf.DUMMYFUNCTION("GOOGLETRANSLATE(B2123,""en"",""fr"")"),"fasciner")</f>
        <v>fasciner</v>
      </c>
      <c r="F2123" s="2" t="str">
        <f ca="1">IFERROR(__xludf.DUMMYFUNCTION("GOOGLETRANSLATE(B2123,""en"",""it"")"),"affascinare")</f>
        <v>affascinare</v>
      </c>
      <c r="G2123" s="2" t="str">
        <f ca="1">IFERROR(__xludf.DUMMYFUNCTION("GOOGLETRANSLATE(B2123,""en"",""de"")"),"faszinieren")</f>
        <v>faszinieren</v>
      </c>
      <c r="H2123" s="2" t="str">
        <f ca="1">IFERROR(__xludf.DUMMYFUNCTION("GOOGLETRANSLATE(B2123,""en"",""zh"")"),"吸引")</f>
        <v>吸引</v>
      </c>
      <c r="I2123" s="2" t="str">
        <f ca="1">IFERROR(__xludf.DUMMYFUNCTION("GOOGLETRANSLATE(B2123,""en"",""gd"")"),"ceangail")</f>
        <v>ceangail</v>
      </c>
    </row>
    <row r="2124" spans="1:9" ht="14.25" customHeight="1" x14ac:dyDescent="0.3">
      <c r="A2124" s="2">
        <v>2123</v>
      </c>
      <c r="B2124" s="3" t="s">
        <v>2131</v>
      </c>
      <c r="C2124" s="2" t="str">
        <f ca="1">IFERROR(__xludf.DUMMYFUNCTION("GOOGLETRANSLATE(B2124, ""en"",""es"")"),"externo")</f>
        <v>externo</v>
      </c>
      <c r="D2124" s="2" t="str">
        <f ca="1">IFERROR(__xludf.DUMMYFUNCTION("GOOGLETRANSLATE(B2124,""en"",""ig"")"),"keezi")</f>
        <v>keezi</v>
      </c>
      <c r="E2124" s="2" t="str">
        <f ca="1">IFERROR(__xludf.DUMMYFUNCTION("GOOGLETRANSLATE(B2124,""en"",""fr"")"),"externe")</f>
        <v>externe</v>
      </c>
      <c r="F2124" s="2" t="str">
        <f ca="1">IFERROR(__xludf.DUMMYFUNCTION("GOOGLETRANSLATE(B2124,""en"",""it"")"),"esterno")</f>
        <v>esterno</v>
      </c>
      <c r="G2124" s="2" t="str">
        <f ca="1">IFERROR(__xludf.DUMMYFUNCTION("GOOGLETRANSLATE(B2124,""en"",""de"")"),"extern")</f>
        <v>extern</v>
      </c>
      <c r="H2124" s="2" t="str">
        <f ca="1">IFERROR(__xludf.DUMMYFUNCTION("GOOGLETRANSLATE(B2124,""en"",""zh"")"),"外部的")</f>
        <v>外部的</v>
      </c>
      <c r="I2124" s="2" t="str">
        <f ca="1">IFERROR(__xludf.DUMMYFUNCTION("GOOGLETRANSLATE(B2124,""en"",""gd"")"),"taobh a-muigh")</f>
        <v>taobh a-muigh</v>
      </c>
    </row>
    <row r="2125" spans="1:9" ht="14.25" customHeight="1" x14ac:dyDescent="0.3">
      <c r="A2125" s="2">
        <v>2124</v>
      </c>
      <c r="B2125" s="3" t="s">
        <v>2132</v>
      </c>
      <c r="C2125" s="2" t="str">
        <f ca="1">IFERROR(__xludf.DUMMYFUNCTION("GOOGLETRANSLATE(B2125, ""en"",""es"")"),"repuesto")</f>
        <v>repuesto</v>
      </c>
      <c r="D2125" s="2" t="str">
        <f ca="1">IFERROR(__xludf.DUMMYFUNCTION("GOOGLETRANSLATE(B2125,""en"",""ig"")"),"spare")</f>
        <v>spare</v>
      </c>
      <c r="E2125" s="2" t="str">
        <f ca="1">IFERROR(__xludf.DUMMYFUNCTION("GOOGLETRANSLATE(B2125,""en"",""fr"")"),"de rechange")</f>
        <v>de rechange</v>
      </c>
      <c r="F2125" s="2" t="str">
        <f ca="1">IFERROR(__xludf.DUMMYFUNCTION("GOOGLETRANSLATE(B2125,""en"",""it"")"),"ricambio")</f>
        <v>ricambio</v>
      </c>
      <c r="G2125" s="2" t="str">
        <f ca="1">IFERROR(__xludf.DUMMYFUNCTION("GOOGLETRANSLATE(B2125,""en"",""de"")"),"Ersatzteil")</f>
        <v>Ersatzteil</v>
      </c>
      <c r="H2125" s="2" t="str">
        <f ca="1">IFERROR(__xludf.DUMMYFUNCTION("GOOGLETRANSLATE(B2125,""en"",""zh"")"),"空闲的")</f>
        <v>空闲的</v>
      </c>
      <c r="I2125" s="2" t="str">
        <f ca="1">IFERROR(__xludf.DUMMYFUNCTION("GOOGLETRANSLATE(B2125,""en"",""gd"")"),"Sacre")</f>
        <v>Sacre</v>
      </c>
    </row>
    <row r="2126" spans="1:9" ht="14.25" customHeight="1" x14ac:dyDescent="0.3">
      <c r="A2126" s="2">
        <v>2125</v>
      </c>
      <c r="B2126" s="3" t="s">
        <v>2133</v>
      </c>
      <c r="C2126" s="2" t="str">
        <f ca="1">IFERROR(__xludf.DUMMYFUNCTION("GOOGLETRANSLATE(B2126, ""en"",""es"")"),"cuando sea")</f>
        <v>cuando sea</v>
      </c>
      <c r="D2126" s="2" t="str">
        <f ca="1">IFERROR(__xludf.DUMMYFUNCTION("GOOGLETRANSLATE(B2126,""en"",""ig"")"),"otuodila")</f>
        <v>otuodila</v>
      </c>
      <c r="E2126" s="2" t="str">
        <f ca="1">IFERROR(__xludf.DUMMYFUNCTION("GOOGLETRANSLATE(B2126,""en"",""fr"")"),"chaque fois que")</f>
        <v>chaque fois que</v>
      </c>
      <c r="F2126" s="2" t="str">
        <f ca="1">IFERROR(__xludf.DUMMYFUNCTION("GOOGLETRANSLATE(B2126,""en"",""it"")"),"ogni volta")</f>
        <v>ogni volta</v>
      </c>
      <c r="G2126" s="2" t="str">
        <f ca="1">IFERROR(__xludf.DUMMYFUNCTION("GOOGLETRANSLATE(B2126,""en"",""de"")"),"Wann immer")</f>
        <v>Wann immer</v>
      </c>
      <c r="H2126" s="2" t="str">
        <f ca="1">IFERROR(__xludf.DUMMYFUNCTION("GOOGLETRANSLATE(B2126,""en"",""zh"")"),"每当")</f>
        <v>每当</v>
      </c>
      <c r="I2126" s="2" t="str">
        <f ca="1">IFERROR(__xludf.DUMMYFUNCTION("GOOGLETRANSLATE(B2126,""en"",""gd"")"),"uair sam bith")</f>
        <v>uair sam bith</v>
      </c>
    </row>
    <row r="2127" spans="1:9" ht="14.25" customHeight="1" x14ac:dyDescent="0.3">
      <c r="A2127" s="2">
        <v>2126</v>
      </c>
      <c r="B2127" s="3" t="s">
        <v>2134</v>
      </c>
      <c r="C2127" s="2" t="str">
        <f ca="1">IFERROR(__xludf.DUMMYFUNCTION("GOOGLETRANSLATE(B2127, ""en"",""es"")"),"depresión")</f>
        <v>depresión</v>
      </c>
      <c r="D2127" s="2" t="str">
        <f ca="1">IFERROR(__xludf.DUMMYFUNCTION("GOOGLETRANSLATE(B2127,""en"",""ig"")"),"obi idamba")</f>
        <v>obi idamba</v>
      </c>
      <c r="E2127" s="2" t="str">
        <f ca="1">IFERROR(__xludf.DUMMYFUNCTION("GOOGLETRANSLATE(B2127,""en"",""fr"")"),"dépression")</f>
        <v>dépression</v>
      </c>
      <c r="F2127" s="2" t="str">
        <f ca="1">IFERROR(__xludf.DUMMYFUNCTION("GOOGLETRANSLATE(B2127,""en"",""it"")"),"depressione")</f>
        <v>depressione</v>
      </c>
      <c r="G2127" s="2" t="str">
        <f ca="1">IFERROR(__xludf.DUMMYFUNCTION("GOOGLETRANSLATE(B2127,""en"",""de"")"),"Depression")</f>
        <v>Depression</v>
      </c>
      <c r="H2127" s="2" t="str">
        <f ca="1">IFERROR(__xludf.DUMMYFUNCTION("GOOGLETRANSLATE(B2127,""en"",""zh"")"),"沮丧")</f>
        <v>沮丧</v>
      </c>
      <c r="I2127" s="2" t="str">
        <f ca="1">IFERROR(__xludf.DUMMYFUNCTION("GOOGLETRANSLATE(B2127,""en"",""gd"")"),"Ìsleachadh")</f>
        <v>Ìsleachadh</v>
      </c>
    </row>
    <row r="2128" spans="1:9" ht="14.25" customHeight="1" x14ac:dyDescent="0.3">
      <c r="A2128" s="2">
        <v>2127</v>
      </c>
      <c r="B2128" s="3" t="s">
        <v>2135</v>
      </c>
      <c r="C2128" s="2" t="str">
        <f ca="1">IFERROR(__xludf.DUMMYFUNCTION("GOOGLETRANSLATE(B2128, ""en"",""es"")"),"culpable")</f>
        <v>culpable</v>
      </c>
      <c r="D2128" s="2" t="str">
        <f ca="1">IFERROR(__xludf.DUMMYFUNCTION("GOOGLETRANSLATE(B2128,""en"",""ig"")"),"keomuma ikpe")</f>
        <v>keomuma ikpe</v>
      </c>
      <c r="E2128" s="2" t="str">
        <f ca="1">IFERROR(__xludf.DUMMYFUNCTION("GOOGLETRANSLATE(B2128,""en"",""fr"")"),"coupable")</f>
        <v>coupable</v>
      </c>
      <c r="F2128" s="2" t="str">
        <f ca="1">IFERROR(__xludf.DUMMYFUNCTION("GOOGLETRANSLATE(B2128,""en"",""it"")"),"colpevole")</f>
        <v>colpevole</v>
      </c>
      <c r="G2128" s="2" t="str">
        <f ca="1">IFERROR(__xludf.DUMMYFUNCTION("GOOGLETRANSLATE(B2128,""en"",""de"")"),"schuldig")</f>
        <v>schuldig</v>
      </c>
      <c r="H2128" s="2" t="str">
        <f ca="1">IFERROR(__xludf.DUMMYFUNCTION("GOOGLETRANSLATE(B2128,""en"",""zh"")"),"有罪的")</f>
        <v>有罪的</v>
      </c>
      <c r="I2128" s="2" t="str">
        <f ca="1">IFERROR(__xludf.DUMMYFUNCTION("GOOGLETRANSLATE(B2128,""en"",""gd"")"),"ciontach")</f>
        <v>ciontach</v>
      </c>
    </row>
    <row r="2129" spans="1:9" ht="14.25" customHeight="1" x14ac:dyDescent="0.3">
      <c r="A2129" s="2">
        <v>2128</v>
      </c>
      <c r="B2129" s="3" t="s">
        <v>2136</v>
      </c>
      <c r="C2129" s="2" t="str">
        <f ca="1">IFERROR(__xludf.DUMMYFUNCTION("GOOGLETRANSLATE(B2129, ""en"",""es"")"),"estar debajo de")</f>
        <v>estar debajo de</v>
      </c>
      <c r="D2129" s="2" t="str">
        <f ca="1">IFERROR(__xludf.DUMMYFUNCTION("GOOGLETRANSLATE(B2129,""en"",""ig"")"),"n'okpurula")</f>
        <v>n'okpurula</v>
      </c>
      <c r="E2129" s="2" t="str">
        <f ca="1">IFERROR(__xludf.DUMMYFUNCTION("GOOGLETRANSLATE(B2129,""en"",""fr"")"),"sous-tendre")</f>
        <v>sous-tendre</v>
      </c>
      <c r="F2129" s="2" t="str">
        <f ca="1">IFERROR(__xludf.DUMMYFUNCTION("GOOGLETRANSLATE(B2129,""en"",""it"")"),"Underie")</f>
        <v>Underie</v>
      </c>
      <c r="G2129" s="2" t="str">
        <f ca="1">IFERROR(__xludf.DUMMYFUNCTION("GOOGLETRANSLATE(B2129,""en"",""de"")"),"zugrunde liegen")</f>
        <v>zugrunde liegen</v>
      </c>
      <c r="H2129" s="2" t="str">
        <f ca="1">IFERROR(__xludf.DUMMYFUNCTION("GOOGLETRANSLATE(B2129,""en"",""zh"")"),"基础")</f>
        <v>基础</v>
      </c>
      <c r="I2129" s="2" t="str">
        <f ca="1">IFERROR(__xludf.DUMMYFUNCTION("GOOGLETRANSLATE(B2129,""en"",""gd"")"),"fo-thalamh")</f>
        <v>fo-thalamh</v>
      </c>
    </row>
    <row r="2130" spans="1:9" ht="14.25" customHeight="1" x14ac:dyDescent="0.3">
      <c r="A2130" s="2">
        <v>2129</v>
      </c>
      <c r="B2130" s="3" t="s">
        <v>2137</v>
      </c>
      <c r="C2130" s="2" t="str">
        <f ca="1">IFERROR(__xludf.DUMMYFUNCTION("GOOGLETRANSLATE(B2130, ""en"",""es"")"),"mamá")</f>
        <v>mamá</v>
      </c>
      <c r="D2130" s="2" t="str">
        <f ca="1">IFERROR(__xludf.DUMMYFUNCTION("GOOGLETRANSLATE(B2130,""en"",""ig"")"),"mama")</f>
        <v>mama</v>
      </c>
      <c r="E2130" s="2" t="str">
        <f ca="1">IFERROR(__xludf.DUMMYFUNCTION("GOOGLETRANSLATE(B2130,""en"",""fr"")"),"maman")</f>
        <v>maman</v>
      </c>
      <c r="F2130" s="2" t="str">
        <f ca="1">IFERROR(__xludf.DUMMYFUNCTION("GOOGLETRANSLATE(B2130,""en"",""it"")"),"mamma")</f>
        <v>mamma</v>
      </c>
      <c r="G2130" s="2" t="str">
        <f ca="1">IFERROR(__xludf.DUMMYFUNCTION("GOOGLETRANSLATE(B2130,""en"",""de"")"),"Mama")</f>
        <v>Mama</v>
      </c>
      <c r="H2130" s="2" t="str">
        <f ca="1">IFERROR(__xludf.DUMMYFUNCTION("GOOGLETRANSLATE(B2130,""en"",""zh"")"),"妈妈")</f>
        <v>妈妈</v>
      </c>
      <c r="I2130" s="2" t="str">
        <f ca="1">IFERROR(__xludf.DUMMYFUNCTION("GOOGLETRANSLATE(B2130,""en"",""gd"")"),"mama")</f>
        <v>mama</v>
      </c>
    </row>
    <row r="2131" spans="1:9" ht="14.25" customHeight="1" x14ac:dyDescent="0.3">
      <c r="A2131" s="2">
        <v>2130</v>
      </c>
      <c r="B2131" s="3" t="s">
        <v>2138</v>
      </c>
      <c r="C2131" s="2" t="str">
        <f ca="1">IFERROR(__xludf.DUMMYFUNCTION("GOOGLETRANSLATE(B2131, ""en"",""es"")"),"distinción")</f>
        <v>distinción</v>
      </c>
      <c r="D2131" s="2" t="str">
        <f ca="1">IFERROR(__xludf.DUMMYFUNCTION("GOOGLETRANSLATE(B2131,""en"",""ig"")"),"mpuruiche")</f>
        <v>mpuruiche</v>
      </c>
      <c r="E2131" s="2" t="str">
        <f ca="1">IFERROR(__xludf.DUMMYFUNCTION("GOOGLETRANSLATE(B2131,""en"",""fr"")"),"distinction")</f>
        <v>distinction</v>
      </c>
      <c r="F2131" s="2" t="str">
        <f ca="1">IFERROR(__xludf.DUMMYFUNCTION("GOOGLETRANSLATE(B2131,""en"",""it"")"),"distinzione")</f>
        <v>distinzione</v>
      </c>
      <c r="G2131" s="2" t="str">
        <f ca="1">IFERROR(__xludf.DUMMYFUNCTION("GOOGLETRANSLATE(B2131,""en"",""de"")"),"Unterscheidung")</f>
        <v>Unterscheidung</v>
      </c>
      <c r="H2131" s="2" t="str">
        <f ca="1">IFERROR(__xludf.DUMMYFUNCTION("GOOGLETRANSLATE(B2131,""en"",""zh"")"),"区别")</f>
        <v>区别</v>
      </c>
      <c r="I2131" s="2" t="str">
        <f ca="1">IFERROR(__xludf.DUMMYFUNCTION("GOOGLETRANSLATE(B2131,""en"",""gd"")"),"Eadar-dhealachadh")</f>
        <v>Eadar-dhealachadh</v>
      </c>
    </row>
    <row r="2132" spans="1:9" ht="14.25" customHeight="1" x14ac:dyDescent="0.3">
      <c r="A2132" s="2">
        <v>2131</v>
      </c>
      <c r="B2132" s="3" t="s">
        <v>2139</v>
      </c>
      <c r="C2132" s="2" t="str">
        <f ca="1">IFERROR(__xludf.DUMMYFUNCTION("GOOGLETRANSLATE(B2132, ""en"",""es"")"),"satisfacción")</f>
        <v>satisfacción</v>
      </c>
      <c r="D2132" s="2" t="str">
        <f ca="1">IFERROR(__xludf.DUMMYFUNCTION("GOOGLETRANSLATE(B2132,""en"",""ig"")"),"ojujuafo")</f>
        <v>ojujuafo</v>
      </c>
      <c r="E2132" s="2" t="str">
        <f ca="1">IFERROR(__xludf.DUMMYFUNCTION("GOOGLETRANSLATE(B2132,""en"",""fr"")"),"satisfaction")</f>
        <v>satisfaction</v>
      </c>
      <c r="F2132" s="2" t="str">
        <f ca="1">IFERROR(__xludf.DUMMYFUNCTION("GOOGLETRANSLATE(B2132,""en"",""it"")"),"soddisfazione")</f>
        <v>soddisfazione</v>
      </c>
      <c r="G2132" s="2" t="str">
        <f ca="1">IFERROR(__xludf.DUMMYFUNCTION("GOOGLETRANSLATE(B2132,""en"",""de"")"),"Zufriedenheit")</f>
        <v>Zufriedenheit</v>
      </c>
      <c r="H2132" s="2" t="str">
        <f ca="1">IFERROR(__xludf.DUMMYFUNCTION("GOOGLETRANSLATE(B2132,""en"",""zh"")"),"满意")</f>
        <v>满意</v>
      </c>
      <c r="I2132" s="2" t="str">
        <f ca="1">IFERROR(__xludf.DUMMYFUNCTION("GOOGLETRANSLATE(B2132,""en"",""gd"")"),"sàsachd")</f>
        <v>sàsachd</v>
      </c>
    </row>
    <row r="2133" spans="1:9" ht="14.25" customHeight="1" x14ac:dyDescent="0.3">
      <c r="A2133" s="2">
        <v>2132</v>
      </c>
      <c r="B2133" s="3" t="s">
        <v>2140</v>
      </c>
      <c r="C2133" s="2" t="str">
        <f ca="1">IFERROR(__xludf.DUMMYFUNCTION("GOOGLETRANSLATE(B2133, ""en"",""es"")"),"incorporar")</f>
        <v>incorporar</v>
      </c>
      <c r="D2133" s="2" t="str">
        <f ca="1">IFERROR(__xludf.DUMMYFUNCTION("GOOGLETRANSLATE(B2133,""en"",""ig"")"),"itinye")</f>
        <v>itinye</v>
      </c>
      <c r="E2133" s="2" t="str">
        <f ca="1">IFERROR(__xludf.DUMMYFUNCTION("GOOGLETRANSLATE(B2133,""en"",""fr"")"),"intégrer")</f>
        <v>intégrer</v>
      </c>
      <c r="F2133" s="2" t="str">
        <f ca="1">IFERROR(__xludf.DUMMYFUNCTION("GOOGLETRANSLATE(B2133,""en"",""it"")"),"incorporare")</f>
        <v>incorporare</v>
      </c>
      <c r="G2133" s="2" t="str">
        <f ca="1">IFERROR(__xludf.DUMMYFUNCTION("GOOGLETRANSLATE(B2133,""en"",""de"")"),"Übernehmen")</f>
        <v>Übernehmen</v>
      </c>
      <c r="H2133" s="2" t="str">
        <f ca="1">IFERROR(__xludf.DUMMYFUNCTION("GOOGLETRANSLATE(B2133,""en"",""zh"")"),"包含")</f>
        <v>包含</v>
      </c>
      <c r="I2133" s="2" t="str">
        <f ca="1">IFERROR(__xludf.DUMMYFUNCTION("GOOGLETRANSLATE(B2133,""en"",""gd"")"),"toirt a-steach")</f>
        <v>toirt a-steach</v>
      </c>
    </row>
    <row r="2134" spans="1:9" ht="14.25" customHeight="1" x14ac:dyDescent="0.3">
      <c r="A2134" s="2">
        <v>2133</v>
      </c>
      <c r="B2134" s="3" t="s">
        <v>2141</v>
      </c>
      <c r="C2134" s="2" t="str">
        <f ca="1">IFERROR(__xludf.DUMMYFUNCTION("GOOGLETRANSLATE(B2134, ""en"",""es"")"),"verter")</f>
        <v>verter</v>
      </c>
      <c r="D2134" s="2" t="str">
        <f ca="1">IFERROR(__xludf.DUMMYFUNCTION("GOOGLETRANSLATE(B2134,""en"",""ig"")"),"wunye")</f>
        <v>wunye</v>
      </c>
      <c r="E2134" s="2" t="str">
        <f ca="1">IFERROR(__xludf.DUMMYFUNCTION("GOOGLETRANSLATE(B2134,""en"",""fr"")"),"verser")</f>
        <v>verser</v>
      </c>
      <c r="F2134" s="2" t="str">
        <f ca="1">IFERROR(__xludf.DUMMYFUNCTION("GOOGLETRANSLATE(B2134,""en"",""it"")"),"versare")</f>
        <v>versare</v>
      </c>
      <c r="G2134" s="2" t="str">
        <f ca="1">IFERROR(__xludf.DUMMYFUNCTION("GOOGLETRANSLATE(B2134,""en"",""de"")"),"gießen")</f>
        <v>gießen</v>
      </c>
      <c r="H2134" s="2" t="str">
        <f ca="1">IFERROR(__xludf.DUMMYFUNCTION("GOOGLETRANSLATE(B2134,""en"",""zh"")"),"倒")</f>
        <v>倒</v>
      </c>
      <c r="I2134" s="2" t="str">
        <f ca="1">IFERROR(__xludf.DUMMYFUNCTION("GOOGLETRANSLATE(B2134,""en"",""gd"")"),"dòrtadh")</f>
        <v>dòrtadh</v>
      </c>
    </row>
    <row r="2135" spans="1:9" ht="14.25" customHeight="1" x14ac:dyDescent="0.3">
      <c r="A2135" s="2">
        <v>2134</v>
      </c>
      <c r="B2135" s="3" t="s">
        <v>2142</v>
      </c>
      <c r="C2135" s="2" t="str">
        <f ca="1">IFERROR(__xludf.DUMMYFUNCTION("GOOGLETRANSLATE(B2135, ""en"",""es"")"),"barrer")</f>
        <v>barrer</v>
      </c>
      <c r="D2135" s="2" t="str">
        <f ca="1">IFERROR(__xludf.DUMMYFUNCTION("GOOGLETRANSLATE(B2135,""en"",""ig"")"),"iza")</f>
        <v>iza</v>
      </c>
      <c r="E2135" s="2" t="str">
        <f ca="1">IFERROR(__xludf.DUMMYFUNCTION("GOOGLETRANSLATE(B2135,""en"",""fr"")"),"balayer")</f>
        <v>balayer</v>
      </c>
      <c r="F2135" s="2" t="str">
        <f ca="1">IFERROR(__xludf.DUMMYFUNCTION("GOOGLETRANSLATE(B2135,""en"",""it"")"),"spazzare")</f>
        <v>spazzare</v>
      </c>
      <c r="G2135" s="2" t="str">
        <f ca="1">IFERROR(__xludf.DUMMYFUNCTION("GOOGLETRANSLATE(B2135,""en"",""de"")"),"fegen")</f>
        <v>fegen</v>
      </c>
      <c r="H2135" s="2" t="str">
        <f ca="1">IFERROR(__xludf.DUMMYFUNCTION("GOOGLETRANSLATE(B2135,""en"",""zh"")"),"扫")</f>
        <v>扫</v>
      </c>
      <c r="I2135" s="2" t="str">
        <f ca="1">IFERROR(__xludf.DUMMYFUNCTION("GOOGLETRANSLATE(B2135,""en"",""gd"")"),"sguab")</f>
        <v>sguab</v>
      </c>
    </row>
    <row r="2136" spans="1:9" ht="14.25" customHeight="1" x14ac:dyDescent="0.3">
      <c r="A2136" s="2">
        <v>2135</v>
      </c>
      <c r="B2136" s="3" t="s">
        <v>2143</v>
      </c>
      <c r="C2136" s="2" t="str">
        <f ca="1">IFERROR(__xludf.DUMMYFUNCTION("GOOGLETRANSLATE(B2136, ""en"",""es"")"),"obligación")</f>
        <v>obligación</v>
      </c>
      <c r="D2136" s="2" t="str">
        <f ca="1">IFERROR(__xludf.DUMMYFUNCTION("GOOGLETRANSLATE(B2136,""en"",""ig"")"),"njikotara")</f>
        <v>njikotara</v>
      </c>
      <c r="E2136" s="2" t="str">
        <f ca="1">IFERROR(__xludf.DUMMYFUNCTION("GOOGLETRANSLATE(B2136,""en"",""fr"")"),"obligation")</f>
        <v>obligation</v>
      </c>
      <c r="F2136" s="2" t="str">
        <f ca="1">IFERROR(__xludf.DUMMYFUNCTION("GOOGLETRANSLATE(B2136,""en"",""it"")"),"obbligo")</f>
        <v>obbligo</v>
      </c>
      <c r="G2136" s="2" t="str">
        <f ca="1">IFERROR(__xludf.DUMMYFUNCTION("GOOGLETRANSLATE(B2136,""en"",""de"")"),"Verpflichtung")</f>
        <v>Verpflichtung</v>
      </c>
      <c r="H2136" s="2" t="str">
        <f ca="1">IFERROR(__xludf.DUMMYFUNCTION("GOOGLETRANSLATE(B2136,""en"",""zh"")"),"义务")</f>
        <v>义务</v>
      </c>
      <c r="I2136" s="2" t="str">
        <f ca="1">IFERROR(__xludf.DUMMYFUNCTION("GOOGLETRANSLATE(B2136,""en"",""gd"")"),"Dleastanas")</f>
        <v>Dleastanas</v>
      </c>
    </row>
    <row r="2137" spans="1:9" ht="14.25" customHeight="1" x14ac:dyDescent="0.3">
      <c r="A2137" s="2">
        <v>2136</v>
      </c>
      <c r="B2137" s="3" t="s">
        <v>2144</v>
      </c>
      <c r="C2137" s="2" t="str">
        <f ca="1">IFERROR(__xludf.DUMMYFUNCTION("GOOGLETRANSLATE(B2137, ""en"",""es"")"),"Señor")</f>
        <v>Señor</v>
      </c>
      <c r="D2137" s="2" t="str">
        <f ca="1">IFERROR(__xludf.DUMMYFUNCTION("GOOGLETRANSLATE(B2137,""en"",""ig"")"),"saar")</f>
        <v>saar</v>
      </c>
      <c r="E2137" s="2" t="str">
        <f ca="1">IFERROR(__xludf.DUMMYFUNCTION("GOOGLETRANSLATE(B2137,""en"",""fr"")"),"Monsieur")</f>
        <v>Monsieur</v>
      </c>
      <c r="F2137" s="2" t="str">
        <f ca="1">IFERROR(__xludf.DUMMYFUNCTION("GOOGLETRANSLATE(B2137,""en"",""it"")"),"Signore")</f>
        <v>Signore</v>
      </c>
      <c r="G2137" s="2" t="str">
        <f ca="1">IFERROR(__xludf.DUMMYFUNCTION("GOOGLETRANSLATE(B2137,""en"",""de"")"),"Herr")</f>
        <v>Herr</v>
      </c>
      <c r="H2137" s="2" t="str">
        <f ca="1">IFERROR(__xludf.DUMMYFUNCTION("GOOGLETRANSLATE(B2137,""en"",""zh"")"),"先生")</f>
        <v>先生</v>
      </c>
      <c r="I2137" s="2" t="str">
        <f ca="1">IFERROR(__xludf.DUMMYFUNCTION("GOOGLETRANSLATE(B2137,""en"",""gd"")"),"sir")</f>
        <v>sir</v>
      </c>
    </row>
    <row r="2138" spans="1:9" ht="14.25" customHeight="1" x14ac:dyDescent="0.3">
      <c r="A2138" s="2">
        <v>2137</v>
      </c>
      <c r="B2138" s="3" t="s">
        <v>2145</v>
      </c>
      <c r="C2138" s="2" t="str">
        <f ca="1">IFERROR(__xludf.DUMMYFUNCTION("GOOGLETRANSLATE(B2138, ""en"",""es"")"),"evaluar")</f>
        <v>evaluar</v>
      </c>
      <c r="D2138" s="2" t="str">
        <f ca="1">IFERROR(__xludf.DUMMYFUNCTION("GOOGLETRANSLATE(B2138,""en"",""ig"")"),"inwale")</f>
        <v>inwale</v>
      </c>
      <c r="E2138" s="2" t="str">
        <f ca="1">IFERROR(__xludf.DUMMYFUNCTION("GOOGLETRANSLATE(B2138,""en"",""fr"")"),"évaluer")</f>
        <v>évaluer</v>
      </c>
      <c r="F2138" s="2" t="str">
        <f ca="1">IFERROR(__xludf.DUMMYFUNCTION("GOOGLETRANSLATE(B2138,""en"",""it"")"),"valutare")</f>
        <v>valutare</v>
      </c>
      <c r="G2138" s="2" t="str">
        <f ca="1">IFERROR(__xludf.DUMMYFUNCTION("GOOGLETRANSLATE(B2138,""en"",""de"")"),"auswerten")</f>
        <v>auswerten</v>
      </c>
      <c r="H2138" s="2" t="str">
        <f ca="1">IFERROR(__xludf.DUMMYFUNCTION("GOOGLETRANSLATE(B2138,""en"",""zh"")"),"评价")</f>
        <v>评价</v>
      </c>
      <c r="I2138" s="2" t="str">
        <f ca="1">IFERROR(__xludf.DUMMYFUNCTION("GOOGLETRANSLATE(B2138,""en"",""gd"")"),"Dèan measadh")</f>
        <v>Dèan measadh</v>
      </c>
    </row>
    <row r="2139" spans="1:9" ht="14.25" customHeight="1" x14ac:dyDescent="0.3">
      <c r="A2139" s="2">
        <v>2138</v>
      </c>
      <c r="B2139" s="3" t="s">
        <v>2146</v>
      </c>
      <c r="C2139" s="2" t="str">
        <f ca="1">IFERROR(__xludf.DUMMYFUNCTION("GOOGLETRANSLATE(B2139, ""en"",""es"")"),"enojo")</f>
        <v>enojo</v>
      </c>
      <c r="D2139" s="2" t="str">
        <f ca="1">IFERROR(__xludf.DUMMYFUNCTION("GOOGLETRANSLATE(B2139,""en"",""ig"")"),"iwe")</f>
        <v>iwe</v>
      </c>
      <c r="E2139" s="2" t="str">
        <f ca="1">IFERROR(__xludf.DUMMYFUNCTION("GOOGLETRANSLATE(B2139,""en"",""fr"")"),"colère")</f>
        <v>colère</v>
      </c>
      <c r="F2139" s="2" t="str">
        <f ca="1">IFERROR(__xludf.DUMMYFUNCTION("GOOGLETRANSLATE(B2139,""en"",""it"")"),"rabbia")</f>
        <v>rabbia</v>
      </c>
      <c r="G2139" s="2" t="str">
        <f ca="1">IFERROR(__xludf.DUMMYFUNCTION("GOOGLETRANSLATE(B2139,""en"",""de"")"),"Wut")</f>
        <v>Wut</v>
      </c>
      <c r="H2139" s="2" t="str">
        <f ca="1">IFERROR(__xludf.DUMMYFUNCTION("GOOGLETRANSLATE(B2139,""en"",""zh"")"),"愤怒")</f>
        <v>愤怒</v>
      </c>
      <c r="I2139" s="2" t="str">
        <f ca="1">IFERROR(__xludf.DUMMYFUNCTION("GOOGLETRANSLATE(B2139,""en"",""gd"")"),"fearg")</f>
        <v>fearg</v>
      </c>
    </row>
    <row r="2140" spans="1:9" ht="14.25" customHeight="1" x14ac:dyDescent="0.3">
      <c r="A2140" s="2">
        <v>2139</v>
      </c>
      <c r="B2140" s="3" t="s">
        <v>2147</v>
      </c>
      <c r="C2140" s="2" t="str">
        <f ca="1">IFERROR(__xludf.DUMMYFUNCTION("GOOGLETRANSLATE(B2140, ""en"",""es"")"),"pub")</f>
        <v>pub</v>
      </c>
      <c r="D2140" s="2" t="str">
        <f ca="1">IFERROR(__xludf.DUMMYFUNCTION("GOOGLETRANSLATE(B2140,""en"",""ig"")"),"ebe inu mmanya")</f>
        <v>ebe inu mmanya</v>
      </c>
      <c r="E2140" s="2" t="str">
        <f ca="1">IFERROR(__xludf.DUMMYFUNCTION("GOOGLETRANSLATE(B2140,""en"",""fr"")"),"pub")</f>
        <v>pub</v>
      </c>
      <c r="F2140" s="2" t="str">
        <f ca="1">IFERROR(__xludf.DUMMYFUNCTION("GOOGLETRANSLATE(B2140,""en"",""it"")"),"pub")</f>
        <v>pub</v>
      </c>
      <c r="G2140" s="2" t="str">
        <f ca="1">IFERROR(__xludf.DUMMYFUNCTION("GOOGLETRANSLATE(B2140,""en"",""de"")"),"Pub")</f>
        <v>Pub</v>
      </c>
      <c r="H2140" s="2" t="str">
        <f ca="1">IFERROR(__xludf.DUMMYFUNCTION("GOOGLETRANSLATE(B2140,""en"",""zh"")"),"酒吧")</f>
        <v>酒吧</v>
      </c>
      <c r="I2140" s="2" t="str">
        <f ca="1">IFERROR(__xludf.DUMMYFUNCTION("GOOGLETRANSLATE(B2140,""en"",""gd"")"),"taigh-seinnse")</f>
        <v>taigh-seinnse</v>
      </c>
    </row>
    <row r="2141" spans="1:9" ht="14.25" customHeight="1" x14ac:dyDescent="0.3">
      <c r="A2141" s="2">
        <v>2140</v>
      </c>
      <c r="B2141" s="3" t="s">
        <v>2148</v>
      </c>
      <c r="C2141" s="2" t="str">
        <f ca="1">IFERROR(__xludf.DUMMYFUNCTION("GOOGLETRANSLATE(B2141, ""en"",""es"")"),"percepción")</f>
        <v>percepción</v>
      </c>
      <c r="D2141" s="2" t="str">
        <f ca="1">IFERROR(__xludf.DUMMYFUNCTION("GOOGLETRANSLATE(B2141,""en"",""ig"")"),"ngannuche")</f>
        <v>ngannuche</v>
      </c>
      <c r="E2141" s="2" t="str">
        <f ca="1">IFERROR(__xludf.DUMMYFUNCTION("GOOGLETRANSLATE(B2141,""en"",""fr"")"),"perception")</f>
        <v>perception</v>
      </c>
      <c r="F2141" s="2" t="str">
        <f ca="1">IFERROR(__xludf.DUMMYFUNCTION("GOOGLETRANSLATE(B2141,""en"",""it"")"),"percezione")</f>
        <v>percezione</v>
      </c>
      <c r="G2141" s="2" t="str">
        <f ca="1">IFERROR(__xludf.DUMMYFUNCTION("GOOGLETRANSLATE(B2141,""en"",""de"")"),"Wahrnehmung")</f>
        <v>Wahrnehmung</v>
      </c>
      <c r="H2141" s="2" t="str">
        <f ca="1">IFERROR(__xludf.DUMMYFUNCTION("GOOGLETRANSLATE(B2141,""en"",""zh"")"),"洞察力")</f>
        <v>洞察力</v>
      </c>
      <c r="I2141" s="2" t="str">
        <f ca="1">IFERROR(__xludf.DUMMYFUNCTION("GOOGLETRANSLATE(B2141,""en"",""gd"")"),"Beachd")</f>
        <v>Beachd</v>
      </c>
    </row>
    <row r="2142" spans="1:9" ht="14.25" customHeight="1" x14ac:dyDescent="0.3">
      <c r="A2142" s="2">
        <v>2141</v>
      </c>
      <c r="B2142" s="3" t="s">
        <v>2149</v>
      </c>
      <c r="C2142" s="2" t="str">
        <f ca="1">IFERROR(__xludf.DUMMYFUNCTION("GOOGLETRANSLATE(B2142, ""en"",""es"")"),"naturalmente")</f>
        <v>naturalmente</v>
      </c>
      <c r="D2142" s="2" t="str">
        <f ca="1">IFERROR(__xludf.DUMMYFUNCTION("GOOGLETRANSLATE(B2142,""en"",""ig"")"),"okpunuwa")</f>
        <v>okpunuwa</v>
      </c>
      <c r="E2142" s="2" t="str">
        <f ca="1">IFERROR(__xludf.DUMMYFUNCTION("GOOGLETRANSLATE(B2142,""en"",""fr"")"),"naturellement")</f>
        <v>naturellement</v>
      </c>
      <c r="F2142" s="2" t="str">
        <f ca="1">IFERROR(__xludf.DUMMYFUNCTION("GOOGLETRANSLATE(B2142,""en"",""it"")"),"naturalmente")</f>
        <v>naturalmente</v>
      </c>
      <c r="G2142" s="2" t="str">
        <f ca="1">IFERROR(__xludf.DUMMYFUNCTION("GOOGLETRANSLATE(B2142,""en"",""de"")"),"natürlich")</f>
        <v>natürlich</v>
      </c>
      <c r="H2142" s="2" t="str">
        <f ca="1">IFERROR(__xludf.DUMMYFUNCTION("GOOGLETRANSLATE(B2142,""en"",""zh"")"),"自然")</f>
        <v>自然</v>
      </c>
      <c r="I2142" s="2" t="str">
        <f ca="1">IFERROR(__xludf.DUMMYFUNCTION("GOOGLETRANSLATE(B2142,""en"",""gd"")"),"gu nàdarra")</f>
        <v>gu nàdarra</v>
      </c>
    </row>
    <row r="2143" spans="1:9" ht="14.25" customHeight="1" x14ac:dyDescent="0.3">
      <c r="A2143" s="2">
        <v>2142</v>
      </c>
      <c r="B2143" s="3" t="s">
        <v>2150</v>
      </c>
      <c r="C2143" s="2" t="str">
        <f ca="1">IFERROR(__xludf.DUMMYFUNCTION("GOOGLETRANSLATE(B2143, ""en"",""es"")"),"divisa")</f>
        <v>divisa</v>
      </c>
      <c r="D2143" s="2" t="str">
        <f ca="1">IFERROR(__xludf.DUMMYFUNCTION("GOOGLETRANSLATE(B2143,""en"",""ig"")"),"ego")</f>
        <v>ego</v>
      </c>
      <c r="E2143" s="2" t="str">
        <f ca="1">IFERROR(__xludf.DUMMYFUNCTION("GOOGLETRANSLATE(B2143,""en"",""fr"")"),"devise")</f>
        <v>devise</v>
      </c>
      <c r="F2143" s="2" t="str">
        <f ca="1">IFERROR(__xludf.DUMMYFUNCTION("GOOGLETRANSLATE(B2143,""en"",""it"")"),"valuta")</f>
        <v>valuta</v>
      </c>
      <c r="G2143" s="2" t="str">
        <f ca="1">IFERROR(__xludf.DUMMYFUNCTION("GOOGLETRANSLATE(B2143,""en"",""de"")"),"Währung")</f>
        <v>Währung</v>
      </c>
      <c r="H2143" s="2" t="str">
        <f ca="1">IFERROR(__xludf.DUMMYFUNCTION("GOOGLETRANSLATE(B2143,""en"",""zh"")"),"货币")</f>
        <v>货币</v>
      </c>
      <c r="I2143" s="2" t="str">
        <f ca="1">IFERROR(__xludf.DUMMYFUNCTION("GOOGLETRANSLATE(B2143,""en"",""gd"")"),"Airgead")</f>
        <v>Airgead</v>
      </c>
    </row>
    <row r="2144" spans="1:9" ht="14.25" customHeight="1" x14ac:dyDescent="0.3">
      <c r="A2144" s="2">
        <v>2143</v>
      </c>
      <c r="B2144" s="3" t="s">
        <v>2151</v>
      </c>
      <c r="C2144" s="2" t="str">
        <f ca="1">IFERROR(__xludf.DUMMYFUNCTION("GOOGLETRANSLATE(B2144, ""en"",""es"")"),"base de datos")</f>
        <v>base de datos</v>
      </c>
      <c r="D2144" s="2" t="str">
        <f ca="1">IFERROR(__xludf.DUMMYFUNCTION("GOOGLETRANSLATE(B2144,""en"",""ig"")"),"nchekwa data")</f>
        <v>nchekwa data</v>
      </c>
      <c r="E2144" s="2" t="str">
        <f ca="1">IFERROR(__xludf.DUMMYFUNCTION("GOOGLETRANSLATE(B2144,""en"",""fr"")"),"base de données")</f>
        <v>base de données</v>
      </c>
      <c r="F2144" s="2" t="str">
        <f ca="1">IFERROR(__xludf.DUMMYFUNCTION("GOOGLETRANSLATE(B2144,""en"",""it"")"),"Banca dati")</f>
        <v>Banca dati</v>
      </c>
      <c r="G2144" s="2" t="str">
        <f ca="1">IFERROR(__xludf.DUMMYFUNCTION("GOOGLETRANSLATE(B2144,""en"",""de"")"),"Datenbank")</f>
        <v>Datenbank</v>
      </c>
      <c r="H2144" s="2" t="str">
        <f ca="1">IFERROR(__xludf.DUMMYFUNCTION("GOOGLETRANSLATE(B2144,""en"",""zh"")"),"数据库")</f>
        <v>数据库</v>
      </c>
      <c r="I2144" s="2" t="str">
        <f ca="1">IFERROR(__xludf.DUMMYFUNCTION("GOOGLETRANSLATE(B2144,""en"",""gd"")"),"stòr-dàta")</f>
        <v>stòr-dàta</v>
      </c>
    </row>
    <row r="2145" spans="1:9" ht="14.25" customHeight="1" x14ac:dyDescent="0.3">
      <c r="A2145" s="2">
        <v>2144</v>
      </c>
      <c r="B2145" s="3" t="s">
        <v>2152</v>
      </c>
      <c r="C2145" s="2" t="str">
        <f ca="1">IFERROR(__xludf.DUMMYFUNCTION("GOOGLETRANSLATE(B2145, ""en"",""es"")"),"inicialmente")</f>
        <v>inicialmente</v>
      </c>
      <c r="D2145" s="2" t="str">
        <f ca="1">IFERROR(__xludf.DUMMYFUNCTION("GOOGLETRANSLATE(B2145,""en"",""ig"")"),"ibido")</f>
        <v>ibido</v>
      </c>
      <c r="E2145" s="2" t="str">
        <f ca="1">IFERROR(__xludf.DUMMYFUNCTION("GOOGLETRANSLATE(B2145,""en"",""fr"")"),"initialement")</f>
        <v>initialement</v>
      </c>
      <c r="F2145" s="2" t="str">
        <f ca="1">IFERROR(__xludf.DUMMYFUNCTION("GOOGLETRANSLATE(B2145,""en"",""it"")"),"Inizialmente")</f>
        <v>Inizialmente</v>
      </c>
      <c r="G2145" s="2" t="str">
        <f ca="1">IFERROR(__xludf.DUMMYFUNCTION("GOOGLETRANSLATE(B2145,""en"",""de"")"),"anfänglich")</f>
        <v>anfänglich</v>
      </c>
      <c r="H2145" s="2" t="str">
        <f ca="1">IFERROR(__xludf.DUMMYFUNCTION("GOOGLETRANSLATE(B2145,""en"",""zh"")"),"最初")</f>
        <v>最初</v>
      </c>
      <c r="I2145" s="2" t="str">
        <f ca="1">IFERROR(__xludf.DUMMYFUNCTION("GOOGLETRANSLATE(B2145,""en"",""gd"")"),"an toiseach")</f>
        <v>an toiseach</v>
      </c>
    </row>
    <row r="2146" spans="1:9" ht="14.25" customHeight="1" x14ac:dyDescent="0.3">
      <c r="A2146" s="2">
        <v>2145</v>
      </c>
      <c r="B2146" s="3" t="s">
        <v>2153</v>
      </c>
      <c r="C2146" s="2" t="str">
        <f ca="1">IFERROR(__xludf.DUMMYFUNCTION("GOOGLETRANSLATE(B2146, ""en"",""es"")"),"territorio")</f>
        <v>territorio</v>
      </c>
      <c r="D2146" s="2" t="str">
        <f ca="1">IFERROR(__xludf.DUMMYFUNCTION("GOOGLETRANSLATE(B2146,""en"",""ig"")"),"alaonye")</f>
        <v>alaonye</v>
      </c>
      <c r="E2146" s="2" t="str">
        <f ca="1">IFERROR(__xludf.DUMMYFUNCTION("GOOGLETRANSLATE(B2146,""en"",""fr"")"),"territoire")</f>
        <v>territoire</v>
      </c>
      <c r="F2146" s="2" t="str">
        <f ca="1">IFERROR(__xludf.DUMMYFUNCTION("GOOGLETRANSLATE(B2146,""en"",""it"")"),"territorio")</f>
        <v>territorio</v>
      </c>
      <c r="G2146" s="2" t="str">
        <f ca="1">IFERROR(__xludf.DUMMYFUNCTION("GOOGLETRANSLATE(B2146,""en"",""de"")"),"Gebiet")</f>
        <v>Gebiet</v>
      </c>
      <c r="H2146" s="2" t="str">
        <f ca="1">IFERROR(__xludf.DUMMYFUNCTION("GOOGLETRANSLATE(B2146,""en"",""zh"")"),"领土")</f>
        <v>领土</v>
      </c>
      <c r="I2146" s="2" t="str">
        <f ca="1">IFERROR(__xludf.DUMMYFUNCTION("GOOGLETRANSLATE(B2146,""en"",""gd"")"),"Sgìre")</f>
        <v>Sgìre</v>
      </c>
    </row>
    <row r="2147" spans="1:9" ht="14.25" customHeight="1" x14ac:dyDescent="0.3">
      <c r="A2147" s="2">
        <v>2146</v>
      </c>
      <c r="B2147" s="3" t="s">
        <v>2154</v>
      </c>
      <c r="C2147" s="2" t="str">
        <f ca="1">IFERROR(__xludf.DUMMYFUNCTION("GOOGLETRANSLATE(B2147, ""en"",""es"")"),"arroyo")</f>
        <v>arroyo</v>
      </c>
      <c r="D2147" s="2" t="str">
        <f ca="1">IFERROR(__xludf.DUMMYFUNCTION("GOOGLETRANSLATE(B2147,""en"",""ig"")"),"iyi")</f>
        <v>iyi</v>
      </c>
      <c r="E2147" s="2" t="str">
        <f ca="1">IFERROR(__xludf.DUMMYFUNCTION("GOOGLETRANSLATE(B2147,""en"",""fr"")"),"flux")</f>
        <v>flux</v>
      </c>
      <c r="F2147" s="2" t="str">
        <f ca="1">IFERROR(__xludf.DUMMYFUNCTION("GOOGLETRANSLATE(B2147,""en"",""it"")"),"flusso")</f>
        <v>flusso</v>
      </c>
      <c r="G2147" s="2" t="str">
        <f ca="1">IFERROR(__xludf.DUMMYFUNCTION("GOOGLETRANSLATE(B2147,""en"",""de"")"),"Strom")</f>
        <v>Strom</v>
      </c>
      <c r="H2147" s="2" t="str">
        <f ca="1">IFERROR(__xludf.DUMMYFUNCTION("GOOGLETRANSLATE(B2147,""en"",""zh"")"),"溪流")</f>
        <v>溪流</v>
      </c>
      <c r="I2147" s="2" t="str">
        <f ca="1">IFERROR(__xludf.DUMMYFUNCTION("GOOGLETRANSLATE(B2147,""en"",""gd"")"),"allt")</f>
        <v>allt</v>
      </c>
    </row>
    <row r="2148" spans="1:9" ht="14.25" customHeight="1" x14ac:dyDescent="0.3">
      <c r="A2148" s="2">
        <v>2147</v>
      </c>
      <c r="B2148" s="3" t="s">
        <v>2155</v>
      </c>
      <c r="C2148" s="2" t="str">
        <f ca="1">IFERROR(__xludf.DUMMYFUNCTION("GOOGLETRANSLATE(B2148, ""en"",""es"")"),"casi nunca")</f>
        <v>casi nunca</v>
      </c>
      <c r="D2148" s="2" t="str">
        <f ca="1">IFERROR(__xludf.DUMMYFUNCTION("GOOGLETRANSLATE(B2148,""en"",""ig"")"),"adịkarịghị")</f>
        <v>adịkarịghị</v>
      </c>
      <c r="E2148" s="2" t="str">
        <f ca="1">IFERROR(__xludf.DUMMYFUNCTION("GOOGLETRANSLATE(B2148,""en"",""fr"")"),"rarement")</f>
        <v>rarement</v>
      </c>
      <c r="F2148" s="2" t="str">
        <f ca="1">IFERROR(__xludf.DUMMYFUNCTION("GOOGLETRANSLATE(B2148,""en"",""it"")"),"raramente")</f>
        <v>raramente</v>
      </c>
      <c r="G2148" s="2" t="str">
        <f ca="1">IFERROR(__xludf.DUMMYFUNCTION("GOOGLETRANSLATE(B2148,""en"",""de"")"),"selten")</f>
        <v>selten</v>
      </c>
      <c r="H2148" s="2" t="str">
        <f ca="1">IFERROR(__xludf.DUMMYFUNCTION("GOOGLETRANSLATE(B2148,""en"",""zh"")"),"很少")</f>
        <v>很少</v>
      </c>
      <c r="I2148" s="2" t="str">
        <f ca="1">IFERROR(__xludf.DUMMYFUNCTION("GOOGLETRANSLATE(B2148,""en"",""gd"")"),"ainneamh")</f>
        <v>ainneamh</v>
      </c>
    </row>
    <row r="2149" spans="1:9" ht="14.25" customHeight="1" x14ac:dyDescent="0.3">
      <c r="A2149" s="2">
        <v>2148</v>
      </c>
      <c r="B2149" s="3" t="s">
        <v>2156</v>
      </c>
      <c r="C2149" s="2" t="str">
        <f ca="1">IFERROR(__xludf.DUMMYFUNCTION("GOOGLETRANSLATE(B2149, ""en"",""es"")"),"altura")</f>
        <v>altura</v>
      </c>
      <c r="D2149" s="2" t="str">
        <f ca="1">IFERROR(__xludf.DUMMYFUNCTION("GOOGLETRANSLATE(B2149,""en"",""ig"")"),"ogo")</f>
        <v>ogo</v>
      </c>
      <c r="E2149" s="2" t="str">
        <f ca="1">IFERROR(__xludf.DUMMYFUNCTION("GOOGLETRANSLATE(B2149,""en"",""fr"")"),"hauteur")</f>
        <v>hauteur</v>
      </c>
      <c r="F2149" s="2" t="str">
        <f ca="1">IFERROR(__xludf.DUMMYFUNCTION("GOOGLETRANSLATE(B2149,""en"",""it"")"),"altezza")</f>
        <v>altezza</v>
      </c>
      <c r="G2149" s="2" t="str">
        <f ca="1">IFERROR(__xludf.DUMMYFUNCTION("GOOGLETRANSLATE(B2149,""en"",""de"")"),"Höhe")</f>
        <v>Höhe</v>
      </c>
      <c r="H2149" s="2" t="str">
        <f ca="1">IFERROR(__xludf.DUMMYFUNCTION("GOOGLETRANSLATE(B2149,""en"",""zh"")"),"高度")</f>
        <v>高度</v>
      </c>
      <c r="I2149" s="2" t="str">
        <f ca="1">IFERROR(__xludf.DUMMYFUNCTION("GOOGLETRANSLATE(B2149,""en"",""gd"")"),"àirde")</f>
        <v>àirde</v>
      </c>
    </row>
    <row r="2150" spans="1:9" ht="14.25" customHeight="1" x14ac:dyDescent="0.3">
      <c r="A2150" s="2">
        <v>2149</v>
      </c>
      <c r="B2150" s="3" t="s">
        <v>2157</v>
      </c>
      <c r="C2150" s="2" t="str">
        <f ca="1">IFERROR(__xludf.DUMMYFUNCTION("GOOGLETRANSLATE(B2150, ""en"",""es"")"),"aparente")</f>
        <v>aparente</v>
      </c>
      <c r="D2150" s="2" t="str">
        <f ca="1">IFERROR(__xludf.DUMMYFUNCTION("GOOGLETRANSLATE(B2150,""en"",""ig"")"),"ka o di")</f>
        <v>ka o di</v>
      </c>
      <c r="E2150" s="2" t="str">
        <f ca="1">IFERROR(__xludf.DUMMYFUNCTION("GOOGLETRANSLATE(B2150,""en"",""fr"")"),"apparent")</f>
        <v>apparent</v>
      </c>
      <c r="F2150" s="2" t="str">
        <f ca="1">IFERROR(__xludf.DUMMYFUNCTION("GOOGLETRANSLATE(B2150,""en"",""it"")"),"apparente")</f>
        <v>apparente</v>
      </c>
      <c r="G2150" s="2" t="str">
        <f ca="1">IFERROR(__xludf.DUMMYFUNCTION("GOOGLETRANSLATE(B2150,""en"",""de"")"),"ersichtlich")</f>
        <v>ersichtlich</v>
      </c>
      <c r="H2150" s="2" t="str">
        <f ca="1">IFERROR(__xludf.DUMMYFUNCTION("GOOGLETRANSLATE(B2150,""en"",""zh"")"),"显而易见")</f>
        <v>显而易见</v>
      </c>
      <c r="I2150" s="2" t="str">
        <f ca="1">IFERROR(__xludf.DUMMYFUNCTION("GOOGLETRANSLATE(B2150,""en"",""gd"")"),"a rèir coltais")</f>
        <v>a rèir coltais</v>
      </c>
    </row>
    <row r="2151" spans="1:9" ht="14.25" customHeight="1" x14ac:dyDescent="0.3">
      <c r="A2151" s="2">
        <v>2150</v>
      </c>
      <c r="B2151" s="3" t="s">
        <v>2158</v>
      </c>
      <c r="C2151" s="2" t="str">
        <f ca="1">IFERROR(__xludf.DUMMYFUNCTION("GOOGLETRANSLATE(B2151, ""en"",""es"")"),"occidental")</f>
        <v>occidental</v>
      </c>
      <c r="D2151" s="2" t="str">
        <f ca="1">IFERROR(__xludf.DUMMYFUNCTION("GOOGLETRANSLATE(B2151,""en"",""ig"")"),"keodida anyanwu")</f>
        <v>keodida anyanwu</v>
      </c>
      <c r="E2151" s="2" t="str">
        <f ca="1">IFERROR(__xludf.DUMMYFUNCTION("GOOGLETRANSLATE(B2151,""en"",""fr"")"),"occidental")</f>
        <v>occidental</v>
      </c>
      <c r="F2151" s="2" t="str">
        <f ca="1">IFERROR(__xludf.DUMMYFUNCTION("GOOGLETRANSLATE(B2151,""en"",""it"")"),"occidentale")</f>
        <v>occidentale</v>
      </c>
      <c r="G2151" s="2" t="str">
        <f ca="1">IFERROR(__xludf.DUMMYFUNCTION("GOOGLETRANSLATE(B2151,""en"",""de"")"),"Western")</f>
        <v>Western</v>
      </c>
      <c r="H2151" s="2" t="str">
        <f ca="1">IFERROR(__xludf.DUMMYFUNCTION("GOOGLETRANSLATE(B2151,""en"",""zh"")"),"西")</f>
        <v>西</v>
      </c>
      <c r="I2151" s="2" t="str">
        <f ca="1">IFERROR(__xludf.DUMMYFUNCTION("GOOGLETRANSLATE(B2151,""en"",""gd"")"),"taobh an iar")</f>
        <v>taobh an iar</v>
      </c>
    </row>
    <row r="2152" spans="1:9" ht="14.25" customHeight="1" x14ac:dyDescent="0.3">
      <c r="A2152" s="2">
        <v>2151</v>
      </c>
      <c r="B2152" s="3" t="s">
        <v>2159</v>
      </c>
      <c r="C2152" s="2" t="str">
        <f ca="1">IFERROR(__xludf.DUMMYFUNCTION("GOOGLETRANSLATE(B2152, ""en"",""es"")"),"expansión")</f>
        <v>expansión</v>
      </c>
      <c r="D2152" s="2" t="str">
        <f ca="1">IFERROR(__xludf.DUMMYFUNCTION("GOOGLETRANSLATE(B2152,""en"",""ig"")"),"mmeba")</f>
        <v>mmeba</v>
      </c>
      <c r="E2152" s="2" t="str">
        <f ca="1">IFERROR(__xludf.DUMMYFUNCTION("GOOGLETRANSLATE(B2152,""en"",""fr"")"),"expansion")</f>
        <v>expansion</v>
      </c>
      <c r="F2152" s="2" t="str">
        <f ca="1">IFERROR(__xludf.DUMMYFUNCTION("GOOGLETRANSLATE(B2152,""en"",""it"")"),"espansione")</f>
        <v>espansione</v>
      </c>
      <c r="G2152" s="2" t="str">
        <f ca="1">IFERROR(__xludf.DUMMYFUNCTION("GOOGLETRANSLATE(B2152,""en"",""de"")"),"Erweiterung")</f>
        <v>Erweiterung</v>
      </c>
      <c r="H2152" s="2" t="str">
        <f ca="1">IFERROR(__xludf.DUMMYFUNCTION("GOOGLETRANSLATE(B2152,""en"",""zh"")"),"扩张")</f>
        <v>扩张</v>
      </c>
      <c r="I2152" s="2" t="str">
        <f ca="1">IFERROR(__xludf.DUMMYFUNCTION("GOOGLETRANSLATE(B2152,""en"",""gd"")"),"Leudachadh")</f>
        <v>Leudachadh</v>
      </c>
    </row>
    <row r="2153" spans="1:9" ht="14.25" customHeight="1" x14ac:dyDescent="0.3">
      <c r="A2153" s="2">
        <v>2152</v>
      </c>
      <c r="B2153" s="3" t="s">
        <v>2160</v>
      </c>
      <c r="C2153" s="2" t="str">
        <f ca="1">IFERROR(__xludf.DUMMYFUNCTION("GOOGLETRANSLATE(B2153, ""en"",""es"")"),"constantemente")</f>
        <v>constantemente</v>
      </c>
      <c r="D2153" s="2" t="str">
        <f ca="1">IFERROR(__xludf.DUMMYFUNCTION("GOOGLETRANSLATE(B2153,""en"",""ig"")"),"echejighi")</f>
        <v>echejighi</v>
      </c>
      <c r="E2153" s="2" t="str">
        <f ca="1">IFERROR(__xludf.DUMMYFUNCTION("GOOGLETRANSLATE(B2153,""en"",""fr"")"),"en permanence")</f>
        <v>en permanence</v>
      </c>
      <c r="F2153" s="2" t="str">
        <f ca="1">IFERROR(__xludf.DUMMYFUNCTION("GOOGLETRANSLATE(B2153,""en"",""it"")"),"costantemente")</f>
        <v>costantemente</v>
      </c>
      <c r="G2153" s="2" t="str">
        <f ca="1">IFERROR(__xludf.DUMMYFUNCTION("GOOGLETRANSLATE(B2153,""en"",""de"")"),"ständig")</f>
        <v>ständig</v>
      </c>
      <c r="H2153" s="2" t="str">
        <f ca="1">IFERROR(__xludf.DUMMYFUNCTION("GOOGLETRANSLATE(B2153,""en"",""zh"")"),"不断地")</f>
        <v>不断地</v>
      </c>
      <c r="I2153" s="2" t="str">
        <f ca="1">IFERROR(__xludf.DUMMYFUNCTION("GOOGLETRANSLATE(B2153,""en"",""gd"")"),"an-còmhnaidh")</f>
        <v>an-còmhnaidh</v>
      </c>
    </row>
    <row r="2154" spans="1:9" ht="14.25" customHeight="1" x14ac:dyDescent="0.3">
      <c r="A2154" s="2">
        <v>2153</v>
      </c>
      <c r="B2154" s="3" t="s">
        <v>2161</v>
      </c>
      <c r="C2154" s="2" t="str">
        <f ca="1">IFERROR(__xludf.DUMMYFUNCTION("GOOGLETRANSLATE(B2154, ""en"",""es"")"),"músculo")</f>
        <v>músculo</v>
      </c>
      <c r="D2154" s="2" t="str">
        <f ca="1">IFERROR(__xludf.DUMMYFUNCTION("GOOGLETRANSLATE(B2154,""en"",""ig"")"),"anuaru")</f>
        <v>anuaru</v>
      </c>
      <c r="E2154" s="2" t="str">
        <f ca="1">IFERROR(__xludf.DUMMYFUNCTION("GOOGLETRANSLATE(B2154,""en"",""fr"")"),"muscle")</f>
        <v>muscle</v>
      </c>
      <c r="F2154" s="2" t="str">
        <f ca="1">IFERROR(__xludf.DUMMYFUNCTION("GOOGLETRANSLATE(B2154,""en"",""it"")"),"muscolo")</f>
        <v>muscolo</v>
      </c>
      <c r="G2154" s="2" t="str">
        <f ca="1">IFERROR(__xludf.DUMMYFUNCTION("GOOGLETRANSLATE(B2154,""en"",""de"")"),"Muskel")</f>
        <v>Muskel</v>
      </c>
      <c r="H2154" s="2" t="str">
        <f ca="1">IFERROR(__xludf.DUMMYFUNCTION("GOOGLETRANSLATE(B2154,""en"",""zh"")"),"肌肉")</f>
        <v>肌肉</v>
      </c>
      <c r="I2154" s="2" t="str">
        <f ca="1">IFERROR(__xludf.DUMMYFUNCTION("GOOGLETRANSLATE(B2154,""en"",""gd"")"),"fèithean")</f>
        <v>fèithean</v>
      </c>
    </row>
    <row r="2155" spans="1:9" ht="14.25" customHeight="1" x14ac:dyDescent="0.3">
      <c r="A2155" s="2">
        <v>2154</v>
      </c>
      <c r="B2155" s="3" t="s">
        <v>2162</v>
      </c>
      <c r="C2155" s="2" t="str">
        <f ca="1">IFERROR(__xludf.DUMMYFUNCTION("GOOGLETRANSLATE(B2155, ""en"",""es"")"),"susto")</f>
        <v>susto</v>
      </c>
      <c r="D2155" s="2" t="str">
        <f ca="1">IFERROR(__xludf.DUMMYFUNCTION("GOOGLETRANSLATE(B2155,""en"",""ig"")"),"imenyeujo")</f>
        <v>imenyeujo</v>
      </c>
      <c r="E2155" s="2" t="str">
        <f ca="1">IFERROR(__xludf.DUMMYFUNCTION("GOOGLETRANSLATE(B2155,""en"",""fr"")"),"effrayer")</f>
        <v>effrayer</v>
      </c>
      <c r="F2155" s="2" t="str">
        <f ca="1">IFERROR(__xludf.DUMMYFUNCTION("GOOGLETRANSLATE(B2155,""en"",""it"")"),"spavento")</f>
        <v>spavento</v>
      </c>
      <c r="G2155" s="2" t="str">
        <f ca="1">IFERROR(__xludf.DUMMYFUNCTION("GOOGLETRANSLATE(B2155,""en"",""de"")"),"Schrecken")</f>
        <v>Schrecken</v>
      </c>
      <c r="H2155" s="2" t="str">
        <f ca="1">IFERROR(__xludf.DUMMYFUNCTION("GOOGLETRANSLATE(B2155,""en"",""zh"")"),"吓")</f>
        <v>吓</v>
      </c>
      <c r="I2155" s="2" t="str">
        <f ca="1">IFERROR(__xludf.DUMMYFUNCTION("GOOGLETRANSLATE(B2155,""en"",""gd"")"),"eagal")</f>
        <v>eagal</v>
      </c>
    </row>
    <row r="2156" spans="1:9" ht="14.25" customHeight="1" x14ac:dyDescent="0.3">
      <c r="A2156" s="2">
        <v>2155</v>
      </c>
      <c r="B2156" s="3" t="s">
        <v>2163</v>
      </c>
      <c r="C2156" s="2" t="str">
        <f ca="1">IFERROR(__xludf.DUMMYFUNCTION("GOOGLETRANSLATE(B2156, ""en"",""es"")"),"gravemente")</f>
        <v>gravemente</v>
      </c>
      <c r="D2156" s="2" t="str">
        <f ca="1">IFERROR(__xludf.DUMMYFUNCTION("GOOGLETRANSLATE(B2156,""en"",""ig"")"),"ajo")</f>
        <v>ajo</v>
      </c>
      <c r="E2156" s="2" t="str">
        <f ca="1">IFERROR(__xludf.DUMMYFUNCTION("GOOGLETRANSLATE(B2156,""en"",""fr"")"),"mal")</f>
        <v>mal</v>
      </c>
      <c r="F2156" s="2" t="str">
        <f ca="1">IFERROR(__xludf.DUMMYFUNCTION("GOOGLETRANSLATE(B2156,""en"",""it"")"),"male")</f>
        <v>male</v>
      </c>
      <c r="G2156" s="2" t="str">
        <f ca="1">IFERROR(__xludf.DUMMYFUNCTION("GOOGLETRANSLATE(B2156,""en"",""de"")"),"schlecht")</f>
        <v>schlecht</v>
      </c>
      <c r="H2156" s="2" t="str">
        <f ca="1">IFERROR(__xludf.DUMMYFUNCTION("GOOGLETRANSLATE(B2156,""en"",""zh"")"),"糟糕")</f>
        <v>糟糕</v>
      </c>
      <c r="I2156" s="2" t="str">
        <f ca="1">IFERROR(__xludf.DUMMYFUNCTION("GOOGLETRANSLATE(B2156,""en"",""gd"")"),"gu dona")</f>
        <v>gu dona</v>
      </c>
    </row>
    <row r="2157" spans="1:9" ht="14.25" customHeight="1" x14ac:dyDescent="0.3">
      <c r="A2157" s="2">
        <v>2156</v>
      </c>
      <c r="B2157" s="3" t="s">
        <v>2164</v>
      </c>
      <c r="C2157" s="2" t="str">
        <f ca="1">IFERROR(__xludf.DUMMYFUNCTION("GOOGLETRANSLATE(B2157, ""en"",""es"")"),"cada día")</f>
        <v>cada día</v>
      </c>
      <c r="D2157" s="2" t="str">
        <f ca="1">IFERROR(__xludf.DUMMYFUNCTION("GOOGLETRANSLATE(B2157,""en"",""ig"")"),"kwa ụbọchị")</f>
        <v>kwa ụbọchị</v>
      </c>
      <c r="E2157" s="2" t="str">
        <f ca="1">IFERROR(__xludf.DUMMYFUNCTION("GOOGLETRANSLATE(B2157,""en"",""fr"")"),"tous les jours")</f>
        <v>tous les jours</v>
      </c>
      <c r="F2157" s="2" t="str">
        <f ca="1">IFERROR(__xludf.DUMMYFUNCTION("GOOGLETRANSLATE(B2157,""en"",""it"")"),"ogni giorno")</f>
        <v>ogni giorno</v>
      </c>
      <c r="G2157" s="2" t="str">
        <f ca="1">IFERROR(__xludf.DUMMYFUNCTION("GOOGLETRANSLATE(B2157,""en"",""de"")"),"täglich")</f>
        <v>täglich</v>
      </c>
      <c r="H2157" s="2" t="str">
        <f ca="1">IFERROR(__xludf.DUMMYFUNCTION("GOOGLETRANSLATE(B2157,""en"",""zh"")"),"每天")</f>
        <v>每天</v>
      </c>
      <c r="I2157" s="2" t="str">
        <f ca="1">IFERROR(__xludf.DUMMYFUNCTION("GOOGLETRANSLATE(B2157,""en"",""gd"")"),"Gach latha")</f>
        <v>Gach latha</v>
      </c>
    </row>
    <row r="2158" spans="1:9" ht="14.25" customHeight="1" x14ac:dyDescent="0.3">
      <c r="A2158" s="2">
        <v>2157</v>
      </c>
      <c r="B2158" s="3" t="s">
        <v>2165</v>
      </c>
      <c r="C2158" s="2" t="str">
        <f ca="1">IFERROR(__xludf.DUMMYFUNCTION("GOOGLETRANSLATE(B2158, ""en"",""es"")"),"Perímetro")</f>
        <v>Perímetro</v>
      </c>
      <c r="D2158" s="2" t="str">
        <f ca="1">IFERROR(__xludf.DUMMYFUNCTION("GOOGLETRANSLATE(B2158,""en"",""ig"")"),"oke")</f>
        <v>oke</v>
      </c>
      <c r="E2158" s="2" t="str">
        <f ca="1">IFERROR(__xludf.DUMMYFUNCTION("GOOGLETRANSLATE(B2158,""en"",""fr"")"),"frontière")</f>
        <v>frontière</v>
      </c>
      <c r="F2158" s="2" t="str">
        <f ca="1">IFERROR(__xludf.DUMMYFUNCTION("GOOGLETRANSLATE(B2158,""en"",""it"")"),"confine")</f>
        <v>confine</v>
      </c>
      <c r="G2158" s="2" t="str">
        <f ca="1">IFERROR(__xludf.DUMMYFUNCTION("GOOGLETRANSLATE(B2158,""en"",""de"")"),"Grenze")</f>
        <v>Grenze</v>
      </c>
      <c r="H2158" s="2" t="str">
        <f ca="1">IFERROR(__xludf.DUMMYFUNCTION("GOOGLETRANSLATE(B2158,""en"",""zh"")"),"边界")</f>
        <v>边界</v>
      </c>
      <c r="I2158" s="2" t="str">
        <f ca="1">IFERROR(__xludf.DUMMYFUNCTION("GOOGLETRANSLATE(B2158,""en"",""gd"")"),"Crìoch")</f>
        <v>Crìoch</v>
      </c>
    </row>
    <row r="2159" spans="1:9" ht="14.25" customHeight="1" x14ac:dyDescent="0.3">
      <c r="A2159" s="2">
        <v>2158</v>
      </c>
      <c r="B2159" s="3" t="s">
        <v>2166</v>
      </c>
      <c r="C2159" s="2" t="str">
        <f ca="1">IFERROR(__xludf.DUMMYFUNCTION("GOOGLETRANSLATE(B2159, ""en"",""es"")"),"relación")</f>
        <v>relación</v>
      </c>
      <c r="D2159" s="2" t="str">
        <f ca="1">IFERROR(__xludf.DUMMYFUNCTION("GOOGLETRANSLATE(B2159,""en"",""ig"")"),"rashio")</f>
        <v>rashio</v>
      </c>
      <c r="E2159" s="2" t="str">
        <f ca="1">IFERROR(__xludf.DUMMYFUNCTION("GOOGLETRANSLATE(B2159,""en"",""fr"")"),"rapport")</f>
        <v>rapport</v>
      </c>
      <c r="F2159" s="2" t="str">
        <f ca="1">IFERROR(__xludf.DUMMYFUNCTION("GOOGLETRANSLATE(B2159,""en"",""it"")"),"rapporto")</f>
        <v>rapporto</v>
      </c>
      <c r="G2159" s="2" t="str">
        <f ca="1">IFERROR(__xludf.DUMMYFUNCTION("GOOGLETRANSLATE(B2159,""en"",""de"")"),"Verhältnis")</f>
        <v>Verhältnis</v>
      </c>
      <c r="H2159" s="2" t="str">
        <f ca="1">IFERROR(__xludf.DUMMYFUNCTION("GOOGLETRANSLATE(B2159,""en"",""zh"")"),"比率")</f>
        <v>比率</v>
      </c>
      <c r="I2159" s="2" t="str">
        <f ca="1">IFERROR(__xludf.DUMMYFUNCTION("GOOGLETRANSLATE(B2159,""en"",""gd"")"),"Co-mheas")</f>
        <v>Co-mheas</v>
      </c>
    </row>
    <row r="2160" spans="1:9" ht="14.25" customHeight="1" x14ac:dyDescent="0.3">
      <c r="A2160" s="2">
        <v>2159</v>
      </c>
      <c r="B2160" s="3" t="s">
        <v>2167</v>
      </c>
      <c r="C2160" s="2" t="str">
        <f ca="1">IFERROR(__xludf.DUMMYFUNCTION("GOOGLETRANSLATE(B2160, ""en"",""es"")"),"ensayo")</f>
        <v>ensayo</v>
      </c>
      <c r="D2160" s="2" t="str">
        <f ca="1">IFERROR(__xludf.DUMMYFUNCTION("GOOGLETRANSLATE(B2160,""en"",""ig"")"),"edemede edemede")</f>
        <v>edemede edemede</v>
      </c>
      <c r="E2160" s="2" t="str">
        <f ca="1">IFERROR(__xludf.DUMMYFUNCTION("GOOGLETRANSLATE(B2160,""en"",""fr"")"),"essai")</f>
        <v>essai</v>
      </c>
      <c r="F2160" s="2" t="str">
        <f ca="1">IFERROR(__xludf.DUMMYFUNCTION("GOOGLETRANSLATE(B2160,""en"",""it"")"),"saggio")</f>
        <v>saggio</v>
      </c>
      <c r="G2160" s="2" t="str">
        <f ca="1">IFERROR(__xludf.DUMMYFUNCTION("GOOGLETRANSLATE(B2160,""en"",""de"")"),"Aufsatz")</f>
        <v>Aufsatz</v>
      </c>
      <c r="H2160" s="2" t="str">
        <f ca="1">IFERROR(__xludf.DUMMYFUNCTION("GOOGLETRANSLATE(B2160,""en"",""zh"")"),"散文")</f>
        <v>散文</v>
      </c>
      <c r="I2160" s="2" t="str">
        <f ca="1">IFERROR(__xludf.DUMMYFUNCTION("GOOGLETRANSLATE(B2160,""en"",""gd"")"),"Aiste")</f>
        <v>Aiste</v>
      </c>
    </row>
    <row r="2161" spans="1:9" ht="14.25" customHeight="1" x14ac:dyDescent="0.3">
      <c r="A2161" s="2">
        <v>2160</v>
      </c>
      <c r="B2161" s="3" t="s">
        <v>2168</v>
      </c>
      <c r="C2161" s="2" t="str">
        <f ca="1">IFERROR(__xludf.DUMMYFUNCTION("GOOGLETRANSLATE(B2161, ""en"",""es"")"),"gritar")</f>
        <v>gritar</v>
      </c>
      <c r="D2161" s="2" t="str">
        <f ca="1">IFERROR(__xludf.DUMMYFUNCTION("GOOGLETRANSLATE(B2161,""en"",""ig"")"),"itimkpu")</f>
        <v>itimkpu</v>
      </c>
      <c r="E2161" s="2" t="str">
        <f ca="1">IFERROR(__xludf.DUMMYFUNCTION("GOOGLETRANSLATE(B2161,""en"",""fr"")"),"crier")</f>
        <v>crier</v>
      </c>
      <c r="F2161" s="2" t="str">
        <f ca="1">IFERROR(__xludf.DUMMYFUNCTION("GOOGLETRANSLATE(B2161,""en"",""it"")"),"grido")</f>
        <v>grido</v>
      </c>
      <c r="G2161" s="2" t="str">
        <f ca="1">IFERROR(__xludf.DUMMYFUNCTION("GOOGLETRANSLATE(B2161,""en"",""de"")"),"Schrei")</f>
        <v>Schrei</v>
      </c>
      <c r="H2161" s="2" t="str">
        <f ca="1">IFERROR(__xludf.DUMMYFUNCTION("GOOGLETRANSLATE(B2161,""en"",""zh"")"),"尖叫")</f>
        <v>尖叫</v>
      </c>
      <c r="I2161" s="2" t="str">
        <f ca="1">IFERROR(__xludf.DUMMYFUNCTION("GOOGLETRANSLATE(B2161,""en"",""gd"")"),"sgread")</f>
        <v>sgread</v>
      </c>
    </row>
    <row r="2162" spans="1:9" ht="14.25" customHeight="1" x14ac:dyDescent="0.3">
      <c r="A2162" s="2">
        <v>2161</v>
      </c>
      <c r="B2162" s="3" t="s">
        <v>2169</v>
      </c>
      <c r="C2162" s="2" t="str">
        <f ca="1">IFERROR(__xludf.DUMMYFUNCTION("GOOGLETRANSLATE(B2162, ""en"",""es"")"),"retirar")</f>
        <v>retirar</v>
      </c>
      <c r="D2162" s="2" t="str">
        <f ca="1">IFERROR(__xludf.DUMMYFUNCTION("GOOGLETRANSLATE(B2162,""en"",""ig"")"),"wepu")</f>
        <v>wepu</v>
      </c>
      <c r="E2162" s="2" t="str">
        <f ca="1">IFERROR(__xludf.DUMMYFUNCTION("GOOGLETRANSLATE(B2162,""en"",""fr"")"),"retirer")</f>
        <v>retirer</v>
      </c>
      <c r="F2162" s="2" t="str">
        <f ca="1">IFERROR(__xludf.DUMMYFUNCTION("GOOGLETRANSLATE(B2162,""en"",""it"")"),"ritirare")</f>
        <v>ritirare</v>
      </c>
      <c r="G2162" s="2" t="str">
        <f ca="1">IFERROR(__xludf.DUMMYFUNCTION("GOOGLETRANSLATE(B2162,""en"",""de"")"),"zurückziehen")</f>
        <v>zurückziehen</v>
      </c>
      <c r="H2162" s="2" t="str">
        <f ca="1">IFERROR(__xludf.DUMMYFUNCTION("GOOGLETRANSLATE(B2162,""en"",""zh"")"),"提取")</f>
        <v>提取</v>
      </c>
      <c r="I2162" s="2" t="str">
        <f ca="1">IFERROR(__xludf.DUMMYFUNCTION("GOOGLETRANSLATE(B2162,""en"",""gd"")"),"tarraing air ais")</f>
        <v>tarraing air ais</v>
      </c>
    </row>
    <row r="2163" spans="1:9" ht="14.25" customHeight="1" x14ac:dyDescent="0.3">
      <c r="A2163" s="2">
        <v>2162</v>
      </c>
      <c r="B2163" s="3" t="s">
        <v>2170</v>
      </c>
      <c r="C2163" s="2" t="str">
        <f ca="1">IFERROR(__xludf.DUMMYFUNCTION("GOOGLETRANSLATE(B2163, ""en"",""es"")"),"contaminación")</f>
        <v>contaminación</v>
      </c>
      <c r="D2163" s="2" t="str">
        <f ca="1">IFERROR(__xludf.DUMMYFUNCTION("GOOGLETRANSLATE(B2163,""en"",""ig"")"),"mmebie")</f>
        <v>mmebie</v>
      </c>
      <c r="E2163" s="2" t="str">
        <f ca="1">IFERROR(__xludf.DUMMYFUNCTION("GOOGLETRANSLATE(B2163,""en"",""fr"")"),"pollution")</f>
        <v>pollution</v>
      </c>
      <c r="F2163" s="2" t="str">
        <f ca="1">IFERROR(__xludf.DUMMYFUNCTION("GOOGLETRANSLATE(B2163,""en"",""it"")"),"inquinamento")</f>
        <v>inquinamento</v>
      </c>
      <c r="G2163" s="2" t="str">
        <f ca="1">IFERROR(__xludf.DUMMYFUNCTION("GOOGLETRANSLATE(B2163,""en"",""de"")"),"Verschmutzung")</f>
        <v>Verschmutzung</v>
      </c>
      <c r="H2163" s="2" t="str">
        <f ca="1">IFERROR(__xludf.DUMMYFUNCTION("GOOGLETRANSLATE(B2163,""en"",""zh"")"),"污染")</f>
        <v>污染</v>
      </c>
      <c r="I2163" s="2" t="str">
        <f ca="1">IFERROR(__xludf.DUMMYFUNCTION("GOOGLETRANSLATE(B2163,""en"",""gd"")"),"truailleadh")</f>
        <v>truailleadh</v>
      </c>
    </row>
    <row r="2164" spans="1:9" ht="14.25" customHeight="1" x14ac:dyDescent="0.3">
      <c r="A2164" s="2">
        <v>2163</v>
      </c>
      <c r="B2164" s="3" t="s">
        <v>2171</v>
      </c>
      <c r="C2164" s="2" t="str">
        <f ca="1">IFERROR(__xludf.DUMMYFUNCTION("GOOGLETRANSLATE(B2164, ""en"",""es"")"),"trastorno")</f>
        <v>trastorno</v>
      </c>
      <c r="D2164" s="2" t="str">
        <f ca="1">IFERROR(__xludf.DUMMYFUNCTION("GOOGLETRANSLATE(B2164,""en"",""ig"")"),"mgbagwoju anya")</f>
        <v>mgbagwoju anya</v>
      </c>
      <c r="E2164" s="2" t="str">
        <f ca="1">IFERROR(__xludf.DUMMYFUNCTION("GOOGLETRANSLATE(B2164,""en"",""fr"")"),"désordre")</f>
        <v>désordre</v>
      </c>
      <c r="F2164" s="2" t="str">
        <f ca="1">IFERROR(__xludf.DUMMYFUNCTION("GOOGLETRANSLATE(B2164,""en"",""it"")"),"disturbo")</f>
        <v>disturbo</v>
      </c>
      <c r="G2164" s="2" t="str">
        <f ca="1">IFERROR(__xludf.DUMMYFUNCTION("GOOGLETRANSLATE(B2164,""en"",""de"")"),"Störung")</f>
        <v>Störung</v>
      </c>
      <c r="H2164" s="2" t="str">
        <f ca="1">IFERROR(__xludf.DUMMYFUNCTION("GOOGLETRANSLATE(B2164,""en"",""zh"")"),"紊乱")</f>
        <v>紊乱</v>
      </c>
      <c r="I2164" s="2" t="str">
        <f ca="1">IFERROR(__xludf.DUMMYFUNCTION("GOOGLETRANSLATE(B2164,""en"",""gd"")"),"eas-òrdugh")</f>
        <v>eas-òrdugh</v>
      </c>
    </row>
    <row r="2165" spans="1:9" ht="14.25" customHeight="1" x14ac:dyDescent="0.3">
      <c r="A2165" s="2">
        <v>2164</v>
      </c>
      <c r="B2165" s="3" t="s">
        <v>2172</v>
      </c>
      <c r="C2165" s="2" t="str">
        <f ca="1">IFERROR(__xludf.DUMMYFUNCTION("GOOGLETRANSLATE(B2165, ""en"",""es"")"),"muebles")</f>
        <v>muebles</v>
      </c>
      <c r="D2165" s="2" t="str">
        <f ca="1">IFERROR(__xludf.DUMMYFUNCTION("GOOGLETRANSLATE(B2165,""en"",""ig"")"),"ihe eji ebi ulo")</f>
        <v>ihe eji ebi ulo</v>
      </c>
      <c r="E2165" s="2" t="str">
        <f ca="1">IFERROR(__xludf.DUMMYFUNCTION("GOOGLETRANSLATE(B2165,""en"",""fr"")"),"meubles")</f>
        <v>meubles</v>
      </c>
      <c r="F2165" s="2" t="str">
        <f ca="1">IFERROR(__xludf.DUMMYFUNCTION("GOOGLETRANSLATE(B2165,""en"",""it"")"),"mobilia")</f>
        <v>mobilia</v>
      </c>
      <c r="G2165" s="2" t="str">
        <f ca="1">IFERROR(__xludf.DUMMYFUNCTION("GOOGLETRANSLATE(B2165,""en"",""de"")"),"Möbel")</f>
        <v>Möbel</v>
      </c>
      <c r="H2165" s="2" t="str">
        <f ca="1">IFERROR(__xludf.DUMMYFUNCTION("GOOGLETRANSLATE(B2165,""en"",""zh"")"),"家具")</f>
        <v>家具</v>
      </c>
      <c r="I2165" s="2" t="str">
        <f ca="1">IFERROR(__xludf.DUMMYFUNCTION("GOOGLETRANSLATE(B2165,""en"",""gd"")"),"àirneis")</f>
        <v>àirneis</v>
      </c>
    </row>
    <row r="2166" spans="1:9" ht="14.25" customHeight="1" x14ac:dyDescent="0.3">
      <c r="A2166" s="2">
        <v>2165</v>
      </c>
      <c r="B2166" s="3" t="s">
        <v>2173</v>
      </c>
      <c r="C2166" s="2" t="str">
        <f ca="1">IFERROR(__xludf.DUMMYFUNCTION("GOOGLETRANSLATE(B2166, ""en"",""es"")"),"símbolo")</f>
        <v>símbolo</v>
      </c>
      <c r="D2166" s="2" t="str">
        <f ca="1">IFERROR(__xludf.DUMMYFUNCTION("GOOGLETRANSLATE(B2166,""en"",""ig"")"),"adimara")</f>
        <v>adimara</v>
      </c>
      <c r="E2166" s="2" t="str">
        <f ca="1">IFERROR(__xludf.DUMMYFUNCTION("GOOGLETRANSLATE(B2166,""en"",""fr"")"),"symbole")</f>
        <v>symbole</v>
      </c>
      <c r="F2166" s="2" t="str">
        <f ca="1">IFERROR(__xludf.DUMMYFUNCTION("GOOGLETRANSLATE(B2166,""en"",""it"")"),"simbolo")</f>
        <v>simbolo</v>
      </c>
      <c r="G2166" s="2" t="str">
        <f ca="1">IFERROR(__xludf.DUMMYFUNCTION("GOOGLETRANSLATE(B2166,""en"",""de"")"),"Symbol")</f>
        <v>Symbol</v>
      </c>
      <c r="H2166" s="2" t="str">
        <f ca="1">IFERROR(__xludf.DUMMYFUNCTION("GOOGLETRANSLATE(B2166,""en"",""zh"")"),"象征")</f>
        <v>象征</v>
      </c>
      <c r="I2166" s="2" t="str">
        <f ca="1">IFERROR(__xludf.DUMMYFUNCTION("GOOGLETRANSLATE(B2166,""en"",""gd"")"),"samhla")</f>
        <v>samhla</v>
      </c>
    </row>
    <row r="2167" spans="1:9" ht="14.25" customHeight="1" x14ac:dyDescent="0.3">
      <c r="A2167" s="2">
        <v>2166</v>
      </c>
      <c r="B2167" s="3" t="s">
        <v>2174</v>
      </c>
      <c r="C2167" s="2" t="str">
        <f ca="1">IFERROR(__xludf.DUMMYFUNCTION("GOOGLETRANSLATE(B2167, ""en"",""es"")"),"departamento")</f>
        <v>departamento</v>
      </c>
      <c r="D2167" s="2" t="str">
        <f ca="1">IFERROR(__xludf.DUMMYFUNCTION("GOOGLETRANSLATE(B2167,""en"",""ig"")"),"ulo")</f>
        <v>ulo</v>
      </c>
      <c r="E2167" s="2" t="str">
        <f ca="1">IFERROR(__xludf.DUMMYFUNCTION("GOOGLETRANSLATE(B2167,""en"",""fr"")"),"appartement")</f>
        <v>appartement</v>
      </c>
      <c r="F2167" s="2" t="str">
        <f ca="1">IFERROR(__xludf.DUMMYFUNCTION("GOOGLETRANSLATE(B2167,""en"",""it"")"),"appartamento")</f>
        <v>appartamento</v>
      </c>
      <c r="G2167" s="2" t="str">
        <f ca="1">IFERROR(__xludf.DUMMYFUNCTION("GOOGLETRANSLATE(B2167,""en"",""de"")"),"Wohnung")</f>
        <v>Wohnung</v>
      </c>
      <c r="H2167" s="2" t="str">
        <f ca="1">IFERROR(__xludf.DUMMYFUNCTION("GOOGLETRANSLATE(B2167,""en"",""zh"")"),"公寓")</f>
        <v>公寓</v>
      </c>
      <c r="I2167" s="2" t="str">
        <f ca="1">IFERROR(__xludf.DUMMYFUNCTION("GOOGLETRANSLATE(B2167,""en"",""gd"")"),"àros")</f>
        <v>àros</v>
      </c>
    </row>
    <row r="2168" spans="1:9" ht="14.25" customHeight="1" x14ac:dyDescent="0.3">
      <c r="A2168" s="2">
        <v>2167</v>
      </c>
      <c r="B2168" s="3" t="s">
        <v>2175</v>
      </c>
      <c r="C2168" s="2" t="str">
        <f ca="1">IFERROR(__xludf.DUMMYFUNCTION("GOOGLETRANSLATE(B2168, ""en"",""es"")"),"demostración")</f>
        <v>demostración</v>
      </c>
      <c r="D2168" s="2" t="str">
        <f ca="1">IFERROR(__xludf.DUMMYFUNCTION("GOOGLETRANSLATE(B2168,""en"",""ig"")"),"ngosiputa")</f>
        <v>ngosiputa</v>
      </c>
      <c r="E2168" s="2" t="str">
        <f ca="1">IFERROR(__xludf.DUMMYFUNCTION("GOOGLETRANSLATE(B2168,""en"",""fr"")"),"manifestation")</f>
        <v>manifestation</v>
      </c>
      <c r="F2168" s="2" t="str">
        <f ca="1">IFERROR(__xludf.DUMMYFUNCTION("GOOGLETRANSLATE(B2168,""en"",""it"")"),"dimostrazione")</f>
        <v>dimostrazione</v>
      </c>
      <c r="G2168" s="2" t="str">
        <f ca="1">IFERROR(__xludf.DUMMYFUNCTION("GOOGLETRANSLATE(B2168,""en"",""de"")"),"Demonstration")</f>
        <v>Demonstration</v>
      </c>
      <c r="H2168" s="2" t="str">
        <f ca="1">IFERROR(__xludf.DUMMYFUNCTION("GOOGLETRANSLATE(B2168,""en"",""zh"")"),"示范")</f>
        <v>示范</v>
      </c>
      <c r="I2168" s="2" t="str">
        <f ca="1">IFERROR(__xludf.DUMMYFUNCTION("GOOGLETRANSLATE(B2168,""en"",""gd"")"),"Taisbeanadh")</f>
        <v>Taisbeanadh</v>
      </c>
    </row>
    <row r="2169" spans="1:9" ht="14.25" customHeight="1" x14ac:dyDescent="0.3">
      <c r="A2169" s="2">
        <v>2168</v>
      </c>
      <c r="B2169" s="3" t="s">
        <v>2176</v>
      </c>
      <c r="C2169" s="2" t="str">
        <f ca="1">IFERROR(__xludf.DUMMYFUNCTION("GOOGLETRANSLATE(B2169, ""en"",""es"")"),"analista")</f>
        <v>analista</v>
      </c>
      <c r="D2169" s="2" t="str">
        <f ca="1">IFERROR(__xludf.DUMMYFUNCTION("GOOGLETRANSLATE(B2169,""en"",""ig"")"),"onye nleba anya")</f>
        <v>onye nleba anya</v>
      </c>
      <c r="E2169" s="2" t="str">
        <f ca="1">IFERROR(__xludf.DUMMYFUNCTION("GOOGLETRANSLATE(B2169,""en"",""fr"")"),"analyste")</f>
        <v>analyste</v>
      </c>
      <c r="F2169" s="2" t="str">
        <f ca="1">IFERROR(__xludf.DUMMYFUNCTION("GOOGLETRANSLATE(B2169,""en"",""it"")"),"analista")</f>
        <v>analista</v>
      </c>
      <c r="G2169" s="2" t="str">
        <f ca="1">IFERROR(__xludf.DUMMYFUNCTION("GOOGLETRANSLATE(B2169,""en"",""de"")"),"Analytiker")</f>
        <v>Analytiker</v>
      </c>
      <c r="H2169" s="2" t="str">
        <f ca="1">IFERROR(__xludf.DUMMYFUNCTION("GOOGLETRANSLATE(B2169,""en"",""zh"")"),"分析师")</f>
        <v>分析师</v>
      </c>
      <c r="I2169" s="2" t="str">
        <f ca="1">IFERROR(__xludf.DUMMYFUNCTION("GOOGLETRANSLATE(B2169,""en"",""gd"")"),"anailisiche")</f>
        <v>anailisiche</v>
      </c>
    </row>
    <row r="2170" spans="1:9" ht="14.25" customHeight="1" x14ac:dyDescent="0.3">
      <c r="A2170" s="2">
        <v>2169</v>
      </c>
      <c r="B2170" s="3" t="s">
        <v>2177</v>
      </c>
      <c r="C2170" s="2" t="str">
        <f ca="1">IFERROR(__xludf.DUMMYFUNCTION("GOOGLETRANSLATE(B2170, ""en"",""es"")"),"plataforma")</f>
        <v>plataforma</v>
      </c>
      <c r="D2170" s="2" t="str">
        <f ca="1">IFERROR(__xludf.DUMMYFUNCTION("GOOGLETRANSLATE(B2170,""en"",""ig"")"),"ama ejije")</f>
        <v>ama ejije</v>
      </c>
      <c r="E2170" s="2" t="str">
        <f ca="1">IFERROR(__xludf.DUMMYFUNCTION("GOOGLETRANSLATE(B2170,""en"",""fr"")"),"plate-forme")</f>
        <v>plate-forme</v>
      </c>
      <c r="F2170" s="2" t="str">
        <f ca="1">IFERROR(__xludf.DUMMYFUNCTION("GOOGLETRANSLATE(B2170,""en"",""it"")"),"piattaforma")</f>
        <v>piattaforma</v>
      </c>
      <c r="G2170" s="2" t="str">
        <f ca="1">IFERROR(__xludf.DUMMYFUNCTION("GOOGLETRANSLATE(B2170,""en"",""de"")"),"Plattform")</f>
        <v>Plattform</v>
      </c>
      <c r="H2170" s="2" t="str">
        <f ca="1">IFERROR(__xludf.DUMMYFUNCTION("GOOGLETRANSLATE(B2170,""en"",""zh"")"),"平台")</f>
        <v>平台</v>
      </c>
      <c r="I2170" s="2" t="str">
        <f ca="1">IFERROR(__xludf.DUMMYFUNCTION("GOOGLETRANSLATE(B2170,""en"",""gd"")"),"Àrd-ùrlar")</f>
        <v>Àrd-ùrlar</v>
      </c>
    </row>
    <row r="2171" spans="1:9" ht="14.25" customHeight="1" x14ac:dyDescent="0.3">
      <c r="A2171" s="2">
        <v>2170</v>
      </c>
      <c r="B2171" s="3" t="s">
        <v>2178</v>
      </c>
      <c r="C2171" s="2" t="str">
        <f ca="1">IFERROR(__xludf.DUMMYFUNCTION("GOOGLETRANSLATE(B2171, ""en"",""es"")"),"acero")</f>
        <v>acero</v>
      </c>
      <c r="D2171" s="2" t="str">
        <f ca="1">IFERROR(__xludf.DUMMYFUNCTION("GOOGLETRANSLATE(B2171,""en"",""ig"")"),"stiil")</f>
        <v>stiil</v>
      </c>
      <c r="E2171" s="2" t="str">
        <f ca="1">IFERROR(__xludf.DUMMYFUNCTION("GOOGLETRANSLATE(B2171,""en"",""fr"")"),"acier")</f>
        <v>acier</v>
      </c>
      <c r="F2171" s="2" t="str">
        <f ca="1">IFERROR(__xludf.DUMMYFUNCTION("GOOGLETRANSLATE(B2171,""en"",""it"")"),"acciaio")</f>
        <v>acciaio</v>
      </c>
      <c r="G2171" s="2" t="str">
        <f ca="1">IFERROR(__xludf.DUMMYFUNCTION("GOOGLETRANSLATE(B2171,""en"",""de"")"),"Stahl")</f>
        <v>Stahl</v>
      </c>
      <c r="H2171" s="2" t="str">
        <f ca="1">IFERROR(__xludf.DUMMYFUNCTION("GOOGLETRANSLATE(B2171,""en"",""zh"")"),"钢")</f>
        <v>钢</v>
      </c>
      <c r="I2171" s="2" t="str">
        <f ca="1">IFERROR(__xludf.DUMMYFUNCTION("GOOGLETRANSLATE(B2171,""en"",""gd"")"),"stàilinn")</f>
        <v>stàilinn</v>
      </c>
    </row>
    <row r="2172" spans="1:9" ht="14.25" customHeight="1" x14ac:dyDescent="0.3">
      <c r="A2172" s="2">
        <v>2171</v>
      </c>
      <c r="B2172" s="3" t="s">
        <v>2179</v>
      </c>
      <c r="C2172" s="2" t="str">
        <f ca="1">IFERROR(__xludf.DUMMYFUNCTION("GOOGLETRANSLATE(B2172, ""en"",""es"")"),"pastel")</f>
        <v>pastel</v>
      </c>
      <c r="D2172" s="2" t="str">
        <f ca="1">IFERROR(__xludf.DUMMYFUNCTION("GOOGLETRANSLATE(B2172,""en"",""ig"")"),"achicha")</f>
        <v>achicha</v>
      </c>
      <c r="E2172" s="2" t="str">
        <f ca="1">IFERROR(__xludf.DUMMYFUNCTION("GOOGLETRANSLATE(B2172,""en"",""fr"")"),"gâteau")</f>
        <v>gâteau</v>
      </c>
      <c r="F2172" s="2" t="str">
        <f ca="1">IFERROR(__xludf.DUMMYFUNCTION("GOOGLETRANSLATE(B2172,""en"",""it"")"),"torta")</f>
        <v>torta</v>
      </c>
      <c r="G2172" s="2" t="str">
        <f ca="1">IFERROR(__xludf.DUMMYFUNCTION("GOOGLETRANSLATE(B2172,""en"",""de"")"),"Kuchen")</f>
        <v>Kuchen</v>
      </c>
      <c r="H2172" s="2" t="str">
        <f ca="1">IFERROR(__xludf.DUMMYFUNCTION("GOOGLETRANSLATE(B2172,""en"",""zh"")"),"蛋糕")</f>
        <v>蛋糕</v>
      </c>
      <c r="I2172" s="2" t="str">
        <f ca="1">IFERROR(__xludf.DUMMYFUNCTION("GOOGLETRANSLATE(B2172,""en"",""gd"")"),"cèic")</f>
        <v>cèic</v>
      </c>
    </row>
    <row r="2173" spans="1:9" ht="14.25" customHeight="1" x14ac:dyDescent="0.3">
      <c r="A2173" s="2">
        <v>2172</v>
      </c>
      <c r="B2173" s="3" t="s">
        <v>2180</v>
      </c>
      <c r="C2173" s="2" t="str">
        <f ca="1">IFERROR(__xludf.DUMMYFUNCTION("GOOGLETRANSLATE(B2173, ""en"",""es"")"),"transformar")</f>
        <v>transformar</v>
      </c>
      <c r="D2173" s="2" t="str">
        <f ca="1">IFERROR(__xludf.DUMMYFUNCTION("GOOGLETRANSLATE(B2173,""en"",""ig"")"),"igbanwe")</f>
        <v>igbanwe</v>
      </c>
      <c r="E2173" s="2" t="str">
        <f ca="1">IFERROR(__xludf.DUMMYFUNCTION("GOOGLETRANSLATE(B2173,""en"",""fr"")"),"transformer")</f>
        <v>transformer</v>
      </c>
      <c r="F2173" s="2" t="str">
        <f ca="1">IFERROR(__xludf.DUMMYFUNCTION("GOOGLETRANSLATE(B2173,""en"",""it"")"),"trasformare")</f>
        <v>trasformare</v>
      </c>
      <c r="G2173" s="2" t="str">
        <f ca="1">IFERROR(__xludf.DUMMYFUNCTION("GOOGLETRANSLATE(B2173,""en"",""de"")"),"verwandeln")</f>
        <v>verwandeln</v>
      </c>
      <c r="H2173" s="2" t="str">
        <f ca="1">IFERROR(__xludf.DUMMYFUNCTION("GOOGLETRANSLATE(B2173,""en"",""zh"")"),"转换")</f>
        <v>转换</v>
      </c>
      <c r="I2173" s="2" t="str">
        <f ca="1">IFERROR(__xludf.DUMMYFUNCTION("GOOGLETRANSLATE(B2173,""en"",""gd"")"),"cruth-atharrachadh")</f>
        <v>cruth-atharrachadh</v>
      </c>
    </row>
    <row r="2174" spans="1:9" ht="14.25" customHeight="1" x14ac:dyDescent="0.3">
      <c r="A2174" s="2">
        <v>2173</v>
      </c>
      <c r="B2174" s="3" t="s">
        <v>2181</v>
      </c>
      <c r="C2174" s="2" t="str">
        <f ca="1">IFERROR(__xludf.DUMMYFUNCTION("GOOGLETRANSLATE(B2174, ""en"",""es"")"),"herida")</f>
        <v>herida</v>
      </c>
      <c r="D2174" s="2" t="str">
        <f ca="1">IFERROR(__xludf.DUMMYFUNCTION("GOOGLETRANSLATE(B2174,""en"",""ig"")"),"onya")</f>
        <v>onya</v>
      </c>
      <c r="E2174" s="2" t="str">
        <f ca="1">IFERROR(__xludf.DUMMYFUNCTION("GOOGLETRANSLATE(B2174,""en"",""fr"")"),"blesser")</f>
        <v>blesser</v>
      </c>
      <c r="F2174" s="2" t="str">
        <f ca="1">IFERROR(__xludf.DUMMYFUNCTION("GOOGLETRANSLATE(B2174,""en"",""it"")"),"ferita")</f>
        <v>ferita</v>
      </c>
      <c r="G2174" s="2" t="str">
        <f ca="1">IFERROR(__xludf.DUMMYFUNCTION("GOOGLETRANSLATE(B2174,""en"",""de"")"),"Wunde")</f>
        <v>Wunde</v>
      </c>
      <c r="H2174" s="2" t="str">
        <f ca="1">IFERROR(__xludf.DUMMYFUNCTION("GOOGLETRANSLATE(B2174,""en"",""zh"")"),"伤口")</f>
        <v>伤口</v>
      </c>
      <c r="I2174" s="2" t="str">
        <f ca="1">IFERROR(__xludf.DUMMYFUNCTION("GOOGLETRANSLATE(B2174,""en"",""gd"")"),"leòn")</f>
        <v>leòn</v>
      </c>
    </row>
    <row r="2175" spans="1:9" ht="14.25" customHeight="1" x14ac:dyDescent="0.3">
      <c r="A2175" s="2">
        <v>2174</v>
      </c>
      <c r="B2175" s="3" t="s">
        <v>2182</v>
      </c>
      <c r="C2175" s="2" t="str">
        <f ca="1">IFERROR(__xludf.DUMMYFUNCTION("GOOGLETRANSLATE(B2175, ""en"",""es"")"),"restricción")</f>
        <v>restricción</v>
      </c>
      <c r="D2175" s="2" t="str">
        <f ca="1">IFERROR(__xludf.DUMMYFUNCTION("GOOGLETRANSLATE(B2175,""en"",""ig"")"),"mgbochi")</f>
        <v>mgbochi</v>
      </c>
      <c r="E2175" s="2" t="str">
        <f ca="1">IFERROR(__xludf.DUMMYFUNCTION("GOOGLETRANSLATE(B2175,""en"",""fr"")"),"restriction")</f>
        <v>restriction</v>
      </c>
      <c r="F2175" s="2" t="str">
        <f ca="1">IFERROR(__xludf.DUMMYFUNCTION("GOOGLETRANSLATE(B2175,""en"",""it"")"),"restrizione")</f>
        <v>restrizione</v>
      </c>
      <c r="G2175" s="2" t="str">
        <f ca="1">IFERROR(__xludf.DUMMYFUNCTION("GOOGLETRANSLATE(B2175,""en"",""de"")"),"Beschränkung")</f>
        <v>Beschränkung</v>
      </c>
      <c r="H2175" s="2" t="str">
        <f ca="1">IFERROR(__xludf.DUMMYFUNCTION("GOOGLETRANSLATE(B2175,""en"",""zh"")"),"限制")</f>
        <v>限制</v>
      </c>
      <c r="I2175" s="2" t="str">
        <f ca="1">IFERROR(__xludf.DUMMYFUNCTION("GOOGLETRANSLATE(B2175,""en"",""gd"")"),"Cuingealachadh")</f>
        <v>Cuingealachadh</v>
      </c>
    </row>
    <row r="2176" spans="1:9" ht="14.25" customHeight="1" x14ac:dyDescent="0.3">
      <c r="A2176" s="2">
        <v>2175</v>
      </c>
      <c r="B2176" s="3" t="s">
        <v>2183</v>
      </c>
      <c r="C2176" s="2" t="str">
        <f ca="1">IFERROR(__xludf.DUMMYFUNCTION("GOOGLETRANSLATE(B2176, ""en"",""es"")"),"base")</f>
        <v>base</v>
      </c>
      <c r="D2176" s="2" t="str">
        <f ca="1">IFERROR(__xludf.DUMMYFUNCTION("GOOGLETRANSLATE(B2176,""en"",""ig"")"),"ntoaka")</f>
        <v>ntoaka</v>
      </c>
      <c r="E2176" s="2" t="str">
        <f ca="1">IFERROR(__xludf.DUMMYFUNCTION("GOOGLETRANSLATE(B2176,""en"",""fr"")"),"fondation")</f>
        <v>fondation</v>
      </c>
      <c r="F2176" s="2" t="str">
        <f ca="1">IFERROR(__xludf.DUMMYFUNCTION("GOOGLETRANSLATE(B2176,""en"",""it"")"),"fondazione")</f>
        <v>fondazione</v>
      </c>
      <c r="G2176" s="2" t="str">
        <f ca="1">IFERROR(__xludf.DUMMYFUNCTION("GOOGLETRANSLATE(B2176,""en"",""de"")"),"Stiftung")</f>
        <v>Stiftung</v>
      </c>
      <c r="H2176" s="2" t="str">
        <f ca="1">IFERROR(__xludf.DUMMYFUNCTION("GOOGLETRANSLATE(B2176,""en"",""zh"")"),"基础")</f>
        <v>基础</v>
      </c>
      <c r="I2176" s="2" t="str">
        <f ca="1">IFERROR(__xludf.DUMMYFUNCTION("GOOGLETRANSLATE(B2176,""en"",""gd"")"),"Stèidheachd")</f>
        <v>Stèidheachd</v>
      </c>
    </row>
    <row r="2177" spans="1:9" ht="14.25" customHeight="1" x14ac:dyDescent="0.3">
      <c r="A2177" s="2">
        <v>2176</v>
      </c>
      <c r="B2177" s="3" t="s">
        <v>2184</v>
      </c>
      <c r="C2177" s="2" t="str">
        <f ca="1">IFERROR(__xludf.DUMMYFUNCTION("GOOGLETRANSLATE(B2177, ""en"",""es"")"),"diseñador")</f>
        <v>diseñador</v>
      </c>
      <c r="D2177" s="2" t="str">
        <f ca="1">IFERROR(__xludf.DUMMYFUNCTION("GOOGLETRANSLATE(B2177,""en"",""ig"")"),"okwa akwa")</f>
        <v>okwa akwa</v>
      </c>
      <c r="E2177" s="2" t="str">
        <f ca="1">IFERROR(__xludf.DUMMYFUNCTION("GOOGLETRANSLATE(B2177,""en"",""fr"")"),"designer")</f>
        <v>designer</v>
      </c>
      <c r="F2177" s="2" t="str">
        <f ca="1">IFERROR(__xludf.DUMMYFUNCTION("GOOGLETRANSLATE(B2177,""en"",""it"")"),"progettista")</f>
        <v>progettista</v>
      </c>
      <c r="G2177" s="2" t="str">
        <f ca="1">IFERROR(__xludf.DUMMYFUNCTION("GOOGLETRANSLATE(B2177,""en"",""de"")"),"Designer")</f>
        <v>Designer</v>
      </c>
      <c r="H2177" s="2" t="str">
        <f ca="1">IFERROR(__xludf.DUMMYFUNCTION("GOOGLETRANSLATE(B2177,""en"",""zh"")"),"设计师")</f>
        <v>设计师</v>
      </c>
      <c r="I2177" s="2" t="str">
        <f ca="1">IFERROR(__xludf.DUMMYFUNCTION("GOOGLETRANSLATE(B2177,""en"",""gd"")"),"dealbhaiche")</f>
        <v>dealbhaiche</v>
      </c>
    </row>
    <row r="2178" spans="1:9" ht="14.25" customHeight="1" x14ac:dyDescent="0.3">
      <c r="A2178" s="2">
        <v>2177</v>
      </c>
      <c r="B2178" s="3" t="s">
        <v>2185</v>
      </c>
      <c r="C2178" s="2" t="str">
        <f ca="1">IFERROR(__xludf.DUMMYFUNCTION("GOOGLETRANSLATE(B2178, ""en"",""es"")"),"cepa")</f>
        <v>cepa</v>
      </c>
      <c r="D2178" s="2" t="str">
        <f ca="1">IFERROR(__xludf.DUMMYFUNCTION("GOOGLETRANSLATE(B2178,""en"",""ig"")"),"stren")</f>
        <v>stren</v>
      </c>
      <c r="E2178" s="2" t="str">
        <f ca="1">IFERROR(__xludf.DUMMYFUNCTION("GOOGLETRANSLATE(B2178,""en"",""fr"")"),"souche")</f>
        <v>souche</v>
      </c>
      <c r="F2178" s="2" t="str">
        <f ca="1">IFERROR(__xludf.DUMMYFUNCTION("GOOGLETRANSLATE(B2178,""en"",""it"")"),"sottoporre a tensione")</f>
        <v>sottoporre a tensione</v>
      </c>
      <c r="G2178" s="2" t="str">
        <f ca="1">IFERROR(__xludf.DUMMYFUNCTION("GOOGLETRANSLATE(B2178,""en"",""de"")"),"Beanspruchung")</f>
        <v>Beanspruchung</v>
      </c>
      <c r="H2178" s="2" t="str">
        <f ca="1">IFERROR(__xludf.DUMMYFUNCTION("GOOGLETRANSLATE(B2178,""en"",""zh"")"),"拉紧")</f>
        <v>拉紧</v>
      </c>
      <c r="I2178" s="2" t="str">
        <f ca="1">IFERROR(__xludf.DUMMYFUNCTION("GOOGLETRANSLATE(B2178,""en"",""gd"")"),"Strain")</f>
        <v>Strain</v>
      </c>
    </row>
    <row r="2179" spans="1:9" ht="14.25" customHeight="1" x14ac:dyDescent="0.3">
      <c r="A2179" s="2">
        <v>2178</v>
      </c>
      <c r="B2179" s="3" t="s">
        <v>2186</v>
      </c>
      <c r="C2179" s="2" t="str">
        <f ca="1">IFERROR(__xludf.DUMMYFUNCTION("GOOGLETRANSLATE(B2179, ""en"",""es"")"),"innovación")</f>
        <v>innovación</v>
      </c>
      <c r="D2179" s="2" t="str">
        <f ca="1">IFERROR(__xludf.DUMMYFUNCTION("GOOGLETRANSLATE(B2179,""en"",""ig"")"),"kenkeputa")</f>
        <v>kenkeputa</v>
      </c>
      <c r="E2179" s="2" t="str">
        <f ca="1">IFERROR(__xludf.DUMMYFUNCTION("GOOGLETRANSLATE(B2179,""en"",""fr"")"),"innovation")</f>
        <v>innovation</v>
      </c>
      <c r="F2179" s="2" t="str">
        <f ca="1">IFERROR(__xludf.DUMMYFUNCTION("GOOGLETRANSLATE(B2179,""en"",""it"")"),"innovazione")</f>
        <v>innovazione</v>
      </c>
      <c r="G2179" s="2" t="str">
        <f ca="1">IFERROR(__xludf.DUMMYFUNCTION("GOOGLETRANSLATE(B2179,""en"",""de"")"),"Innovation")</f>
        <v>Innovation</v>
      </c>
      <c r="H2179" s="2" t="str">
        <f ca="1">IFERROR(__xludf.DUMMYFUNCTION("GOOGLETRANSLATE(B2179,""en"",""zh"")"),"创新")</f>
        <v>创新</v>
      </c>
      <c r="I2179" s="2" t="str">
        <f ca="1">IFERROR(__xludf.DUMMYFUNCTION("GOOGLETRANSLATE(B2179,""en"",""gd"")"),"Ùr-ghnàthachadh")</f>
        <v>Ùr-ghnàthachadh</v>
      </c>
    </row>
    <row r="2180" spans="1:9" ht="14.25" customHeight="1" x14ac:dyDescent="0.3">
      <c r="A2180" s="2">
        <v>2179</v>
      </c>
      <c r="B2180" s="3" t="s">
        <v>2187</v>
      </c>
      <c r="C2180" s="2" t="str">
        <f ca="1">IFERROR(__xludf.DUMMYFUNCTION("GOOGLETRANSLATE(B2180, ""en"",""es"")"),"álbum")</f>
        <v>álbum</v>
      </c>
      <c r="D2180" s="2" t="str">
        <f ca="1">IFERROR(__xludf.DUMMYFUNCTION("GOOGLETRANSLATE(B2180,""en"",""ig"")"),"abom")</f>
        <v>abom</v>
      </c>
      <c r="E2180" s="2" t="str">
        <f ca="1">IFERROR(__xludf.DUMMYFUNCTION("GOOGLETRANSLATE(B2180,""en"",""fr"")"),"album")</f>
        <v>album</v>
      </c>
      <c r="F2180" s="2" t="str">
        <f ca="1">IFERROR(__xludf.DUMMYFUNCTION("GOOGLETRANSLATE(B2180,""en"",""it"")"),"album")</f>
        <v>album</v>
      </c>
      <c r="G2180" s="2" t="str">
        <f ca="1">IFERROR(__xludf.DUMMYFUNCTION("GOOGLETRANSLATE(B2180,""en"",""de"")"),"Album")</f>
        <v>Album</v>
      </c>
      <c r="H2180" s="2" t="str">
        <f ca="1">IFERROR(__xludf.DUMMYFUNCTION("GOOGLETRANSLATE(B2180,""en"",""zh"")"),"专辑")</f>
        <v>专辑</v>
      </c>
      <c r="I2180" s="2" t="str">
        <f ca="1">IFERROR(__xludf.DUMMYFUNCTION("GOOGLETRANSLATE(B2180,""en"",""gd"")"),"Album")</f>
        <v>Album</v>
      </c>
    </row>
    <row r="2181" spans="1:9" ht="14.25" customHeight="1" x14ac:dyDescent="0.3">
      <c r="A2181" s="2">
        <v>2180</v>
      </c>
      <c r="B2181" s="3" t="s">
        <v>2188</v>
      </c>
      <c r="C2181" s="2" t="str">
        <f ca="1">IFERROR(__xludf.DUMMYFUNCTION("GOOGLETRANSLATE(B2181, ""en"",""es"")"),"cantante")</f>
        <v>cantante</v>
      </c>
      <c r="D2181" s="2" t="str">
        <f ca="1">IFERROR(__xludf.DUMMYFUNCTION("GOOGLETRANSLATE(B2181,""en"",""ig"")"),"oguegwu nwaanyi")</f>
        <v>oguegwu nwaanyi</v>
      </c>
      <c r="E2181" s="2" t="str">
        <f ca="1">IFERROR(__xludf.DUMMYFUNCTION("GOOGLETRANSLATE(B2181,""en"",""fr"")"),"chanteur")</f>
        <v>chanteur</v>
      </c>
      <c r="F2181" s="2" t="str">
        <f ca="1">IFERROR(__xludf.DUMMYFUNCTION("GOOGLETRANSLATE(B2181,""en"",""it"")"),"cantante")</f>
        <v>cantante</v>
      </c>
      <c r="G2181" s="2" t="str">
        <f ca="1">IFERROR(__xludf.DUMMYFUNCTION("GOOGLETRANSLATE(B2181,""en"",""de"")"),"Sänger")</f>
        <v>Sänger</v>
      </c>
      <c r="H2181" s="2" t="str">
        <f ca="1">IFERROR(__xludf.DUMMYFUNCTION("GOOGLETRANSLATE(B2181,""en"",""zh"")"),"歌手")</f>
        <v>歌手</v>
      </c>
      <c r="I2181" s="2" t="str">
        <f ca="1">IFERROR(__xludf.DUMMYFUNCTION("GOOGLETRANSLATE(B2181,""en"",""gd"")"),"Seinneadair")</f>
        <v>Seinneadair</v>
      </c>
    </row>
    <row r="2182" spans="1:9" ht="14.25" customHeight="1" x14ac:dyDescent="0.3">
      <c r="A2182" s="2">
        <v>2181</v>
      </c>
      <c r="B2182" s="3" t="s">
        <v>2189</v>
      </c>
      <c r="C2182" s="2" t="str">
        <f ca="1">IFERROR(__xludf.DUMMYFUNCTION("GOOGLETRANSLATE(B2182, ""en"",""es"")"),"camino")</f>
        <v>camino</v>
      </c>
      <c r="D2182" s="2" t="str">
        <f ca="1">IFERROR(__xludf.DUMMYFUNCTION("GOOGLETRANSLATE(B2182,""en"",""ig"")"),"treel")</f>
        <v>treel</v>
      </c>
      <c r="E2182" s="2" t="str">
        <f ca="1">IFERROR(__xludf.DUMMYFUNCTION("GOOGLETRANSLATE(B2182,""en"",""fr"")"),"piste")</f>
        <v>piste</v>
      </c>
      <c r="F2182" s="2" t="str">
        <f ca="1">IFERROR(__xludf.DUMMYFUNCTION("GOOGLETRANSLATE(B2182,""en"",""it"")"),"sentiero")</f>
        <v>sentiero</v>
      </c>
      <c r="G2182" s="2" t="str">
        <f ca="1">IFERROR(__xludf.DUMMYFUNCTION("GOOGLETRANSLATE(B2182,""en"",""de"")"),"Pfad")</f>
        <v>Pfad</v>
      </c>
      <c r="H2182" s="2" t="str">
        <f ca="1">IFERROR(__xludf.DUMMYFUNCTION("GOOGLETRANSLATE(B2182,""en"",""zh"")"),"踪迹")</f>
        <v>踪迹</v>
      </c>
      <c r="I2182" s="2" t="str">
        <f ca="1">IFERROR(__xludf.DUMMYFUNCTION("GOOGLETRANSLATE(B2182,""en"",""gd"")"),"Slighe")</f>
        <v>Slighe</v>
      </c>
    </row>
    <row r="2183" spans="1:9" ht="14.25" customHeight="1" x14ac:dyDescent="0.3">
      <c r="A2183" s="2">
        <v>2182</v>
      </c>
      <c r="B2183" s="3" t="s">
        <v>2190</v>
      </c>
      <c r="C2183" s="2" t="str">
        <f ca="1">IFERROR(__xludf.DUMMYFUNCTION("GOOGLETRANSLATE(B2183, ""en"",""es"")"),"trampa")</f>
        <v>trampa</v>
      </c>
      <c r="D2183" s="2" t="str">
        <f ca="1">IFERROR(__xludf.DUMMYFUNCTION("GOOGLETRANSLATE(B2183,""en"",""ig"")"),"onya")</f>
        <v>onya</v>
      </c>
      <c r="E2183" s="2" t="str">
        <f ca="1">IFERROR(__xludf.DUMMYFUNCTION("GOOGLETRANSLATE(B2183,""en"",""fr"")"),"piège")</f>
        <v>piège</v>
      </c>
      <c r="F2183" s="2" t="str">
        <f ca="1">IFERROR(__xludf.DUMMYFUNCTION("GOOGLETRANSLATE(B2183,""en"",""it"")"),"trappola")</f>
        <v>trappola</v>
      </c>
      <c r="G2183" s="2" t="str">
        <f ca="1">IFERROR(__xludf.DUMMYFUNCTION("GOOGLETRANSLATE(B2183,""en"",""de"")"),"fangen")</f>
        <v>fangen</v>
      </c>
      <c r="H2183" s="2" t="str">
        <f ca="1">IFERROR(__xludf.DUMMYFUNCTION("GOOGLETRANSLATE(B2183,""en"",""zh"")"),"陷阱")</f>
        <v>陷阱</v>
      </c>
      <c r="I2183" s="2" t="str">
        <f ca="1">IFERROR(__xludf.DUMMYFUNCTION("GOOGLETRANSLATE(B2183,""en"",""gd"")"),"ribe")</f>
        <v>ribe</v>
      </c>
    </row>
    <row r="2184" spans="1:9" ht="14.25" customHeight="1" x14ac:dyDescent="0.3">
      <c r="A2184" s="2">
        <v>2183</v>
      </c>
      <c r="B2184" s="3" t="s">
        <v>2191</v>
      </c>
      <c r="C2184" s="2" t="str">
        <f ca="1">IFERROR(__xludf.DUMMYFUNCTION("GOOGLETRANSLATE(B2184, ""en"",""es"")"),"perder")</f>
        <v>perder</v>
      </c>
      <c r="D2184" s="2" t="str">
        <f ca="1">IFERROR(__xludf.DUMMYFUNCTION("GOOGLETRANSLATE(B2184,""en"",""ig"")"),"keesighi ike")</f>
        <v>keesighi ike</v>
      </c>
      <c r="E2184" s="2" t="str">
        <f ca="1">IFERROR(__xludf.DUMMYFUNCTION("GOOGLETRANSLATE(B2184,""en"",""fr"")"),"lâche")</f>
        <v>lâche</v>
      </c>
      <c r="F2184" s="2" t="str">
        <f ca="1">IFERROR(__xludf.DUMMYFUNCTION("GOOGLETRANSLATE(B2184,""en"",""it"")"),"sciolto")</f>
        <v>sciolto</v>
      </c>
      <c r="G2184" s="2" t="str">
        <f ca="1">IFERROR(__xludf.DUMMYFUNCTION("GOOGLETRANSLATE(B2184,""en"",""de"")"),"lose")</f>
        <v>lose</v>
      </c>
      <c r="H2184" s="2" t="str">
        <f ca="1">IFERROR(__xludf.DUMMYFUNCTION("GOOGLETRANSLATE(B2184,""en"",""zh"")"),"松动的")</f>
        <v>松动的</v>
      </c>
      <c r="I2184" s="2" t="str">
        <f ca="1">IFERROR(__xludf.DUMMYFUNCTION("GOOGLETRANSLATE(B2184,""en"",""gd"")"),"sgaoilte")</f>
        <v>sgaoilte</v>
      </c>
    </row>
    <row r="2185" spans="1:9" ht="14.25" customHeight="1" x14ac:dyDescent="0.3">
      <c r="A2185" s="2">
        <v>2184</v>
      </c>
      <c r="B2185" s="3" t="s">
        <v>2192</v>
      </c>
      <c r="C2185" s="2" t="str">
        <f ca="1">IFERROR(__xludf.DUMMYFUNCTION("GOOGLETRANSLATE(B2185, ""en"",""es"")"),"extensión")</f>
        <v>extensión</v>
      </c>
      <c r="D2185" s="2" t="str">
        <f ca="1">IFERROR(__xludf.DUMMYFUNCTION("GOOGLETRANSLATE(B2185,""en"",""ig"")"),"mgbati")</f>
        <v>mgbati</v>
      </c>
      <c r="E2185" s="2" t="str">
        <f ca="1">IFERROR(__xludf.DUMMYFUNCTION("GOOGLETRANSLATE(B2185,""en"",""fr"")"),"extension")</f>
        <v>extension</v>
      </c>
      <c r="F2185" s="2" t="str">
        <f ca="1">IFERROR(__xludf.DUMMYFUNCTION("GOOGLETRANSLATE(B2185,""en"",""it"")"),"estensione")</f>
        <v>estensione</v>
      </c>
      <c r="G2185" s="2" t="str">
        <f ca="1">IFERROR(__xludf.DUMMYFUNCTION("GOOGLETRANSLATE(B2185,""en"",""de"")"),"Verlängerung")</f>
        <v>Verlängerung</v>
      </c>
      <c r="H2185" s="2" t="str">
        <f ca="1">IFERROR(__xludf.DUMMYFUNCTION("GOOGLETRANSLATE(B2185,""en"",""zh"")"),"扩大")</f>
        <v>扩大</v>
      </c>
      <c r="I2185" s="2" t="str">
        <f ca="1">IFERROR(__xludf.DUMMYFUNCTION("GOOGLETRANSLATE(B2185,""en"",""gd"")"),"Leudachadh")</f>
        <v>Leudachadh</v>
      </c>
    </row>
    <row r="2186" spans="1:9" ht="14.25" customHeight="1" x14ac:dyDescent="0.3">
      <c r="A2186" s="2">
        <v>2185</v>
      </c>
      <c r="B2186" s="3" t="s">
        <v>2193</v>
      </c>
      <c r="C2186" s="2" t="str">
        <f ca="1">IFERROR(__xludf.DUMMYFUNCTION("GOOGLETRANSLATE(B2186, ""en"",""es"")"),"poder")</f>
        <v>poder</v>
      </c>
      <c r="D2186" s="2" t="str">
        <f ca="1">IFERROR(__xludf.DUMMYFUNCTION("GOOGLETRANSLATE(B2186,""en"",""ig"")"),"aku")</f>
        <v>aku</v>
      </c>
      <c r="E2186" s="2" t="str">
        <f ca="1">IFERROR(__xludf.DUMMYFUNCTION("GOOGLETRANSLATE(B2186,""en"",""fr"")"),"richesse")</f>
        <v>richesse</v>
      </c>
      <c r="F2186" s="2" t="str">
        <f ca="1">IFERROR(__xludf.DUMMYFUNCTION("GOOGLETRANSLATE(B2186,""en"",""it"")"),"ricchezza")</f>
        <v>ricchezza</v>
      </c>
      <c r="G2186" s="2" t="str">
        <f ca="1">IFERROR(__xludf.DUMMYFUNCTION("GOOGLETRANSLATE(B2186,""en"",""de"")"),"Reichtum")</f>
        <v>Reichtum</v>
      </c>
      <c r="H2186" s="2" t="str">
        <f ca="1">IFERROR(__xludf.DUMMYFUNCTION("GOOGLETRANSLATE(B2186,""en"",""zh"")"),"财富")</f>
        <v>财富</v>
      </c>
      <c r="I2186" s="2" t="str">
        <f ca="1">IFERROR(__xludf.DUMMYFUNCTION("GOOGLETRANSLATE(B2186,""en"",""gd"")"),"beairteas")</f>
        <v>beairteas</v>
      </c>
    </row>
    <row r="2187" spans="1:9" ht="14.25" customHeight="1" x14ac:dyDescent="0.3">
      <c r="A2187" s="2">
        <v>2186</v>
      </c>
      <c r="B2187" s="3" t="s">
        <v>2194</v>
      </c>
      <c r="C2187" s="2" t="str">
        <f ca="1">IFERROR(__xludf.DUMMYFUNCTION("GOOGLETRANSLATE(B2187, ""en"",""es"")"),"gradualmente")</f>
        <v>gradualmente</v>
      </c>
      <c r="D2187" s="2" t="str">
        <f ca="1">IFERROR(__xludf.DUMMYFUNCTION("GOOGLETRANSLATE(B2187,""en"",""ig"")"),"nwayo nwayo")</f>
        <v>nwayo nwayo</v>
      </c>
      <c r="E2187" s="2" t="str">
        <f ca="1">IFERROR(__xludf.DUMMYFUNCTION("GOOGLETRANSLATE(B2187,""en"",""fr"")"),"progressivement")</f>
        <v>progressivement</v>
      </c>
      <c r="F2187" s="2" t="str">
        <f ca="1">IFERROR(__xludf.DUMMYFUNCTION("GOOGLETRANSLATE(B2187,""en"",""it"")"),"gradualmente")</f>
        <v>gradualmente</v>
      </c>
      <c r="G2187" s="2" t="str">
        <f ca="1">IFERROR(__xludf.DUMMYFUNCTION("GOOGLETRANSLATE(B2187,""en"",""de"")"),"schrittweise")</f>
        <v>schrittweise</v>
      </c>
      <c r="H2187" s="2" t="str">
        <f ca="1">IFERROR(__xludf.DUMMYFUNCTION("GOOGLETRANSLATE(B2187,""en"",""zh"")"),"逐步地")</f>
        <v>逐步地</v>
      </c>
      <c r="I2187" s="2" t="str">
        <f ca="1">IFERROR(__xludf.DUMMYFUNCTION("GOOGLETRANSLATE(B2187,""en"",""gd"")"),"mean air mhean")</f>
        <v>mean air mhean</v>
      </c>
    </row>
    <row r="2188" spans="1:9" ht="14.25" customHeight="1" x14ac:dyDescent="0.3">
      <c r="A2188" s="2">
        <v>2187</v>
      </c>
      <c r="B2188" s="3" t="s">
        <v>2195</v>
      </c>
      <c r="C2188" s="2" t="str">
        <f ca="1">IFERROR(__xludf.DUMMYFUNCTION("GOOGLETRANSLATE(B2188, ""en"",""es"")"),"tanque")</f>
        <v>tanque</v>
      </c>
      <c r="D2188" s="2" t="str">
        <f ca="1">IFERROR(__xludf.DUMMYFUNCTION("GOOGLETRANSLATE(B2188,""en"",""ig"")"),"tank")</f>
        <v>tank</v>
      </c>
      <c r="E2188" s="2" t="str">
        <f ca="1">IFERROR(__xludf.DUMMYFUNCTION("GOOGLETRANSLATE(B2188,""en"",""fr"")"),"réservoir")</f>
        <v>réservoir</v>
      </c>
      <c r="F2188" s="2" t="str">
        <f ca="1">IFERROR(__xludf.DUMMYFUNCTION("GOOGLETRANSLATE(B2188,""en"",""it"")"),"cisterna")</f>
        <v>cisterna</v>
      </c>
      <c r="G2188" s="2" t="str">
        <f ca="1">IFERROR(__xludf.DUMMYFUNCTION("GOOGLETRANSLATE(B2188,""en"",""de"")"),"Panzer")</f>
        <v>Panzer</v>
      </c>
      <c r="H2188" s="2" t="str">
        <f ca="1">IFERROR(__xludf.DUMMYFUNCTION("GOOGLETRANSLATE(B2188,""en"",""zh"")"),"坦克")</f>
        <v>坦克</v>
      </c>
      <c r="I2188" s="2" t="str">
        <f ca="1">IFERROR(__xludf.DUMMYFUNCTION("GOOGLETRANSLATE(B2188,""en"",""gd"")"),"Tanca")</f>
        <v>Tanca</v>
      </c>
    </row>
    <row r="2189" spans="1:9" ht="14.25" customHeight="1" x14ac:dyDescent="0.3">
      <c r="A2189" s="2">
        <v>2188</v>
      </c>
      <c r="B2189" s="3" t="s">
        <v>2196</v>
      </c>
      <c r="C2189" s="2" t="str">
        <f ca="1">IFERROR(__xludf.DUMMYFUNCTION("GOOGLETRANSLATE(B2189, ""en"",""es"")"),"demonio")</f>
        <v>demonio</v>
      </c>
      <c r="D2189" s="2" t="str">
        <f ca="1">IFERROR(__xludf.DUMMYFUNCTION("GOOGLETRANSLATE(B2189,""en"",""ig"")"),"ihe ojoo")</f>
        <v>ihe ojoo</v>
      </c>
      <c r="E2189" s="2" t="str">
        <f ca="1">IFERROR(__xludf.DUMMYFUNCTION("GOOGLETRANSLATE(B2189,""en"",""fr"")"),"mal")</f>
        <v>mal</v>
      </c>
      <c r="F2189" s="2" t="str">
        <f ca="1">IFERROR(__xludf.DUMMYFUNCTION("GOOGLETRANSLATE(B2189,""en"",""it"")"),"cattivo")</f>
        <v>cattivo</v>
      </c>
      <c r="G2189" s="2" t="str">
        <f ca="1">IFERROR(__xludf.DUMMYFUNCTION("GOOGLETRANSLATE(B2189,""en"",""de"")"),"teuflisch")</f>
        <v>teuflisch</v>
      </c>
      <c r="H2189" s="2" t="str">
        <f ca="1">IFERROR(__xludf.DUMMYFUNCTION("GOOGLETRANSLATE(B2189,""en"",""zh"")"),"邪恶的")</f>
        <v>邪恶的</v>
      </c>
      <c r="I2189" s="2" t="str">
        <f ca="1">IFERROR(__xludf.DUMMYFUNCTION("GOOGLETRANSLATE(B2189,""en"",""gd"")"),"olc")</f>
        <v>olc</v>
      </c>
    </row>
    <row r="2190" spans="1:9" ht="14.25" customHeight="1" x14ac:dyDescent="0.3">
      <c r="A2190" s="2">
        <v>2189</v>
      </c>
      <c r="B2190" s="3" t="s">
        <v>2197</v>
      </c>
      <c r="C2190" s="2" t="str">
        <f ca="1">IFERROR(__xludf.DUMMYFUNCTION("GOOGLETRANSLATE(B2190, ""en"",""es"")"),"notable")</f>
        <v>notable</v>
      </c>
      <c r="D2190" s="2" t="str">
        <f ca="1">IFERROR(__xludf.DUMMYFUNCTION("GOOGLETRANSLATE(B2190,""en"",""ig"")"),"remakeble")</f>
        <v>remakeble</v>
      </c>
      <c r="E2190" s="2" t="str">
        <f ca="1">IFERROR(__xludf.DUMMYFUNCTION("GOOGLETRANSLATE(B2190,""en"",""fr"")"),"remarquable")</f>
        <v>remarquable</v>
      </c>
      <c r="F2190" s="2" t="str">
        <f ca="1">IFERROR(__xludf.DUMMYFUNCTION("GOOGLETRANSLATE(B2190,""en"",""it"")"),"notevole")</f>
        <v>notevole</v>
      </c>
      <c r="G2190" s="2" t="str">
        <f ca="1">IFERROR(__xludf.DUMMYFUNCTION("GOOGLETRANSLATE(B2190,""en"",""de"")"),"bemerkenswert")</f>
        <v>bemerkenswert</v>
      </c>
      <c r="H2190" s="2" t="str">
        <f ca="1">IFERROR(__xludf.DUMMYFUNCTION("GOOGLETRANSLATE(B2190,""en"",""zh"")"),"卓越")</f>
        <v>卓越</v>
      </c>
      <c r="I2190" s="2" t="str">
        <f ca="1">IFERROR(__xludf.DUMMYFUNCTION("GOOGLETRANSLATE(B2190,""en"",""gd"")"),"iongantach")</f>
        <v>iongantach</v>
      </c>
    </row>
    <row r="2191" spans="1:9" ht="14.25" customHeight="1" x14ac:dyDescent="0.3">
      <c r="A2191" s="2">
        <v>2190</v>
      </c>
      <c r="B2191" s="3" t="s">
        <v>2198</v>
      </c>
      <c r="C2191" s="2" t="str">
        <f ca="1">IFERROR(__xludf.DUMMYFUNCTION("GOOGLETRANSLATE(B2191, ""en"",""es"")"),"melodía")</f>
        <v>melodía</v>
      </c>
      <c r="D2191" s="2" t="str">
        <f ca="1">IFERROR(__xludf.DUMMYFUNCTION("GOOGLETRANSLATE(B2191,""en"",""ig"")"),"uri")</f>
        <v>uri</v>
      </c>
      <c r="E2191" s="2" t="str">
        <f ca="1">IFERROR(__xludf.DUMMYFUNCTION("GOOGLETRANSLATE(B2191,""en"",""fr"")"),"régler")</f>
        <v>régler</v>
      </c>
      <c r="F2191" s="2" t="str">
        <f ca="1">IFERROR(__xludf.DUMMYFUNCTION("GOOGLETRANSLATE(B2191,""en"",""it"")"),"sintonizzare")</f>
        <v>sintonizzare</v>
      </c>
      <c r="G2191" s="2" t="str">
        <f ca="1">IFERROR(__xludf.DUMMYFUNCTION("GOOGLETRANSLATE(B2191,""en"",""de"")"),"Melodie")</f>
        <v>Melodie</v>
      </c>
      <c r="H2191" s="2" t="str">
        <f ca="1">IFERROR(__xludf.DUMMYFUNCTION("GOOGLETRANSLATE(B2191,""en"",""zh"")"),"调")</f>
        <v>调</v>
      </c>
      <c r="I2191" s="2" t="str">
        <f ca="1">IFERROR(__xludf.DUMMYFUNCTION("GOOGLETRANSLATE(B2191,""en"",""gd"")"),"fonn")</f>
        <v>fonn</v>
      </c>
    </row>
    <row r="2192" spans="1:9" ht="14.25" customHeight="1" x14ac:dyDescent="0.3">
      <c r="A2192" s="2">
        <v>2191</v>
      </c>
      <c r="B2192" s="3" t="s">
        <v>2199</v>
      </c>
      <c r="C2192" s="2" t="str">
        <f ca="1">IFERROR(__xludf.DUMMYFUNCTION("GOOGLETRANSLATE(B2192, ""en"",""es"")"),"césped")</f>
        <v>césped</v>
      </c>
      <c r="D2192" s="2" t="str">
        <f ca="1">IFERROR(__xludf.DUMMYFUNCTION("GOOGLETRANSLATE(B2192,""en"",""ig"")"),"ahihia")</f>
        <v>ahihia</v>
      </c>
      <c r="E2192" s="2" t="str">
        <f ca="1">IFERROR(__xludf.DUMMYFUNCTION("GOOGLETRANSLATE(B2192,""en"",""fr"")"),"herbe")</f>
        <v>herbe</v>
      </c>
      <c r="F2192" s="2" t="str">
        <f ca="1">IFERROR(__xludf.DUMMYFUNCTION("GOOGLETRANSLATE(B2192,""en"",""it"")"),"erba")</f>
        <v>erba</v>
      </c>
      <c r="G2192" s="2" t="str">
        <f ca="1">IFERROR(__xludf.DUMMYFUNCTION("GOOGLETRANSLATE(B2192,""en"",""de"")"),"Gras")</f>
        <v>Gras</v>
      </c>
      <c r="H2192" s="2" t="str">
        <f ca="1">IFERROR(__xludf.DUMMYFUNCTION("GOOGLETRANSLATE(B2192,""en"",""zh"")"),"草")</f>
        <v>草</v>
      </c>
      <c r="I2192" s="2" t="str">
        <f ca="1">IFERROR(__xludf.DUMMYFUNCTION("GOOGLETRANSLATE(B2192,""en"",""gd"")"),"feur")</f>
        <v>feur</v>
      </c>
    </row>
    <row r="2193" spans="1:9" ht="14.25" customHeight="1" x14ac:dyDescent="0.3">
      <c r="A2193" s="2">
        <v>2192</v>
      </c>
      <c r="B2193" s="3" t="s">
        <v>2200</v>
      </c>
      <c r="C2193" s="2" t="str">
        <f ca="1">IFERROR(__xludf.DUMMYFUNCTION("GOOGLETRANSLATE(B2193, ""en"",""es"")"),"invitación")</f>
        <v>invitación</v>
      </c>
      <c r="D2193" s="2" t="str">
        <f ca="1">IFERROR(__xludf.DUMMYFUNCTION("GOOGLETRANSLATE(B2193,""en"",""ig"")"),"oku")</f>
        <v>oku</v>
      </c>
      <c r="E2193" s="2" t="str">
        <f ca="1">IFERROR(__xludf.DUMMYFUNCTION("GOOGLETRANSLATE(B2193,""en"",""fr"")"),"invitation")</f>
        <v>invitation</v>
      </c>
      <c r="F2193" s="2" t="str">
        <f ca="1">IFERROR(__xludf.DUMMYFUNCTION("GOOGLETRANSLATE(B2193,""en"",""it"")"),"invito")</f>
        <v>invito</v>
      </c>
      <c r="G2193" s="2" t="str">
        <f ca="1">IFERROR(__xludf.DUMMYFUNCTION("GOOGLETRANSLATE(B2193,""en"",""de"")"),"Einladung")</f>
        <v>Einladung</v>
      </c>
      <c r="H2193" s="2" t="str">
        <f ca="1">IFERROR(__xludf.DUMMYFUNCTION("GOOGLETRANSLATE(B2193,""en"",""zh"")"),"邀请")</f>
        <v>邀请</v>
      </c>
      <c r="I2193" s="2" t="str">
        <f ca="1">IFERROR(__xludf.DUMMYFUNCTION("GOOGLETRANSLATE(B2193,""en"",""gd"")"),"Cuireadh")</f>
        <v>Cuireadh</v>
      </c>
    </row>
    <row r="2194" spans="1:9" ht="14.25" customHeight="1" x14ac:dyDescent="0.3">
      <c r="A2194" s="2">
        <v>2193</v>
      </c>
      <c r="B2194" s="3" t="s">
        <v>2201</v>
      </c>
      <c r="C2194" s="2" t="str">
        <f ca="1">IFERROR(__xludf.DUMMYFUNCTION("GOOGLETRANSLATE(B2194, ""en"",""es"")"),"transición")</f>
        <v>transición</v>
      </c>
      <c r="D2194" s="2" t="str">
        <f ca="1">IFERROR(__xludf.DUMMYFUNCTION("GOOGLETRANSLATE(B2194,""en"",""ig"")"),"ntughari")</f>
        <v>ntughari</v>
      </c>
      <c r="E2194" s="2" t="str">
        <f ca="1">IFERROR(__xludf.DUMMYFUNCTION("GOOGLETRANSLATE(B2194,""en"",""fr"")"),"transition")</f>
        <v>transition</v>
      </c>
      <c r="F2194" s="2" t="str">
        <f ca="1">IFERROR(__xludf.DUMMYFUNCTION("GOOGLETRANSLATE(B2194,""en"",""it"")"),"transizione")</f>
        <v>transizione</v>
      </c>
      <c r="G2194" s="2" t="str">
        <f ca="1">IFERROR(__xludf.DUMMYFUNCTION("GOOGLETRANSLATE(B2194,""en"",""de"")"),"Übergang")</f>
        <v>Übergang</v>
      </c>
      <c r="H2194" s="2" t="str">
        <f ca="1">IFERROR(__xludf.DUMMYFUNCTION("GOOGLETRANSLATE(B2194,""en"",""zh"")"),"过渡")</f>
        <v>过渡</v>
      </c>
      <c r="I2194" s="2" t="str">
        <f ca="1">IFERROR(__xludf.DUMMYFUNCTION("GOOGLETRANSLATE(B2194,""en"",""gd"")"),"Eadar-ghluasad")</f>
        <v>Eadar-ghluasad</v>
      </c>
    </row>
    <row r="2195" spans="1:9" ht="14.25" customHeight="1" x14ac:dyDescent="0.3">
      <c r="A2195" s="2">
        <v>2194</v>
      </c>
      <c r="B2195" s="3" t="s">
        <v>2202</v>
      </c>
      <c r="C2195" s="2" t="str">
        <f ca="1">IFERROR(__xludf.DUMMYFUNCTION("GOOGLETRANSLATE(B2195, ""en"",""es"")"),"asustar")</f>
        <v>asustar</v>
      </c>
      <c r="D2195" s="2" t="str">
        <f ca="1">IFERROR(__xludf.DUMMYFUNCTION("GOOGLETRANSLATE(B2195,""en"",""ig"")"),"itu egwu")</f>
        <v>itu egwu</v>
      </c>
      <c r="E2195" s="2" t="str">
        <f ca="1">IFERROR(__xludf.DUMMYFUNCTION("GOOGLETRANSLATE(B2195,""en"",""fr"")"),"effrayer")</f>
        <v>effrayer</v>
      </c>
      <c r="F2195" s="2" t="str">
        <f ca="1">IFERROR(__xludf.DUMMYFUNCTION("GOOGLETRANSLATE(B2195,""en"",""it"")"),"impaurire")</f>
        <v>impaurire</v>
      </c>
      <c r="G2195" s="2" t="str">
        <f ca="1">IFERROR(__xludf.DUMMYFUNCTION("GOOGLETRANSLATE(B2195,""en"",""de"")"),"erschrecken")</f>
        <v>erschrecken</v>
      </c>
      <c r="H2195" s="2" t="str">
        <f ca="1">IFERROR(__xludf.DUMMYFUNCTION("GOOGLETRANSLATE(B2195,""en"",""zh"")"),"吓唬")</f>
        <v>吓唬</v>
      </c>
      <c r="I2195" s="2" t="str">
        <f ca="1">IFERROR(__xludf.DUMMYFUNCTION("GOOGLETRANSLATE(B2195,""en"",""gd"")"),"Cuir eagal")</f>
        <v>Cuir eagal</v>
      </c>
    </row>
    <row r="2196" spans="1:9" ht="14.25" customHeight="1" x14ac:dyDescent="0.3">
      <c r="A2196" s="2">
        <v>2195</v>
      </c>
      <c r="B2196" s="3" t="s">
        <v>2203</v>
      </c>
      <c r="C2196" s="2" t="str">
        <f ca="1">IFERROR(__xludf.DUMMYFUNCTION("GOOGLETRANSLATE(B2196, ""en"",""es"")"),"licitación")</f>
        <v>licitación</v>
      </c>
      <c r="D2196" s="2" t="str">
        <f ca="1">IFERROR(__xludf.DUMMYFUNCTION("GOOGLETRANSLATE(B2196,""en"",""ig"")"),"ikwe onu ahia")</f>
        <v>ikwe onu ahia</v>
      </c>
      <c r="E2196" s="2" t="str">
        <f ca="1">IFERROR(__xludf.DUMMYFUNCTION("GOOGLETRANSLATE(B2196,""en"",""fr"")"),"offre")</f>
        <v>offre</v>
      </c>
      <c r="F2196" s="2" t="str">
        <f ca="1">IFERROR(__xludf.DUMMYFUNCTION("GOOGLETRANSLATE(B2196,""en"",""it"")"),"offerta")</f>
        <v>offerta</v>
      </c>
      <c r="G2196" s="2" t="str">
        <f ca="1">IFERROR(__xludf.DUMMYFUNCTION("GOOGLETRANSLATE(B2196,""en"",""de"")"),"Gebot")</f>
        <v>Gebot</v>
      </c>
      <c r="H2196" s="2" t="str">
        <f ca="1">IFERROR(__xludf.DUMMYFUNCTION("GOOGLETRANSLATE(B2196,""en"",""zh"")"),"出价")</f>
        <v>出价</v>
      </c>
      <c r="I2196" s="2" t="str">
        <f ca="1">IFERROR(__xludf.DUMMYFUNCTION("GOOGLETRANSLATE(B2196,""en"",""gd"")"),"tagradh")</f>
        <v>tagradh</v>
      </c>
    </row>
    <row r="2197" spans="1:9" ht="14.25" customHeight="1" x14ac:dyDescent="0.3">
      <c r="A2197" s="2">
        <v>2196</v>
      </c>
      <c r="B2197" s="3" t="s">
        <v>2204</v>
      </c>
      <c r="C2197" s="2" t="str">
        <f ca="1">IFERROR(__xludf.DUMMYFUNCTION("GOOGLETRANSLATE(B2197, ""en"",""es"")"),"criar")</f>
        <v>criar</v>
      </c>
      <c r="D2197" s="2" t="str">
        <f ca="1">IFERROR(__xludf.DUMMYFUNCTION("GOOGLETRANSLATE(B2197,""en"",""ig"")"),"ozuzu")</f>
        <v>ozuzu</v>
      </c>
      <c r="E2197" s="2" t="str">
        <f ca="1">IFERROR(__xludf.DUMMYFUNCTION("GOOGLETRANSLATE(B2197,""en"",""fr"")"),"race")</f>
        <v>race</v>
      </c>
      <c r="F2197" s="2" t="str">
        <f ca="1">IFERROR(__xludf.DUMMYFUNCTION("GOOGLETRANSLATE(B2197,""en"",""it"")"),"razza")</f>
        <v>razza</v>
      </c>
      <c r="G2197" s="2" t="str">
        <f ca="1">IFERROR(__xludf.DUMMYFUNCTION("GOOGLETRANSLATE(B2197,""en"",""de"")"),"züchten")</f>
        <v>züchten</v>
      </c>
      <c r="H2197" s="2" t="str">
        <f ca="1">IFERROR(__xludf.DUMMYFUNCTION("GOOGLETRANSLATE(B2197,""en"",""zh"")"),"品种")</f>
        <v>品种</v>
      </c>
      <c r="I2197" s="2" t="str">
        <f ca="1">IFERROR(__xludf.DUMMYFUNCTION("GOOGLETRANSLATE(B2197,""en"",""gd"")"),"briod")</f>
        <v>briod</v>
      </c>
    </row>
    <row r="2198" spans="1:9" ht="14.25" customHeight="1" x14ac:dyDescent="0.3">
      <c r="A2198" s="2">
        <v>2197</v>
      </c>
      <c r="B2198" s="3" t="s">
        <v>2205</v>
      </c>
      <c r="C2198" s="2" t="str">
        <f ca="1">IFERROR(__xludf.DUMMYFUNCTION("GOOGLETRANSLATE(B2198, ""en"",""es"")"),"extraordinario")</f>
        <v>extraordinario</v>
      </c>
      <c r="D2198" s="2" t="str">
        <f ca="1">IFERROR(__xludf.DUMMYFUNCTION("GOOGLETRANSLATE(B2198,""en"",""ig"")"),"kediegwu")</f>
        <v>kediegwu</v>
      </c>
      <c r="E2198" s="2" t="str">
        <f ca="1">IFERROR(__xludf.DUMMYFUNCTION("GOOGLETRANSLATE(B2198,""en"",""fr"")"),"extraordinaire")</f>
        <v>extraordinaire</v>
      </c>
      <c r="F2198" s="2" t="str">
        <f ca="1">IFERROR(__xludf.DUMMYFUNCTION("GOOGLETRANSLATE(B2198,""en"",""it"")"),"straordinario")</f>
        <v>straordinario</v>
      </c>
      <c r="G2198" s="2" t="str">
        <f ca="1">IFERROR(__xludf.DUMMYFUNCTION("GOOGLETRANSLATE(B2198,""en"",""de"")"),"außergewöhnlich")</f>
        <v>außergewöhnlich</v>
      </c>
      <c r="H2198" s="2" t="str">
        <f ca="1">IFERROR(__xludf.DUMMYFUNCTION("GOOGLETRANSLATE(B2198,""en"",""zh"")"),"非凡的")</f>
        <v>非凡的</v>
      </c>
      <c r="I2198" s="2" t="str">
        <f ca="1">IFERROR(__xludf.DUMMYFUNCTION("GOOGLETRANSLATE(B2198,""en"",""gd"")"),"extraord")</f>
        <v>extraord</v>
      </c>
    </row>
    <row r="2199" spans="1:9" ht="14.25" customHeight="1" x14ac:dyDescent="0.3">
      <c r="A2199" s="2">
        <v>2198</v>
      </c>
      <c r="B2199" s="3" t="s">
        <v>2206</v>
      </c>
      <c r="C2199" s="2" t="str">
        <f ca="1">IFERROR(__xludf.DUMMYFUNCTION("GOOGLETRANSLATE(B2199, ""en"",""es"")"),"brillante")</f>
        <v>brillante</v>
      </c>
      <c r="D2199" s="2" t="str">
        <f ca="1">IFERROR(__xludf.DUMMYFUNCTION("GOOGLETRANSLATE(B2199,""en"",""ig"")"),"amamiihe")</f>
        <v>amamiihe</v>
      </c>
      <c r="E2199" s="2" t="str">
        <f ca="1">IFERROR(__xludf.DUMMYFUNCTION("GOOGLETRANSLATE(B2199,""en"",""fr"")"),"brillant")</f>
        <v>brillant</v>
      </c>
      <c r="F2199" s="2" t="str">
        <f ca="1">IFERROR(__xludf.DUMMYFUNCTION("GOOGLETRANSLATE(B2199,""en"",""it"")"),"brillante")</f>
        <v>brillante</v>
      </c>
      <c r="G2199" s="2" t="str">
        <f ca="1">IFERROR(__xludf.DUMMYFUNCTION("GOOGLETRANSLATE(B2199,""en"",""de"")"),"brillant")</f>
        <v>brillant</v>
      </c>
      <c r="H2199" s="2" t="str">
        <f ca="1">IFERROR(__xludf.DUMMYFUNCTION("GOOGLETRANSLATE(B2199,""en"",""zh"")"),"杰出的")</f>
        <v>杰出的</v>
      </c>
      <c r="I2199" s="2" t="str">
        <f ca="1">IFERROR(__xludf.DUMMYFUNCTION("GOOGLETRANSLATE(B2199,""en"",""gd"")"),"sgoinneil")</f>
        <v>sgoinneil</v>
      </c>
    </row>
    <row r="2200" spans="1:9" ht="14.25" customHeight="1" x14ac:dyDescent="0.3">
      <c r="A2200" s="2">
        <v>2199</v>
      </c>
      <c r="B2200" s="3" t="s">
        <v>2207</v>
      </c>
      <c r="C2200" s="2" t="str">
        <f ca="1">IFERROR(__xludf.DUMMYFUNCTION("GOOGLETRANSLATE(B2200, ""en"",""es"")"),"asesor")</f>
        <v>asesor</v>
      </c>
      <c r="D2200" s="2" t="str">
        <f ca="1">IFERROR(__xludf.DUMMYFUNCTION("GOOGLETRANSLATE(B2200,""en"",""ig"")"),"onye ndumodu")</f>
        <v>onye ndumodu</v>
      </c>
      <c r="E2200" s="2" t="str">
        <f ca="1">IFERROR(__xludf.DUMMYFUNCTION("GOOGLETRANSLATE(B2200,""en"",""fr"")"),"conseiller")</f>
        <v>conseiller</v>
      </c>
      <c r="F2200" s="2" t="str">
        <f ca="1">IFERROR(__xludf.DUMMYFUNCTION("GOOGLETRANSLATE(B2200,""en"",""it"")"),"consigliere")</f>
        <v>consigliere</v>
      </c>
      <c r="G2200" s="2" t="str">
        <f ca="1">IFERROR(__xludf.DUMMYFUNCTION("GOOGLETRANSLATE(B2200,""en"",""de"")"),"Berater")</f>
        <v>Berater</v>
      </c>
      <c r="H2200" s="2" t="str">
        <f ca="1">IFERROR(__xludf.DUMMYFUNCTION("GOOGLETRANSLATE(B2200,""en"",""zh"")"),"顾问")</f>
        <v>顾问</v>
      </c>
      <c r="I2200" s="2" t="str">
        <f ca="1">IFERROR(__xludf.DUMMYFUNCTION("GOOGLETRANSLATE(B2200,""en"",""gd"")"),"Comhairliche")</f>
        <v>Comhairliche</v>
      </c>
    </row>
    <row r="2201" spans="1:9" ht="14.25" customHeight="1" x14ac:dyDescent="0.3">
      <c r="A2201" s="2">
        <v>2200</v>
      </c>
      <c r="B2201" s="3" t="s">
        <v>2208</v>
      </c>
      <c r="C2201" s="2" t="str">
        <f ca="1">IFERROR(__xludf.DUMMYFUNCTION("GOOGLETRANSLATE(B2201, ""en"",""es"")"),"provenir")</f>
        <v>provenir</v>
      </c>
      <c r="D2201" s="2" t="str">
        <f ca="1">IFERROR(__xludf.DUMMYFUNCTION("GOOGLETRANSLATE(B2201,""en"",""ig"")"),"azuokokoosisi")</f>
        <v>azuokokoosisi</v>
      </c>
      <c r="E2201" s="2" t="str">
        <f ca="1">IFERROR(__xludf.DUMMYFUNCTION("GOOGLETRANSLATE(B2201,""en"",""fr"")"),"tige")</f>
        <v>tige</v>
      </c>
      <c r="F2201" s="2" t="str">
        <f ca="1">IFERROR(__xludf.DUMMYFUNCTION("GOOGLETRANSLATE(B2201,""en"",""it"")"),"stelo")</f>
        <v>stelo</v>
      </c>
      <c r="G2201" s="2" t="str">
        <f ca="1">IFERROR(__xludf.DUMMYFUNCTION("GOOGLETRANSLATE(B2201,""en"",""de"")"),"Stengel")</f>
        <v>Stengel</v>
      </c>
      <c r="H2201" s="2" t="str">
        <f ca="1">IFERROR(__xludf.DUMMYFUNCTION("GOOGLETRANSLATE(B2201,""en"",""zh"")"),"干")</f>
        <v>干</v>
      </c>
      <c r="I2201" s="2" t="str">
        <f ca="1">IFERROR(__xludf.DUMMYFUNCTION("GOOGLETRANSLATE(B2201,""en"",""gd"")"),"gas")</f>
        <v>gas</v>
      </c>
    </row>
    <row r="2202" spans="1:9" ht="14.25" customHeight="1" x14ac:dyDescent="0.3">
      <c r="A2202" s="2">
        <v>2201</v>
      </c>
      <c r="B2202" s="3" t="s">
        <v>2209</v>
      </c>
      <c r="C2202" s="2" t="str">
        <f ca="1">IFERROR(__xludf.DUMMYFUNCTION("GOOGLETRANSLATE(B2202, ""en"",""es"")"),"contrarrestar")</f>
        <v>contrarrestar</v>
      </c>
      <c r="D2202" s="2" t="str">
        <f ca="1">IFERROR(__xludf.DUMMYFUNCTION("GOOGLETRANSLATE(B2202,""en"",""ig"")"),"laa azu")</f>
        <v>laa azu</v>
      </c>
      <c r="E2202" s="2" t="str">
        <f ca="1">IFERROR(__xludf.DUMMYFUNCTION("GOOGLETRANSLATE(B2202,""en"",""fr"")"),"inverse")</f>
        <v>inverse</v>
      </c>
      <c r="F2202" s="2" t="str">
        <f ca="1">IFERROR(__xludf.DUMMYFUNCTION("GOOGLETRANSLATE(B2202,""en"",""it"")"),"inversione")</f>
        <v>inversione</v>
      </c>
      <c r="G2202" s="2" t="str">
        <f ca="1">IFERROR(__xludf.DUMMYFUNCTION("GOOGLETRANSLATE(B2202,""en"",""de"")"),"umkehren")</f>
        <v>umkehren</v>
      </c>
      <c r="H2202" s="2" t="str">
        <f ca="1">IFERROR(__xludf.DUMMYFUNCTION("GOOGLETRANSLATE(B2202,""en"",""zh"")"),"撤销")</f>
        <v>撤销</v>
      </c>
      <c r="I2202" s="2" t="str">
        <f ca="1">IFERROR(__xludf.DUMMYFUNCTION("GOOGLETRANSLATE(B2202,""en"",""gd"")"),"air ais")</f>
        <v>air ais</v>
      </c>
    </row>
    <row r="2203" spans="1:9" ht="14.25" customHeight="1" x14ac:dyDescent="0.3">
      <c r="A2203" s="2">
        <v>2202</v>
      </c>
      <c r="B2203" s="3" t="s">
        <v>2210</v>
      </c>
      <c r="C2203" s="2" t="str">
        <f ca="1">IFERROR(__xludf.DUMMYFUNCTION("GOOGLETRANSLATE(B2203, ""en"",""es"")"),"modo")</f>
        <v>modo</v>
      </c>
      <c r="D2203" s="2" t="str">
        <f ca="1">IFERROR(__xludf.DUMMYFUNCTION("GOOGLETRANSLATE(B2203,""en"",""ig"")"),"modu")</f>
        <v>modu</v>
      </c>
      <c r="E2203" s="2" t="str">
        <f ca="1">IFERROR(__xludf.DUMMYFUNCTION("GOOGLETRANSLATE(B2203,""en"",""fr"")"),"mode")</f>
        <v>mode</v>
      </c>
      <c r="F2203" s="2" t="str">
        <f ca="1">IFERROR(__xludf.DUMMYFUNCTION("GOOGLETRANSLATE(B2203,""en"",""it"")"),"modalità")</f>
        <v>modalità</v>
      </c>
      <c r="G2203" s="2" t="str">
        <f ca="1">IFERROR(__xludf.DUMMYFUNCTION("GOOGLETRANSLATE(B2203,""en"",""de"")"),"Modus")</f>
        <v>Modus</v>
      </c>
      <c r="H2203" s="2" t="str">
        <f ca="1">IFERROR(__xludf.DUMMYFUNCTION("GOOGLETRANSLATE(B2203,""en"",""zh"")"),"模式")</f>
        <v>模式</v>
      </c>
      <c r="I2203" s="2" t="str">
        <f ca="1">IFERROR(__xludf.DUMMYFUNCTION("GOOGLETRANSLATE(B2203,""en"",""gd"")"),"Modh")</f>
        <v>Modh</v>
      </c>
    </row>
    <row r="2204" spans="1:9" ht="14.25" customHeight="1" x14ac:dyDescent="0.3">
      <c r="A2204" s="2">
        <v>2203</v>
      </c>
      <c r="B2204" s="3" t="s">
        <v>2211</v>
      </c>
      <c r="C2204" s="2" t="str">
        <f ca="1">IFERROR(__xludf.DUMMYFUNCTION("GOOGLETRANSLATE(B2204, ""en"",""es"")"),"espejo")</f>
        <v>espejo</v>
      </c>
      <c r="D2204" s="2" t="str">
        <f ca="1">IFERROR(__xludf.DUMMYFUNCTION("GOOGLETRANSLATE(B2204,""en"",""ig"")"),"anyo")</f>
        <v>anyo</v>
      </c>
      <c r="E2204" s="2" t="str">
        <f ca="1">IFERROR(__xludf.DUMMYFUNCTION("GOOGLETRANSLATE(B2204,""en"",""fr"")"),"miroir")</f>
        <v>miroir</v>
      </c>
      <c r="F2204" s="2" t="str">
        <f ca="1">IFERROR(__xludf.DUMMYFUNCTION("GOOGLETRANSLATE(B2204,""en"",""it"")"),"specchio")</f>
        <v>specchio</v>
      </c>
      <c r="G2204" s="2" t="str">
        <f ca="1">IFERROR(__xludf.DUMMYFUNCTION("GOOGLETRANSLATE(B2204,""en"",""de"")"),"Spiegel")</f>
        <v>Spiegel</v>
      </c>
      <c r="H2204" s="2" t="str">
        <f ca="1">IFERROR(__xludf.DUMMYFUNCTION("GOOGLETRANSLATE(B2204,""en"",""zh"")"),"镜子")</f>
        <v>镜子</v>
      </c>
      <c r="I2204" s="2" t="str">
        <f ca="1">IFERROR(__xludf.DUMMYFUNCTION("GOOGLETRANSLATE(B2204,""en"",""gd"")"),"sgàthan")</f>
        <v>sgàthan</v>
      </c>
    </row>
    <row r="2205" spans="1:9" ht="14.25" customHeight="1" x14ac:dyDescent="0.3">
      <c r="A2205" s="2">
        <v>2204</v>
      </c>
      <c r="B2205" s="3" t="s">
        <v>2212</v>
      </c>
      <c r="C2205" s="2" t="str">
        <f ca="1">IFERROR(__xludf.DUMMYFUNCTION("GOOGLETRANSLATE(B2205, ""en"",""es"")"),"horrible")</f>
        <v>horrible</v>
      </c>
      <c r="D2205" s="2" t="str">
        <f ca="1">IFERROR(__xludf.DUMMYFUNCTION("GOOGLETRANSLATE(B2205,""en"",""ig"")"),"ke egwu")</f>
        <v>ke egwu</v>
      </c>
      <c r="E2205" s="2" t="str">
        <f ca="1">IFERROR(__xludf.DUMMYFUNCTION("GOOGLETRANSLATE(B2205,""en"",""fr"")"),"affreux")</f>
        <v>affreux</v>
      </c>
      <c r="F2205" s="2" t="str">
        <f ca="1">IFERROR(__xludf.DUMMYFUNCTION("GOOGLETRANSLATE(B2205,""en"",""it"")"),"Terribile")</f>
        <v>Terribile</v>
      </c>
      <c r="G2205" s="2" t="str">
        <f ca="1">IFERROR(__xludf.DUMMYFUNCTION("GOOGLETRANSLATE(B2205,""en"",""de"")"),"schrecklich")</f>
        <v>schrecklich</v>
      </c>
      <c r="H2205" s="2" t="str">
        <f ca="1">IFERROR(__xludf.DUMMYFUNCTION("GOOGLETRANSLATE(B2205,""en"",""zh"")"),"可怕")</f>
        <v>可怕</v>
      </c>
      <c r="I2205" s="2" t="str">
        <f ca="1">IFERROR(__xludf.DUMMYFUNCTION("GOOGLETRANSLATE(B2205,""en"",""gd"")"),"uamhasach")</f>
        <v>uamhasach</v>
      </c>
    </row>
    <row r="2206" spans="1:9" ht="14.25" customHeight="1" x14ac:dyDescent="0.3">
      <c r="A2206" s="2">
        <v>2205</v>
      </c>
      <c r="B2206" s="3" t="s">
        <v>2213</v>
      </c>
      <c r="C2206" s="2" t="str">
        <f ca="1">IFERROR(__xludf.DUMMYFUNCTION("GOOGLETRANSLATE(B2206, ""en"",""es"")"),"pose")</f>
        <v>pose</v>
      </c>
      <c r="D2206" s="2" t="str">
        <f ca="1">IFERROR(__xludf.DUMMYFUNCTION("GOOGLETRANSLATE(B2206,""en"",""ig"")"),"posu")</f>
        <v>posu</v>
      </c>
      <c r="E2206" s="2" t="str">
        <f ca="1">IFERROR(__xludf.DUMMYFUNCTION("GOOGLETRANSLATE(B2206,""en"",""fr"")"),"pose")</f>
        <v>pose</v>
      </c>
      <c r="F2206" s="2" t="str">
        <f ca="1">IFERROR(__xludf.DUMMYFUNCTION("GOOGLETRANSLATE(B2206,""en"",""it"")"),"posa")</f>
        <v>posa</v>
      </c>
      <c r="G2206" s="2" t="str">
        <f ca="1">IFERROR(__xludf.DUMMYFUNCTION("GOOGLETRANSLATE(B2206,""en"",""de"")"),"Pose")</f>
        <v>Pose</v>
      </c>
      <c r="H2206" s="2" t="str">
        <f ca="1">IFERROR(__xludf.DUMMYFUNCTION("GOOGLETRANSLATE(B2206,""en"",""zh"")"),"姿势")</f>
        <v>姿势</v>
      </c>
      <c r="I2206" s="2" t="str">
        <f ca="1">IFERROR(__xludf.DUMMYFUNCTION("GOOGLETRANSLATE(B2206,""en"",""gd"")"),"Pose")</f>
        <v>Pose</v>
      </c>
    </row>
    <row r="2207" spans="1:9" ht="14.25" customHeight="1" x14ac:dyDescent="0.3">
      <c r="A2207" s="2">
        <v>2206</v>
      </c>
      <c r="B2207" s="3" t="s">
        <v>2214</v>
      </c>
      <c r="C2207" s="2" t="str">
        <f ca="1">IFERROR(__xludf.DUMMYFUNCTION("GOOGLETRANSLATE(B2207, ""en"",""es"")"),"ajustar")</f>
        <v>ajustar</v>
      </c>
      <c r="D2207" s="2" t="str">
        <f ca="1">IFERROR(__xludf.DUMMYFUNCTION("GOOGLETRANSLATE(B2207,""en"",""ig"")"),"imeghari")</f>
        <v>imeghari</v>
      </c>
      <c r="E2207" s="2" t="str">
        <f ca="1">IFERROR(__xludf.DUMMYFUNCTION("GOOGLETRANSLATE(B2207,""en"",""fr"")"),"ajuster")</f>
        <v>ajuster</v>
      </c>
      <c r="F2207" s="2" t="str">
        <f ca="1">IFERROR(__xludf.DUMMYFUNCTION("GOOGLETRANSLATE(B2207,""en"",""it"")"),"regolare")</f>
        <v>regolare</v>
      </c>
      <c r="G2207" s="2" t="str">
        <f ca="1">IFERROR(__xludf.DUMMYFUNCTION("GOOGLETRANSLATE(B2207,""en"",""de"")"),"anpassen")</f>
        <v>anpassen</v>
      </c>
      <c r="H2207" s="2" t="str">
        <f ca="1">IFERROR(__xludf.DUMMYFUNCTION("GOOGLETRANSLATE(B2207,""en"",""zh"")"),"调整")</f>
        <v>调整</v>
      </c>
      <c r="I2207" s="2" t="str">
        <f ca="1">IFERROR(__xludf.DUMMYFUNCTION("GOOGLETRANSLATE(B2207,""en"",""gd"")"),"Atharraich")</f>
        <v>Atharraich</v>
      </c>
    </row>
    <row r="2208" spans="1:9" ht="14.25" customHeight="1" x14ac:dyDescent="0.3">
      <c r="A2208" s="2">
        <v>2207</v>
      </c>
      <c r="B2208" s="3" t="s">
        <v>2215</v>
      </c>
      <c r="C2208" s="2" t="str">
        <f ca="1">IFERROR(__xludf.DUMMYFUNCTION("GOOGLETRANSLATE(B2208, ""en"",""es"")"),"creativo")</f>
        <v>creativo</v>
      </c>
      <c r="D2208" s="2" t="str">
        <f ca="1">IFERROR(__xludf.DUMMYFUNCTION("GOOGLETRANSLATE(B2208,""en"",""ig"")"),"ekeere uche")</f>
        <v>ekeere uche</v>
      </c>
      <c r="E2208" s="2" t="str">
        <f ca="1">IFERROR(__xludf.DUMMYFUNCTION("GOOGLETRANSLATE(B2208,""en"",""fr"")"),"créatif")</f>
        <v>créatif</v>
      </c>
      <c r="F2208" s="2" t="str">
        <f ca="1">IFERROR(__xludf.DUMMYFUNCTION("GOOGLETRANSLATE(B2208,""en"",""it"")"),"creativo")</f>
        <v>creativo</v>
      </c>
      <c r="G2208" s="2" t="str">
        <f ca="1">IFERROR(__xludf.DUMMYFUNCTION("GOOGLETRANSLATE(B2208,""en"",""de"")"),"kreativ")</f>
        <v>kreativ</v>
      </c>
      <c r="H2208" s="2" t="str">
        <f ca="1">IFERROR(__xludf.DUMMYFUNCTION("GOOGLETRANSLATE(B2208,""en"",""zh"")"),"有创造力的")</f>
        <v>有创造力的</v>
      </c>
      <c r="I2208" s="2" t="str">
        <f ca="1">IFERROR(__xludf.DUMMYFUNCTION("GOOGLETRANSLATE(B2208,""en"",""gd"")"),"Cruthachail")</f>
        <v>Cruthachail</v>
      </c>
    </row>
    <row r="2209" spans="1:9" ht="14.25" customHeight="1" x14ac:dyDescent="0.3">
      <c r="A2209" s="2">
        <v>2208</v>
      </c>
      <c r="B2209" s="3" t="s">
        <v>2216</v>
      </c>
      <c r="C2209" s="2" t="str">
        <f ca="1">IFERROR(__xludf.DUMMYFUNCTION("GOOGLETRANSLATE(B2209, ""en"",""es"")"),"hoy en día")</f>
        <v>hoy en día</v>
      </c>
      <c r="D2209" s="2" t="str">
        <f ca="1">IFERROR(__xludf.DUMMYFUNCTION("GOOGLETRANSLATE(B2209,""en"",""ig"")"),"ugbua")</f>
        <v>ugbua</v>
      </c>
      <c r="E2209" s="2" t="str">
        <f ca="1">IFERROR(__xludf.DUMMYFUNCTION("GOOGLETRANSLATE(B2209,""en"",""fr"")"),"aujourd'hui")</f>
        <v>aujourd'hui</v>
      </c>
      <c r="F2209" s="2" t="str">
        <f ca="1">IFERROR(__xludf.DUMMYFUNCTION("GOOGLETRANSLATE(B2209,""en"",""it"")"),"Al giorno d'oggi")</f>
        <v>Al giorno d'oggi</v>
      </c>
      <c r="G2209" s="2" t="str">
        <f ca="1">IFERROR(__xludf.DUMMYFUNCTION("GOOGLETRANSLATE(B2209,""en"",""de"")"),"heutzutage")</f>
        <v>heutzutage</v>
      </c>
      <c r="H2209" s="2" t="str">
        <f ca="1">IFERROR(__xludf.DUMMYFUNCTION("GOOGLETRANSLATE(B2209,""en"",""zh"")"),"如今")</f>
        <v>如今</v>
      </c>
      <c r="I2209" s="2" t="str">
        <f ca="1">IFERROR(__xludf.DUMMYFUNCTION("GOOGLETRANSLATE(B2209,""en"",""gd"")"),"An-diugh")</f>
        <v>An-diugh</v>
      </c>
    </row>
    <row r="2210" spans="1:9" ht="14.25" customHeight="1" x14ac:dyDescent="0.3">
      <c r="A2210" s="2">
        <v>2209</v>
      </c>
      <c r="B2210" s="3" t="s">
        <v>2217</v>
      </c>
      <c r="C2210" s="2" t="str">
        <f ca="1">IFERROR(__xludf.DUMMYFUNCTION("GOOGLETRANSLATE(B2210, ""en"",""es"")"),"poema")</f>
        <v>poema</v>
      </c>
      <c r="D2210" s="2" t="str">
        <f ca="1">IFERROR(__xludf.DUMMYFUNCTION("GOOGLETRANSLATE(B2210,""en"",""ig"")"),"abu")</f>
        <v>abu</v>
      </c>
      <c r="E2210" s="2" t="str">
        <f ca="1">IFERROR(__xludf.DUMMYFUNCTION("GOOGLETRANSLATE(B2210,""en"",""fr"")"),"poème")</f>
        <v>poème</v>
      </c>
      <c r="F2210" s="2" t="str">
        <f ca="1">IFERROR(__xludf.DUMMYFUNCTION("GOOGLETRANSLATE(B2210,""en"",""it"")"),"poesia")</f>
        <v>poesia</v>
      </c>
      <c r="G2210" s="2" t="str">
        <f ca="1">IFERROR(__xludf.DUMMYFUNCTION("GOOGLETRANSLATE(B2210,""en"",""de"")"),"Gedicht")</f>
        <v>Gedicht</v>
      </c>
      <c r="H2210" s="2" t="str">
        <f ca="1">IFERROR(__xludf.DUMMYFUNCTION("GOOGLETRANSLATE(B2210,""en"",""zh"")"),"诗")</f>
        <v>诗</v>
      </c>
      <c r="I2210" s="2" t="str">
        <f ca="1">IFERROR(__xludf.DUMMYFUNCTION("GOOGLETRANSLATE(B2210,""en"",""gd"")"),"Dàn")</f>
        <v>Dàn</v>
      </c>
    </row>
    <row r="2211" spans="1:9" ht="14.25" customHeight="1" x14ac:dyDescent="0.3">
      <c r="A2211" s="2">
        <v>2210</v>
      </c>
      <c r="B2211" s="3" t="s">
        <v>2218</v>
      </c>
      <c r="C2211" s="2" t="str">
        <f ca="1">IFERROR(__xludf.DUMMYFUNCTION("GOOGLETRANSLATE(B2211, ""en"",""es"")"),"agrícola")</f>
        <v>agrícola</v>
      </c>
      <c r="D2211" s="2" t="str">
        <f ca="1">IFERROR(__xludf.DUMMYFUNCTION("GOOGLETRANSLATE(B2211,""en"",""ig"")"),"keugbo")</f>
        <v>keugbo</v>
      </c>
      <c r="E2211" s="2" t="str">
        <f ca="1">IFERROR(__xludf.DUMMYFUNCTION("GOOGLETRANSLATE(B2211,""en"",""fr"")"),"agricole")</f>
        <v>agricole</v>
      </c>
      <c r="F2211" s="2" t="str">
        <f ca="1">IFERROR(__xludf.DUMMYFUNCTION("GOOGLETRANSLATE(B2211,""en"",""it"")"),"agricolo")</f>
        <v>agricolo</v>
      </c>
      <c r="G2211" s="2" t="str">
        <f ca="1">IFERROR(__xludf.DUMMYFUNCTION("GOOGLETRANSLATE(B2211,""en"",""de"")"),"landwirtschaftlich")</f>
        <v>landwirtschaftlich</v>
      </c>
      <c r="H2211" s="2" t="str">
        <f ca="1">IFERROR(__xludf.DUMMYFUNCTION("GOOGLETRANSLATE(B2211,""en"",""zh"")"),"农业")</f>
        <v>农业</v>
      </c>
      <c r="I2211" s="2" t="str">
        <f ca="1">IFERROR(__xludf.DUMMYFUNCTION("GOOGLETRANSLATE(B2211,""en"",""gd"")"),"àiteachas")</f>
        <v>àiteachas</v>
      </c>
    </row>
    <row r="2212" spans="1:9" ht="14.25" customHeight="1" x14ac:dyDescent="0.3">
      <c r="A2212" s="2">
        <v>2211</v>
      </c>
      <c r="B2212" s="3" t="s">
        <v>2219</v>
      </c>
      <c r="C2212" s="2" t="str">
        <f ca="1">IFERROR(__xludf.DUMMYFUNCTION("GOOGLETRANSLATE(B2212, ""en"",""es"")"),"competidor")</f>
        <v>competidor</v>
      </c>
      <c r="D2212" s="2" t="str">
        <f ca="1">IFERROR(__xludf.DUMMYFUNCTION("GOOGLETRANSLATE(B2212,""en"",""ig"")"),"onye osompi")</f>
        <v>onye osompi</v>
      </c>
      <c r="E2212" s="2" t="str">
        <f ca="1">IFERROR(__xludf.DUMMYFUNCTION("GOOGLETRANSLATE(B2212,""en"",""fr"")"),"concurrent")</f>
        <v>concurrent</v>
      </c>
      <c r="F2212" s="2" t="str">
        <f ca="1">IFERROR(__xludf.DUMMYFUNCTION("GOOGLETRANSLATE(B2212,""en"",""it"")"),"concorrente")</f>
        <v>concorrente</v>
      </c>
      <c r="G2212" s="2" t="str">
        <f ca="1">IFERROR(__xludf.DUMMYFUNCTION("GOOGLETRANSLATE(B2212,""en"",""de"")"),"Wettbewerber")</f>
        <v>Wettbewerber</v>
      </c>
      <c r="H2212" s="2" t="str">
        <f ca="1">IFERROR(__xludf.DUMMYFUNCTION("GOOGLETRANSLATE(B2212,""en"",""zh"")"),"竞争者")</f>
        <v>竞争者</v>
      </c>
      <c r="I2212" s="2" t="str">
        <f ca="1">IFERROR(__xludf.DUMMYFUNCTION("GOOGLETRANSLATE(B2212,""en"",""gd"")"),"farpaiseach")</f>
        <v>farpaiseach</v>
      </c>
    </row>
    <row r="2213" spans="1:9" ht="14.25" customHeight="1" x14ac:dyDescent="0.3">
      <c r="A2213" s="2">
        <v>2212</v>
      </c>
      <c r="B2213" s="3" t="s">
        <v>2220</v>
      </c>
      <c r="C2213" s="2" t="str">
        <f ca="1">IFERROR(__xludf.DUMMYFUNCTION("GOOGLETRANSLATE(B2213, ""en"",""es"")"),"alcohol")</f>
        <v>alcohol</v>
      </c>
      <c r="D2213" s="2" t="str">
        <f ca="1">IFERROR(__xludf.DUMMYFUNCTION("GOOGLETRANSLATE(B2213,""en"",""ig"")"),"mmanya na-eme n'anya")</f>
        <v>mmanya na-eme n'anya</v>
      </c>
      <c r="E2213" s="2" t="str">
        <f ca="1">IFERROR(__xludf.DUMMYFUNCTION("GOOGLETRANSLATE(B2213,""en"",""fr"")"),"alcool")</f>
        <v>alcool</v>
      </c>
      <c r="F2213" s="2" t="str">
        <f ca="1">IFERROR(__xludf.DUMMYFUNCTION("GOOGLETRANSLATE(B2213,""en"",""it"")"),"alcol")</f>
        <v>alcol</v>
      </c>
      <c r="G2213" s="2" t="str">
        <f ca="1">IFERROR(__xludf.DUMMYFUNCTION("GOOGLETRANSLATE(B2213,""en"",""de"")"),"Alkohol")</f>
        <v>Alkohol</v>
      </c>
      <c r="H2213" s="2" t="str">
        <f ca="1">IFERROR(__xludf.DUMMYFUNCTION("GOOGLETRANSLATE(B2213,""en"",""zh"")"),"酒精")</f>
        <v>酒精</v>
      </c>
      <c r="I2213" s="2" t="str">
        <f ca="1">IFERROR(__xludf.DUMMYFUNCTION("GOOGLETRANSLATE(B2213,""en"",""gd"")"),"deoch làidir")</f>
        <v>deoch làidir</v>
      </c>
    </row>
    <row r="2214" spans="1:9" ht="14.25" customHeight="1" x14ac:dyDescent="0.3">
      <c r="A2214" s="2">
        <v>2213</v>
      </c>
      <c r="B2214" s="3" t="s">
        <v>2221</v>
      </c>
      <c r="C2214" s="2" t="str">
        <f ca="1">IFERROR(__xludf.DUMMYFUNCTION("GOOGLETRANSLATE(B2214, ""en"",""es"")"),"festival")</f>
        <v>festival</v>
      </c>
      <c r="D2214" s="2" t="str">
        <f ca="1">IFERROR(__xludf.DUMMYFUNCTION("GOOGLETRANSLATE(B2214,""en"",""ig"")"),"mmeme")</f>
        <v>mmeme</v>
      </c>
      <c r="E2214" s="2" t="str">
        <f ca="1">IFERROR(__xludf.DUMMYFUNCTION("GOOGLETRANSLATE(B2214,""en"",""fr"")"),"festival")</f>
        <v>festival</v>
      </c>
      <c r="F2214" s="2" t="str">
        <f ca="1">IFERROR(__xludf.DUMMYFUNCTION("GOOGLETRANSLATE(B2214,""en"",""it"")"),"Festival")</f>
        <v>Festival</v>
      </c>
      <c r="G2214" s="2" t="str">
        <f ca="1">IFERROR(__xludf.DUMMYFUNCTION("GOOGLETRANSLATE(B2214,""en"",""de"")"),"Festival")</f>
        <v>Festival</v>
      </c>
      <c r="H2214" s="2" t="str">
        <f ca="1">IFERROR(__xludf.DUMMYFUNCTION("GOOGLETRANSLATE(B2214,""en"",""zh"")"),"节日")</f>
        <v>节日</v>
      </c>
      <c r="I2214" s="2" t="str">
        <f ca="1">IFERROR(__xludf.DUMMYFUNCTION("GOOGLETRANSLATE(B2214,""en"",""gd"")"),"Fèis")</f>
        <v>Fèis</v>
      </c>
    </row>
    <row r="2215" spans="1:9" ht="14.25" customHeight="1" x14ac:dyDescent="0.3">
      <c r="A2215" s="2">
        <v>2214</v>
      </c>
      <c r="B2215" s="3" t="s">
        <v>2222</v>
      </c>
      <c r="C2215" s="2" t="str">
        <f ca="1">IFERROR(__xludf.DUMMYFUNCTION("GOOGLETRANSLATE(B2215, ""en"",""es"")"),"verdura")</f>
        <v>verdura</v>
      </c>
      <c r="D2215" s="2" t="str">
        <f ca="1">IFERROR(__xludf.DUMMYFUNCTION("GOOGLETRANSLATE(B2215,""en"",""ig"")"),"akwukwo nri")</f>
        <v>akwukwo nri</v>
      </c>
      <c r="E2215" s="2" t="str">
        <f ca="1">IFERROR(__xludf.DUMMYFUNCTION("GOOGLETRANSLATE(B2215,""en"",""fr"")"),"légume")</f>
        <v>légume</v>
      </c>
      <c r="F2215" s="2" t="str">
        <f ca="1">IFERROR(__xludf.DUMMYFUNCTION("GOOGLETRANSLATE(B2215,""en"",""it"")"),"verdura")</f>
        <v>verdura</v>
      </c>
      <c r="G2215" s="2" t="str">
        <f ca="1">IFERROR(__xludf.DUMMYFUNCTION("GOOGLETRANSLATE(B2215,""en"",""de"")"),"Gemüse")</f>
        <v>Gemüse</v>
      </c>
      <c r="H2215" s="2" t="str">
        <f ca="1">IFERROR(__xludf.DUMMYFUNCTION("GOOGLETRANSLATE(B2215,""en"",""zh"")"),"蔬菜")</f>
        <v>蔬菜</v>
      </c>
      <c r="I2215" s="2" t="str">
        <f ca="1">IFERROR(__xludf.DUMMYFUNCTION("GOOGLETRANSLATE(B2215,""en"",""gd"")"),"glasraich")</f>
        <v>glasraich</v>
      </c>
    </row>
    <row r="2216" spans="1:9" ht="14.25" customHeight="1" x14ac:dyDescent="0.3">
      <c r="A2216" s="2">
        <v>2215</v>
      </c>
      <c r="B2216" s="3" t="s">
        <v>2223</v>
      </c>
      <c r="C2216" s="2" t="str">
        <f ca="1">IFERROR(__xludf.DUMMYFUNCTION("GOOGLETRANSLATE(B2216, ""en"",""es"")"),"camioneta")</f>
        <v>camioneta</v>
      </c>
      <c r="D2216" s="2" t="str">
        <f ca="1">IFERROR(__xludf.DUMMYFUNCTION("GOOGLETRANSLATE(B2216,""en"",""ig"")"),"van")</f>
        <v>van</v>
      </c>
      <c r="E2216" s="2" t="str">
        <f ca="1">IFERROR(__xludf.DUMMYFUNCTION("GOOGLETRANSLATE(B2216,""en"",""fr"")"),"van")</f>
        <v>van</v>
      </c>
      <c r="F2216" s="2" t="str">
        <f ca="1">IFERROR(__xludf.DUMMYFUNCTION("GOOGLETRANSLATE(B2216,""en"",""it"")"),"furgone")</f>
        <v>furgone</v>
      </c>
      <c r="G2216" s="2" t="str">
        <f ca="1">IFERROR(__xludf.DUMMYFUNCTION("GOOGLETRANSLATE(B2216,""en"",""de"")"),"Van")</f>
        <v>Van</v>
      </c>
      <c r="H2216" s="2" t="str">
        <f ca="1">IFERROR(__xludf.DUMMYFUNCTION("GOOGLETRANSLATE(B2216,""en"",""zh"")"),"面包车")</f>
        <v>面包车</v>
      </c>
      <c r="I2216" s="2" t="str">
        <f ca="1">IFERROR(__xludf.DUMMYFUNCTION("GOOGLETRANSLATE(B2216,""en"",""gd"")"),"van")</f>
        <v>van</v>
      </c>
    </row>
    <row r="2217" spans="1:9" ht="14.25" customHeight="1" x14ac:dyDescent="0.3">
      <c r="A2217" s="2">
        <v>2216</v>
      </c>
      <c r="B2217" s="3" t="s">
        <v>2224</v>
      </c>
      <c r="C2217" s="2" t="str">
        <f ca="1">IFERROR(__xludf.DUMMYFUNCTION("GOOGLETRANSLATE(B2217, ""en"",""es"")"),"seguro")</f>
        <v>seguro</v>
      </c>
      <c r="D2217" s="2" t="str">
        <f ca="1">IFERROR(__xludf.DUMMYFUNCTION("GOOGLETRANSLATE(B2217,""en"",""ig"")"),"keokwukwe")</f>
        <v>keokwukwe</v>
      </c>
      <c r="E2217" s="2" t="str">
        <f ca="1">IFERROR(__xludf.DUMMYFUNCTION("GOOGLETRANSLATE(B2217,""en"",""fr"")"),"confiant")</f>
        <v>confiant</v>
      </c>
      <c r="F2217" s="2" t="str">
        <f ca="1">IFERROR(__xludf.DUMMYFUNCTION("GOOGLETRANSLATE(B2217,""en"",""it"")"),"fiducioso")</f>
        <v>fiducioso</v>
      </c>
      <c r="G2217" s="2" t="str">
        <f ca="1">IFERROR(__xludf.DUMMYFUNCTION("GOOGLETRANSLATE(B2217,""en"",""de"")"),"zuversichtlich")</f>
        <v>zuversichtlich</v>
      </c>
      <c r="H2217" s="2" t="str">
        <f ca="1">IFERROR(__xludf.DUMMYFUNCTION("GOOGLETRANSLATE(B2217,""en"",""zh"")"),"自信的")</f>
        <v>自信的</v>
      </c>
      <c r="I2217" s="2" t="str">
        <f ca="1">IFERROR(__xludf.DUMMYFUNCTION("GOOGLETRANSLATE(B2217,""en"",""gd"")"),"misneachail")</f>
        <v>misneachail</v>
      </c>
    </row>
    <row r="2218" spans="1:9" ht="14.25" customHeight="1" x14ac:dyDescent="0.3">
      <c r="A2218" s="2">
        <v>2217</v>
      </c>
      <c r="B2218" s="3" t="s">
        <v>2225</v>
      </c>
      <c r="C2218" s="2" t="str">
        <f ca="1">IFERROR(__xludf.DUMMYFUNCTION("GOOGLETRANSLATE(B2218, ""en"",""es"")"),"planeta")</f>
        <v>planeta</v>
      </c>
      <c r="D2218" s="2" t="str">
        <f ca="1">IFERROR(__xludf.DUMMYFUNCTION("GOOGLETRANSLATE(B2218,""en"",""ig"")"),"planet")</f>
        <v>planet</v>
      </c>
      <c r="E2218" s="2" t="str">
        <f ca="1">IFERROR(__xludf.DUMMYFUNCTION("GOOGLETRANSLATE(B2218,""en"",""fr"")"),"planète")</f>
        <v>planète</v>
      </c>
      <c r="F2218" s="2" t="str">
        <f ca="1">IFERROR(__xludf.DUMMYFUNCTION("GOOGLETRANSLATE(B2218,""en"",""it"")"),"pianeta")</f>
        <v>pianeta</v>
      </c>
      <c r="G2218" s="2" t="str">
        <f ca="1">IFERROR(__xludf.DUMMYFUNCTION("GOOGLETRANSLATE(B2218,""en"",""de"")"),"Planet")</f>
        <v>Planet</v>
      </c>
      <c r="H2218" s="2" t="str">
        <f ca="1">IFERROR(__xludf.DUMMYFUNCTION("GOOGLETRANSLATE(B2218,""en"",""zh"")"),"行星")</f>
        <v>行星</v>
      </c>
      <c r="I2218" s="2" t="str">
        <f ca="1">IFERROR(__xludf.DUMMYFUNCTION("GOOGLETRANSLATE(B2218,""en"",""gd"")"),"Planet")</f>
        <v>Planet</v>
      </c>
    </row>
    <row r="2219" spans="1:9" ht="14.25" customHeight="1" x14ac:dyDescent="0.3">
      <c r="A2219" s="2">
        <v>2218</v>
      </c>
      <c r="B2219" s="3" t="s">
        <v>2226</v>
      </c>
      <c r="C2219" s="2" t="str">
        <f ca="1">IFERROR(__xludf.DUMMYFUNCTION("GOOGLETRANSLATE(B2219, ""en"",""es"")"),"curva")</f>
        <v>curva</v>
      </c>
      <c r="D2219" s="2" t="str">
        <f ca="1">IFERROR(__xludf.DUMMYFUNCTION("GOOGLETRANSLATE(B2219,""en"",""ig"")"),"oruro")</f>
        <v>oruro</v>
      </c>
      <c r="E2219" s="2" t="str">
        <f ca="1">IFERROR(__xludf.DUMMYFUNCTION("GOOGLETRANSLATE(B2219,""en"",""fr"")"),"courbe")</f>
        <v>courbe</v>
      </c>
      <c r="F2219" s="2" t="str">
        <f ca="1">IFERROR(__xludf.DUMMYFUNCTION("GOOGLETRANSLATE(B2219,""en"",""it"")"),"curva")</f>
        <v>curva</v>
      </c>
      <c r="G2219" s="2" t="str">
        <f ca="1">IFERROR(__xludf.DUMMYFUNCTION("GOOGLETRANSLATE(B2219,""en"",""de"")"),"Kurve")</f>
        <v>Kurve</v>
      </c>
      <c r="H2219" s="2" t="str">
        <f ca="1">IFERROR(__xludf.DUMMYFUNCTION("GOOGLETRANSLATE(B2219,""en"",""zh"")"),"曲线")</f>
        <v>曲线</v>
      </c>
      <c r="I2219" s="2" t="str">
        <f ca="1">IFERROR(__xludf.DUMMYFUNCTION("GOOGLETRANSLATE(B2219,""en"",""gd"")"),"lùb")</f>
        <v>lùb</v>
      </c>
    </row>
    <row r="2220" spans="1:9" ht="14.25" customHeight="1" x14ac:dyDescent="0.3">
      <c r="A2220" s="2">
        <v>2219</v>
      </c>
      <c r="B2220" s="3" t="s">
        <v>2227</v>
      </c>
      <c r="C2220" s="2" t="str">
        <f ca="1">IFERROR(__xludf.DUMMYFUNCTION("GOOGLETRANSLATE(B2220, ""en"",""es"")"),"rodilla")</f>
        <v>rodilla</v>
      </c>
      <c r="D2220" s="2" t="str">
        <f ca="1">IFERROR(__xludf.DUMMYFUNCTION("GOOGLETRANSLATE(B2220,""en"",""ig"")"),"ikpere")</f>
        <v>ikpere</v>
      </c>
      <c r="E2220" s="2" t="str">
        <f ca="1">IFERROR(__xludf.DUMMYFUNCTION("GOOGLETRANSLATE(B2220,""en"",""fr"")"),"genou")</f>
        <v>genou</v>
      </c>
      <c r="F2220" s="2" t="str">
        <f ca="1">IFERROR(__xludf.DUMMYFUNCTION("GOOGLETRANSLATE(B2220,""en"",""it"")"),"ginocchio")</f>
        <v>ginocchio</v>
      </c>
      <c r="G2220" s="2" t="str">
        <f ca="1">IFERROR(__xludf.DUMMYFUNCTION("GOOGLETRANSLATE(B2220,""en"",""de"")"),"Knie")</f>
        <v>Knie</v>
      </c>
      <c r="H2220" s="2" t="str">
        <f ca="1">IFERROR(__xludf.DUMMYFUNCTION("GOOGLETRANSLATE(B2220,""en"",""zh"")"),"膝盖")</f>
        <v>膝盖</v>
      </c>
      <c r="I2220" s="2" t="str">
        <f ca="1">IFERROR(__xludf.DUMMYFUNCTION("GOOGLETRANSLATE(B2220,""en"",""gd"")"),"Knee")</f>
        <v>Knee</v>
      </c>
    </row>
    <row r="2221" spans="1:9" ht="14.25" customHeight="1" x14ac:dyDescent="0.3">
      <c r="A2221" s="2">
        <v>2220</v>
      </c>
      <c r="B2221" s="3" t="s">
        <v>2228</v>
      </c>
      <c r="C2221" s="2" t="str">
        <f ca="1">IFERROR(__xludf.DUMMYFUNCTION("GOOGLETRANSLATE(B2221, ""en"",""es"")"),"superar")</f>
        <v>superar</v>
      </c>
      <c r="D2221" s="2" t="str">
        <f ca="1">IFERROR(__xludf.DUMMYFUNCTION("GOOGLETRANSLATE(B2221,""en"",""ig"")"),"merie")</f>
        <v>merie</v>
      </c>
      <c r="E2221" s="2" t="str">
        <f ca="1">IFERROR(__xludf.DUMMYFUNCTION("GOOGLETRANSLATE(B2221,""en"",""fr"")"),"surmonter")</f>
        <v>surmonter</v>
      </c>
      <c r="F2221" s="2" t="str">
        <f ca="1">IFERROR(__xludf.DUMMYFUNCTION("GOOGLETRANSLATE(B2221,""en"",""it"")"),"superare")</f>
        <v>superare</v>
      </c>
      <c r="G2221" s="2" t="str">
        <f ca="1">IFERROR(__xludf.DUMMYFUNCTION("GOOGLETRANSLATE(B2221,""en"",""de"")"),"überwinden")</f>
        <v>überwinden</v>
      </c>
      <c r="H2221" s="2" t="str">
        <f ca="1">IFERROR(__xludf.DUMMYFUNCTION("GOOGLETRANSLATE(B2221,""en"",""zh"")"),"克服")</f>
        <v>克服</v>
      </c>
      <c r="I2221" s="2" t="str">
        <f ca="1">IFERROR(__xludf.DUMMYFUNCTION("GOOGLETRANSLATE(B2221,""en"",""gd"")"),"faighinn thairis air")</f>
        <v>faighinn thairis air</v>
      </c>
    </row>
    <row r="2222" spans="1:9" ht="14.25" customHeight="1" x14ac:dyDescent="0.3">
      <c r="A2222" s="2">
        <v>2221</v>
      </c>
      <c r="B2222" s="3" t="s">
        <v>2229</v>
      </c>
      <c r="C2222" s="2" t="str">
        <f ca="1">IFERROR(__xludf.DUMMYFUNCTION("GOOGLETRANSLATE(B2222, ""en"",""es"")"),"web")</f>
        <v>web</v>
      </c>
      <c r="D2222" s="2" t="str">
        <f ca="1">IFERROR(__xludf.DUMMYFUNCTION("GOOGLETRANSLATE(B2222,""en"",""ig"")"),"eriri ngugurude")</f>
        <v>eriri ngugurude</v>
      </c>
      <c r="E2222" s="2" t="str">
        <f ca="1">IFERROR(__xludf.DUMMYFUNCTION("GOOGLETRANSLATE(B2222,""en"",""fr"")"),"la toile")</f>
        <v>la toile</v>
      </c>
      <c r="F2222" s="2" t="str">
        <f ca="1">IFERROR(__xludf.DUMMYFUNCTION("GOOGLETRANSLATE(B2222,""en"",""it"")"),"ragnatela")</f>
        <v>ragnatela</v>
      </c>
      <c r="G2222" s="2" t="str">
        <f ca="1">IFERROR(__xludf.DUMMYFUNCTION("GOOGLETRANSLATE(B2222,""en"",""de"")"),"Netz")</f>
        <v>Netz</v>
      </c>
      <c r="H2222" s="2" t="str">
        <f ca="1">IFERROR(__xludf.DUMMYFUNCTION("GOOGLETRANSLATE(B2222,""en"",""zh"")"),"网络")</f>
        <v>网络</v>
      </c>
      <c r="I2222" s="2" t="str">
        <f ca="1">IFERROR(__xludf.DUMMYFUNCTION("GOOGLETRANSLATE(B2222,""en"",""gd"")"),"lìon")</f>
        <v>lìon</v>
      </c>
    </row>
    <row r="2223" spans="1:9" ht="14.25" customHeight="1" x14ac:dyDescent="0.3">
      <c r="A2223" s="2">
        <v>2222</v>
      </c>
      <c r="B2223" s="3" t="s">
        <v>2230</v>
      </c>
      <c r="C2223" s="2" t="str">
        <f ca="1">IFERROR(__xludf.DUMMYFUNCTION("GOOGLETRANSLATE(B2223, ""en"",""es"")"),"profundidad")</f>
        <v>profundidad</v>
      </c>
      <c r="D2223" s="2" t="str">
        <f ca="1">IFERROR(__xludf.DUMMYFUNCTION("GOOGLETRANSLATE(B2223,""en"",""ig"")"),"emiriemi")</f>
        <v>emiriemi</v>
      </c>
      <c r="E2223" s="2" t="str">
        <f ca="1">IFERROR(__xludf.DUMMYFUNCTION("GOOGLETRANSLATE(B2223,""en"",""fr"")"),"profondeur")</f>
        <v>profondeur</v>
      </c>
      <c r="F2223" s="2" t="str">
        <f ca="1">IFERROR(__xludf.DUMMYFUNCTION("GOOGLETRANSLATE(B2223,""en"",""it"")"),"profondità")</f>
        <v>profondità</v>
      </c>
      <c r="G2223" s="2" t="str">
        <f ca="1">IFERROR(__xludf.DUMMYFUNCTION("GOOGLETRANSLATE(B2223,""en"",""de"")"),"Tiefe")</f>
        <v>Tiefe</v>
      </c>
      <c r="H2223" s="2" t="str">
        <f ca="1">IFERROR(__xludf.DUMMYFUNCTION("GOOGLETRANSLATE(B2223,""en"",""zh"")"),"深度")</f>
        <v>深度</v>
      </c>
      <c r="I2223" s="2" t="str">
        <f ca="1">IFERROR(__xludf.DUMMYFUNCTION("GOOGLETRANSLATE(B2223,""en"",""gd"")"),"doimhneachd")</f>
        <v>doimhneachd</v>
      </c>
    </row>
    <row r="2224" spans="1:9" ht="14.25" customHeight="1" x14ac:dyDescent="0.3">
      <c r="A2224" s="2">
        <v>2223</v>
      </c>
      <c r="B2224" s="3" t="s">
        <v>2231</v>
      </c>
      <c r="C2224" s="2" t="str">
        <f ca="1">IFERROR(__xludf.DUMMYFUNCTION("GOOGLETRANSLATE(B2224, ""en"",""es"")"),"entrada")</f>
        <v>entrada</v>
      </c>
      <c r="D2224" s="2" t="str">
        <f ca="1">IFERROR(__xludf.DUMMYFUNCTION("GOOGLETRANSLATE(B2224,""en"",""ig"")"),"Ụzọ mbata")</f>
        <v>Ụzọ mbata</v>
      </c>
      <c r="E2224" s="2" t="str">
        <f ca="1">IFERROR(__xludf.DUMMYFUNCTION("GOOGLETRANSLATE(B2224,""en"",""fr"")"),"entrée")</f>
        <v>entrée</v>
      </c>
      <c r="F2224" s="2" t="str">
        <f ca="1">IFERROR(__xludf.DUMMYFUNCTION("GOOGLETRANSLATE(B2224,""en"",""it"")"),"Entrata")</f>
        <v>Entrata</v>
      </c>
      <c r="G2224" s="2" t="str">
        <f ca="1">IFERROR(__xludf.DUMMYFUNCTION("GOOGLETRANSLATE(B2224,""en"",""de"")"),"Eingang")</f>
        <v>Eingang</v>
      </c>
      <c r="H2224" s="2" t="str">
        <f ca="1">IFERROR(__xludf.DUMMYFUNCTION("GOOGLETRANSLATE(B2224,""en"",""zh"")"),"入口")</f>
        <v>入口</v>
      </c>
      <c r="I2224" s="2" t="str">
        <f ca="1">IFERROR(__xludf.DUMMYFUNCTION("GOOGLETRANSLATE(B2224,""en"",""gd"")"),"Slighe a-steach")</f>
        <v>Slighe a-steach</v>
      </c>
    </row>
    <row r="2225" spans="1:9" ht="14.25" customHeight="1" x14ac:dyDescent="0.3">
      <c r="A2225" s="2">
        <v>2224</v>
      </c>
      <c r="B2225" s="3" t="s">
        <v>2232</v>
      </c>
      <c r="C2225" s="2" t="str">
        <f ca="1">IFERROR(__xludf.DUMMYFUNCTION("GOOGLETRANSLATE(B2225, ""en"",""es"")"),"registro")</f>
        <v>registro</v>
      </c>
      <c r="D2225" s="2" t="str">
        <f ca="1">IFERROR(__xludf.DUMMYFUNCTION("GOOGLETRANSLATE(B2225,""en"",""ig"")"),"loogu")</f>
        <v>loogu</v>
      </c>
      <c r="E2225" s="2" t="str">
        <f ca="1">IFERROR(__xludf.DUMMYFUNCTION("GOOGLETRANSLATE(B2225,""en"",""fr"")"),"enregistrer")</f>
        <v>enregistrer</v>
      </c>
      <c r="F2225" s="2" t="str">
        <f ca="1">IFERROR(__xludf.DUMMYFUNCTION("GOOGLETRANSLATE(B2225,""en"",""it"")"),"tronco d'albero")</f>
        <v>tronco d'albero</v>
      </c>
      <c r="G2225" s="2" t="str">
        <f ca="1">IFERROR(__xludf.DUMMYFUNCTION("GOOGLETRANSLATE(B2225,""en"",""de"")"),"Protokoll")</f>
        <v>Protokoll</v>
      </c>
      <c r="H2225" s="2" t="str">
        <f ca="1">IFERROR(__xludf.DUMMYFUNCTION("GOOGLETRANSLATE(B2225,""en"",""zh"")"),"日志")</f>
        <v>日志</v>
      </c>
      <c r="I2225" s="2" t="str">
        <f ca="1">IFERROR(__xludf.DUMMYFUNCTION("GOOGLETRANSLATE(B2225,""en"",""gd"")"),"log")</f>
        <v>log</v>
      </c>
    </row>
    <row r="2226" spans="1:9" ht="14.25" customHeight="1" x14ac:dyDescent="0.3">
      <c r="A2226" s="2">
        <v>2225</v>
      </c>
      <c r="B2226" s="3" t="s">
        <v>2233</v>
      </c>
      <c r="C2226" s="2" t="str">
        <f ca="1">IFERROR(__xludf.DUMMYFUNCTION("GOOGLETRANSLATE(B2226, ""en"",""es"")"),"gigante")</f>
        <v>gigante</v>
      </c>
      <c r="D2226" s="2" t="str">
        <f ca="1">IFERROR(__xludf.DUMMYFUNCTION("GOOGLETRANSLATE(B2226,""en"",""ig"")"),"ibu")</f>
        <v>ibu</v>
      </c>
      <c r="E2226" s="2" t="str">
        <f ca="1">IFERROR(__xludf.DUMMYFUNCTION("GOOGLETRANSLATE(B2226,""en"",""fr"")"),"géant")</f>
        <v>géant</v>
      </c>
      <c r="F2226" s="2" t="str">
        <f ca="1">IFERROR(__xludf.DUMMYFUNCTION("GOOGLETRANSLATE(B2226,""en"",""it"")"),"gigante")</f>
        <v>gigante</v>
      </c>
      <c r="G2226" s="2" t="str">
        <f ca="1">IFERROR(__xludf.DUMMYFUNCTION("GOOGLETRANSLATE(B2226,""en"",""de"")"),"Riese")</f>
        <v>Riese</v>
      </c>
      <c r="H2226" s="2" t="str">
        <f ca="1">IFERROR(__xludf.DUMMYFUNCTION("GOOGLETRANSLATE(B2226,""en"",""zh"")"),"巨大的")</f>
        <v>巨大的</v>
      </c>
      <c r="I2226" s="2" t="str">
        <f ca="1">IFERROR(__xludf.DUMMYFUNCTION("GOOGLETRANSLATE(B2226,""en"",""gd"")"),"Gamhaire")</f>
        <v>Gamhaire</v>
      </c>
    </row>
    <row r="2227" spans="1:9" ht="14.25" customHeight="1" x14ac:dyDescent="0.3">
      <c r="A2227" s="2">
        <v>2226</v>
      </c>
      <c r="B2227" s="3" t="s">
        <v>2234</v>
      </c>
      <c r="C2227" s="2" t="str">
        <f ca="1">IFERROR(__xludf.DUMMYFUNCTION("GOOGLETRANSLATE(B2227, ""en"",""es"")"),"dios")</f>
        <v>dios</v>
      </c>
      <c r="D2227" s="2" t="str">
        <f ca="1">IFERROR(__xludf.DUMMYFUNCTION("GOOGLETRANSLATE(B2227,""en"",""ig"")"),"chukwu")</f>
        <v>chukwu</v>
      </c>
      <c r="E2227" s="2" t="str">
        <f ca="1">IFERROR(__xludf.DUMMYFUNCTION("GOOGLETRANSLATE(B2227,""en"",""fr"")"),"Dieu")</f>
        <v>Dieu</v>
      </c>
      <c r="F2227" s="2" t="str">
        <f ca="1">IFERROR(__xludf.DUMMYFUNCTION("GOOGLETRANSLATE(B2227,""en"",""it"")"),"Dio")</f>
        <v>Dio</v>
      </c>
      <c r="G2227" s="2" t="str">
        <f ca="1">IFERROR(__xludf.DUMMYFUNCTION("GOOGLETRANSLATE(B2227,""en"",""de"")"),"Gott")</f>
        <v>Gott</v>
      </c>
      <c r="H2227" s="2" t="str">
        <f ca="1">IFERROR(__xludf.DUMMYFUNCTION("GOOGLETRANSLATE(B2227,""en"",""zh"")"),"上帝")</f>
        <v>上帝</v>
      </c>
      <c r="I2227" s="2" t="str">
        <f ca="1">IFERROR(__xludf.DUMMYFUNCTION("GOOGLETRANSLATE(B2227,""en"",""gd"")"),"Dia")</f>
        <v>Dia</v>
      </c>
    </row>
    <row r="2228" spans="1:9" ht="14.25" customHeight="1" x14ac:dyDescent="0.3">
      <c r="A2228" s="2">
        <v>2227</v>
      </c>
      <c r="B2228" s="3" t="s">
        <v>2235</v>
      </c>
      <c r="C2228" s="2" t="str">
        <f ca="1">IFERROR(__xludf.DUMMYFUNCTION("GOOGLETRANSLATE(B2228, ""en"",""es"")"),"parte")</f>
        <v>parte</v>
      </c>
      <c r="D2228" s="2" t="str">
        <f ca="1">IFERROR(__xludf.DUMMYFUNCTION("GOOGLETRANSLATE(B2228,""en"",""ig"")"),"ibe")</f>
        <v>ibe</v>
      </c>
      <c r="E2228" s="2" t="str">
        <f ca="1">IFERROR(__xludf.DUMMYFUNCTION("GOOGLETRANSLATE(B2228,""en"",""fr"")"),"portion")</f>
        <v>portion</v>
      </c>
      <c r="F2228" s="2" t="str">
        <f ca="1">IFERROR(__xludf.DUMMYFUNCTION("GOOGLETRANSLATE(B2228,""en"",""it"")"),"porzione")</f>
        <v>porzione</v>
      </c>
      <c r="G2228" s="2" t="str">
        <f ca="1">IFERROR(__xludf.DUMMYFUNCTION("GOOGLETRANSLATE(B2228,""en"",""de"")"),"Portion")</f>
        <v>Portion</v>
      </c>
      <c r="H2228" s="2" t="str">
        <f ca="1">IFERROR(__xludf.DUMMYFUNCTION("GOOGLETRANSLATE(B2228,""en"",""zh"")"),"部分")</f>
        <v>部分</v>
      </c>
      <c r="I2228" s="2" t="str">
        <f ca="1">IFERROR(__xludf.DUMMYFUNCTION("GOOGLETRANSLATE(B2228,""en"",""gd"")"),"cuibhreann")</f>
        <v>cuibhreann</v>
      </c>
    </row>
    <row r="2229" spans="1:9" ht="14.25" customHeight="1" x14ac:dyDescent="0.3">
      <c r="A2229" s="2">
        <v>2228</v>
      </c>
      <c r="B2229" s="3" t="s">
        <v>2236</v>
      </c>
      <c r="C2229" s="2" t="str">
        <f ca="1">IFERROR(__xludf.DUMMYFUNCTION("GOOGLETRANSLATE(B2229, ""en"",""es"")"),"sustancia")</f>
        <v>sustancia</v>
      </c>
      <c r="D2229" s="2" t="str">
        <f ca="1">IFERROR(__xludf.DUMMYFUNCTION("GOOGLETRANSLATE(B2229,""en"",""ig"")"),"umi")</f>
        <v>umi</v>
      </c>
      <c r="E2229" s="2" t="str">
        <f ca="1">IFERROR(__xludf.DUMMYFUNCTION("GOOGLETRANSLATE(B2229,""en"",""fr"")"),"substance")</f>
        <v>substance</v>
      </c>
      <c r="F2229" s="2" t="str">
        <f ca="1">IFERROR(__xludf.DUMMYFUNCTION("GOOGLETRANSLATE(B2229,""en"",""it"")"),"sostanza")</f>
        <v>sostanza</v>
      </c>
      <c r="G2229" s="2" t="str">
        <f ca="1">IFERROR(__xludf.DUMMYFUNCTION("GOOGLETRANSLATE(B2229,""en"",""de"")"),"Substanz")</f>
        <v>Substanz</v>
      </c>
      <c r="H2229" s="2" t="str">
        <f ca="1">IFERROR(__xludf.DUMMYFUNCTION("GOOGLETRANSLATE(B2229,""en"",""zh"")"),"物质")</f>
        <v>物质</v>
      </c>
      <c r="I2229" s="2" t="str">
        <f ca="1">IFERROR(__xludf.DUMMYFUNCTION("GOOGLETRANSLATE(B2229,""en"",""gd"")"),"stuth")</f>
        <v>stuth</v>
      </c>
    </row>
    <row r="2230" spans="1:9" ht="14.25" customHeight="1" x14ac:dyDescent="0.3">
      <c r="A2230" s="2">
        <v>2229</v>
      </c>
      <c r="B2230" s="3" t="s">
        <v>2237</v>
      </c>
      <c r="C2230" s="2" t="str">
        <f ca="1">IFERROR(__xludf.DUMMYFUNCTION("GOOGLETRANSLATE(B2230, ""en"",""es"")"),"extenso")</f>
        <v>extenso</v>
      </c>
      <c r="D2230" s="2" t="str">
        <f ca="1">IFERROR(__xludf.DUMMYFUNCTION("GOOGLETRANSLATE(B2230,""en"",""ig"")"),"kennukwu")</f>
        <v>kennukwu</v>
      </c>
      <c r="E2230" s="2" t="str">
        <f ca="1">IFERROR(__xludf.DUMMYFUNCTION("GOOGLETRANSLATE(B2230,""en"",""fr"")"),"extensif")</f>
        <v>extensif</v>
      </c>
      <c r="F2230" s="2" t="str">
        <f ca="1">IFERROR(__xludf.DUMMYFUNCTION("GOOGLETRANSLATE(B2230,""en"",""it"")"),"esteso")</f>
        <v>esteso</v>
      </c>
      <c r="G2230" s="2" t="str">
        <f ca="1">IFERROR(__xludf.DUMMYFUNCTION("GOOGLETRANSLATE(B2230,""en"",""de"")"),"umfangreich")</f>
        <v>umfangreich</v>
      </c>
      <c r="H2230" s="2" t="str">
        <f ca="1">IFERROR(__xludf.DUMMYFUNCTION("GOOGLETRANSLATE(B2230,""en"",""zh"")"),"广泛的")</f>
        <v>广泛的</v>
      </c>
      <c r="I2230" s="2" t="str">
        <f ca="1">IFERROR(__xludf.DUMMYFUNCTION("GOOGLETRANSLATE(B2230,""en"",""gd"")"),"farsaing")</f>
        <v>farsaing</v>
      </c>
    </row>
    <row r="2231" spans="1:9" ht="14.25" customHeight="1" x14ac:dyDescent="0.3">
      <c r="A2231" s="2">
        <v>2230</v>
      </c>
      <c r="B2231" s="3" t="s">
        <v>2238</v>
      </c>
      <c r="C2231" s="2" t="str">
        <f ca="1">IFERROR(__xludf.DUMMYFUNCTION("GOOGLETRANSLATE(B2231, ""en"",""es"")"),"interpretar")</f>
        <v>interpretar</v>
      </c>
      <c r="D2231" s="2" t="str">
        <f ca="1">IFERROR(__xludf.DUMMYFUNCTION("GOOGLETRANSLATE(B2231,""en"",""ig"")"),"isughari")</f>
        <v>isughari</v>
      </c>
      <c r="E2231" s="2" t="str">
        <f ca="1">IFERROR(__xludf.DUMMYFUNCTION("GOOGLETRANSLATE(B2231,""en"",""fr"")"),"interpréter")</f>
        <v>interpréter</v>
      </c>
      <c r="F2231" s="2" t="str">
        <f ca="1">IFERROR(__xludf.DUMMYFUNCTION("GOOGLETRANSLATE(B2231,""en"",""it"")"),"interpretare")</f>
        <v>interpretare</v>
      </c>
      <c r="G2231" s="2" t="str">
        <f ca="1">IFERROR(__xludf.DUMMYFUNCTION("GOOGLETRANSLATE(B2231,""en"",""de"")"),"interpretieren")</f>
        <v>interpretieren</v>
      </c>
      <c r="H2231" s="2" t="str">
        <f ca="1">IFERROR(__xludf.DUMMYFUNCTION("GOOGLETRANSLATE(B2231,""en"",""zh"")"),"解释")</f>
        <v>解释</v>
      </c>
      <c r="I2231" s="2" t="str">
        <f ca="1">IFERROR(__xludf.DUMMYFUNCTION("GOOGLETRANSLATE(B2231,""en"",""gd"")"),"Eadar-mhìneachadh")</f>
        <v>Eadar-mhìneachadh</v>
      </c>
    </row>
    <row r="2232" spans="1:9" ht="14.25" customHeight="1" x14ac:dyDescent="0.3">
      <c r="A2232" s="2">
        <v>2231</v>
      </c>
      <c r="B2232" s="3" t="s">
        <v>2239</v>
      </c>
      <c r="C2232" s="2" t="str">
        <f ca="1">IFERROR(__xludf.DUMMYFUNCTION("GOOGLETRANSLATE(B2232, ""en"",""es"")"),"independencia")</f>
        <v>independencia</v>
      </c>
      <c r="D2232" s="2" t="str">
        <f ca="1">IFERROR(__xludf.DUMMYFUNCTION("GOOGLETRANSLATE(B2232,""en"",""ig"")"),"nnoroonwe")</f>
        <v>nnoroonwe</v>
      </c>
      <c r="E2232" s="2" t="str">
        <f ca="1">IFERROR(__xludf.DUMMYFUNCTION("GOOGLETRANSLATE(B2232,""en"",""fr"")"),"indépendance")</f>
        <v>indépendance</v>
      </c>
      <c r="F2232" s="2" t="str">
        <f ca="1">IFERROR(__xludf.DUMMYFUNCTION("GOOGLETRANSLATE(B2232,""en"",""it"")"),"indipendenza")</f>
        <v>indipendenza</v>
      </c>
      <c r="G2232" s="2" t="str">
        <f ca="1">IFERROR(__xludf.DUMMYFUNCTION("GOOGLETRANSLATE(B2232,""en"",""de"")"),"Unabhängigkeit")</f>
        <v>Unabhängigkeit</v>
      </c>
      <c r="H2232" s="2" t="str">
        <f ca="1">IFERROR(__xludf.DUMMYFUNCTION("GOOGLETRANSLATE(B2232,""en"",""zh"")"),"独立")</f>
        <v>独立</v>
      </c>
      <c r="I2232" s="2" t="str">
        <f ca="1">IFERROR(__xludf.DUMMYFUNCTION("GOOGLETRANSLATE(B2232,""en"",""gd"")"),"Neo-eisimeileachd")</f>
        <v>Neo-eisimeileachd</v>
      </c>
    </row>
    <row r="2233" spans="1:9" ht="14.25" customHeight="1" x14ac:dyDescent="0.3">
      <c r="A2233" s="2">
        <v>2232</v>
      </c>
      <c r="B2233" s="3" t="s">
        <v>2240</v>
      </c>
      <c r="C2233" s="2" t="str">
        <f ca="1">IFERROR(__xludf.DUMMYFUNCTION("GOOGLETRANSLATE(B2233, ""en"",""es"")"),"azúcar")</f>
        <v>azúcar</v>
      </c>
      <c r="D2233" s="2" t="str">
        <f ca="1">IFERROR(__xludf.DUMMYFUNCTION("GOOGLETRANSLATE(B2233,""en"",""ig"")"),"suga")</f>
        <v>suga</v>
      </c>
      <c r="E2233" s="2" t="str">
        <f ca="1">IFERROR(__xludf.DUMMYFUNCTION("GOOGLETRANSLATE(B2233,""en"",""fr"")"),"sucre")</f>
        <v>sucre</v>
      </c>
      <c r="F2233" s="2" t="str">
        <f ca="1">IFERROR(__xludf.DUMMYFUNCTION("GOOGLETRANSLATE(B2233,""en"",""it"")"),"zucchero")</f>
        <v>zucchero</v>
      </c>
      <c r="G2233" s="2" t="str">
        <f ca="1">IFERROR(__xludf.DUMMYFUNCTION("GOOGLETRANSLATE(B2233,""en"",""de"")"),"Zucker")</f>
        <v>Zucker</v>
      </c>
      <c r="H2233" s="2" t="str">
        <f ca="1">IFERROR(__xludf.DUMMYFUNCTION("GOOGLETRANSLATE(B2233,""en"",""zh"")"),"糖")</f>
        <v>糖</v>
      </c>
      <c r="I2233" s="2" t="str">
        <f ca="1">IFERROR(__xludf.DUMMYFUNCTION("GOOGLETRANSLATE(B2233,""en"",""gd"")"),"siùcar")</f>
        <v>siùcar</v>
      </c>
    </row>
    <row r="2234" spans="1:9" ht="14.25" customHeight="1" x14ac:dyDescent="0.3">
      <c r="A2234" s="2">
        <v>2233</v>
      </c>
      <c r="B2234" s="3" t="s">
        <v>2241</v>
      </c>
      <c r="C2234" s="2" t="str">
        <f ca="1">IFERROR(__xludf.DUMMYFUNCTION("GOOGLETRANSLATE(B2234, ""en"",""es"")"),"interno")</f>
        <v>interno</v>
      </c>
      <c r="D2234" s="2" t="str">
        <f ca="1">IFERROR(__xludf.DUMMYFUNCTION("GOOGLETRANSLATE(B2234,""en"",""ig"")"),"keime ime")</f>
        <v>keime ime</v>
      </c>
      <c r="E2234" s="2" t="str">
        <f ca="1">IFERROR(__xludf.DUMMYFUNCTION("GOOGLETRANSLATE(B2234,""en"",""fr"")"),"intérieur")</f>
        <v>intérieur</v>
      </c>
      <c r="F2234" s="2" t="str">
        <f ca="1">IFERROR(__xludf.DUMMYFUNCTION("GOOGLETRANSLATE(B2234,""en"",""it"")"),"interno")</f>
        <v>interno</v>
      </c>
      <c r="G2234" s="2" t="str">
        <f ca="1">IFERROR(__xludf.DUMMYFUNCTION("GOOGLETRANSLATE(B2234,""en"",""de"")"),"innere")</f>
        <v>innere</v>
      </c>
      <c r="H2234" s="2" t="str">
        <f ca="1">IFERROR(__xludf.DUMMYFUNCTION("GOOGLETRANSLATE(B2234,""en"",""zh"")"),"内")</f>
        <v>内</v>
      </c>
      <c r="I2234" s="2" t="str">
        <f ca="1">IFERROR(__xludf.DUMMYFUNCTION("GOOGLETRANSLATE(B2234,""en"",""gd"")"),"a-staigh")</f>
        <v>a-staigh</v>
      </c>
    </row>
    <row r="2235" spans="1:9" ht="14.25" customHeight="1" x14ac:dyDescent="0.3">
      <c r="A2235" s="2">
        <v>2234</v>
      </c>
      <c r="B2235" s="3" t="s">
        <v>2242</v>
      </c>
      <c r="C2235" s="2" t="str">
        <f ca="1">IFERROR(__xludf.DUMMYFUNCTION("GOOGLETRANSLATE(B2235, ""en"",""es"")"),"dañar")</f>
        <v>dañar</v>
      </c>
      <c r="D2235" s="2" t="str">
        <f ca="1">IFERROR(__xludf.DUMMYFUNCTION("GOOGLETRANSLATE(B2235,""en"",""ig"")"),"ihe ojoo")</f>
        <v>ihe ojoo</v>
      </c>
      <c r="E2235" s="2" t="str">
        <f ca="1">IFERROR(__xludf.DUMMYFUNCTION("GOOGLETRANSLATE(B2235,""en"",""fr"")"),"nuire")</f>
        <v>nuire</v>
      </c>
      <c r="F2235" s="2" t="str">
        <f ca="1">IFERROR(__xludf.DUMMYFUNCTION("GOOGLETRANSLATE(B2235,""en"",""it"")"),"danno")</f>
        <v>danno</v>
      </c>
      <c r="G2235" s="2" t="str">
        <f ca="1">IFERROR(__xludf.DUMMYFUNCTION("GOOGLETRANSLATE(B2235,""en"",""de"")"),"Schaden")</f>
        <v>Schaden</v>
      </c>
      <c r="H2235" s="2" t="str">
        <f ca="1">IFERROR(__xludf.DUMMYFUNCTION("GOOGLETRANSLATE(B2235,""en"",""zh"")"),"伤害")</f>
        <v>伤害</v>
      </c>
      <c r="I2235" s="2" t="str">
        <f ca="1">IFERROR(__xludf.DUMMYFUNCTION("GOOGLETRANSLATE(B2235,""en"",""gd"")"),"cron")</f>
        <v>cron</v>
      </c>
    </row>
    <row r="2236" spans="1:9" ht="14.25" customHeight="1" x14ac:dyDescent="0.3">
      <c r="A2236" s="2">
        <v>2235</v>
      </c>
      <c r="B2236" s="3" t="s">
        <v>2243</v>
      </c>
      <c r="C2236" s="2" t="str">
        <f ca="1">IFERROR(__xludf.DUMMYFUNCTION("GOOGLETRANSLATE(B2236, ""en"",""es"")"),"consultar")</f>
        <v>consultar</v>
      </c>
      <c r="D2236" s="2" t="str">
        <f ca="1">IFERROR(__xludf.DUMMYFUNCTION("GOOGLETRANSLATE(B2236,""en"",""ig"")"),"ijuta")</f>
        <v>ijuta</v>
      </c>
      <c r="E2236" s="2" t="str">
        <f ca="1">IFERROR(__xludf.DUMMYFUNCTION("GOOGLETRANSLATE(B2236,""en"",""fr"")"),"consulter")</f>
        <v>consulter</v>
      </c>
      <c r="F2236" s="2" t="str">
        <f ca="1">IFERROR(__xludf.DUMMYFUNCTION("GOOGLETRANSLATE(B2236,""en"",""it"")"),"consultare")</f>
        <v>consultare</v>
      </c>
      <c r="G2236" s="2" t="str">
        <f ca="1">IFERROR(__xludf.DUMMYFUNCTION("GOOGLETRANSLATE(B2236,""en"",""de"")"),"konsultieren")</f>
        <v>konsultieren</v>
      </c>
      <c r="H2236" s="2" t="str">
        <f ca="1">IFERROR(__xludf.DUMMYFUNCTION("GOOGLETRANSLATE(B2236,""en"",""zh"")"),"咨询")</f>
        <v>咨询</v>
      </c>
      <c r="I2236" s="2" t="str">
        <f ca="1">IFERROR(__xludf.DUMMYFUNCTION("GOOGLETRANSLATE(B2236,""en"",""gd"")"),"Co-chomhairleachadh")</f>
        <v>Co-chomhairleachadh</v>
      </c>
    </row>
    <row r="2237" spans="1:9" ht="14.25" customHeight="1" x14ac:dyDescent="0.3">
      <c r="A2237" s="2">
        <v>2236</v>
      </c>
      <c r="B2237" s="3" t="s">
        <v>2244</v>
      </c>
      <c r="C2237" s="2" t="str">
        <f ca="1">IFERROR(__xludf.DUMMYFUNCTION("GOOGLETRANSLATE(B2237, ""en"",""es"")"),"rosa")</f>
        <v>rosa</v>
      </c>
      <c r="D2237" s="2" t="str">
        <f ca="1">IFERROR(__xludf.DUMMYFUNCTION("GOOGLETRANSLATE(B2237,""en"",""ig"")"),"pink")</f>
        <v>pink</v>
      </c>
      <c r="E2237" s="2" t="str">
        <f ca="1">IFERROR(__xludf.DUMMYFUNCTION("GOOGLETRANSLATE(B2237,""en"",""fr"")"),"rose")</f>
        <v>rose</v>
      </c>
      <c r="F2237" s="2" t="str">
        <f ca="1">IFERROR(__xludf.DUMMYFUNCTION("GOOGLETRANSLATE(B2237,""en"",""it"")"),"rosa")</f>
        <v>rosa</v>
      </c>
      <c r="G2237" s="2" t="str">
        <f ca="1">IFERROR(__xludf.DUMMYFUNCTION("GOOGLETRANSLATE(B2237,""en"",""de"")"),"Rosa")</f>
        <v>Rosa</v>
      </c>
      <c r="H2237" s="2" t="str">
        <f ca="1">IFERROR(__xludf.DUMMYFUNCTION("GOOGLETRANSLATE(B2237,""en"",""zh"")"),"粉色的")</f>
        <v>粉色的</v>
      </c>
      <c r="I2237" s="2" t="str">
        <f ca="1">IFERROR(__xludf.DUMMYFUNCTION("GOOGLETRANSLATE(B2237,""en"",""gd"")"),"pinc")</f>
        <v>pinc</v>
      </c>
    </row>
    <row r="2238" spans="1:9" ht="14.25" customHeight="1" x14ac:dyDescent="0.3">
      <c r="A2238" s="2">
        <v>2237</v>
      </c>
      <c r="B2238" s="3" t="s">
        <v>2245</v>
      </c>
      <c r="C2238" s="2" t="str">
        <f ca="1">IFERROR(__xludf.DUMMYFUNCTION("GOOGLETRANSLATE(B2238, ""en"",""es"")"),"sombra")</f>
        <v>sombra</v>
      </c>
      <c r="D2238" s="2" t="str">
        <f ca="1">IFERROR(__xludf.DUMMYFUNCTION("GOOGLETRANSLATE(B2238,""en"",""ig"")"),"onyinyo")</f>
        <v>onyinyo</v>
      </c>
      <c r="E2238" s="2" t="str">
        <f ca="1">IFERROR(__xludf.DUMMYFUNCTION("GOOGLETRANSLATE(B2238,""en"",""fr"")"),"ombre")</f>
        <v>ombre</v>
      </c>
      <c r="F2238" s="2" t="str">
        <f ca="1">IFERROR(__xludf.DUMMYFUNCTION("GOOGLETRANSLATE(B2238,""en"",""it"")"),"ombra")</f>
        <v>ombra</v>
      </c>
      <c r="G2238" s="2" t="str">
        <f ca="1">IFERROR(__xludf.DUMMYFUNCTION("GOOGLETRANSLATE(B2238,""en"",""de"")"),"Schatten")</f>
        <v>Schatten</v>
      </c>
      <c r="H2238" s="2" t="str">
        <f ca="1">IFERROR(__xludf.DUMMYFUNCTION("GOOGLETRANSLATE(B2238,""en"",""zh"")"),"阴影")</f>
        <v>阴影</v>
      </c>
      <c r="I2238" s="2" t="str">
        <f ca="1">IFERROR(__xludf.DUMMYFUNCTION("GOOGLETRANSLATE(B2238,""en"",""gd"")"),"sgàil")</f>
        <v>sgàil</v>
      </c>
    </row>
    <row r="2239" spans="1:9" ht="14.25" customHeight="1" x14ac:dyDescent="0.3">
      <c r="A2239" s="2">
        <v>2238</v>
      </c>
      <c r="B2239" s="3" t="s">
        <v>2246</v>
      </c>
      <c r="C2239" s="2" t="str">
        <f ca="1">IFERROR(__xludf.DUMMYFUNCTION("GOOGLETRANSLATE(B2239, ""en"",""es"")"),"banda")</f>
        <v>banda</v>
      </c>
      <c r="D2239" s="2" t="str">
        <f ca="1">IFERROR(__xludf.DUMMYFUNCTION("GOOGLETRANSLATE(B2239,""en"",""ig"")"),"straip")</f>
        <v>straip</v>
      </c>
      <c r="E2239" s="2" t="str">
        <f ca="1">IFERROR(__xludf.DUMMYFUNCTION("GOOGLETRANSLATE(B2239,""en"",""fr"")"),"bande")</f>
        <v>bande</v>
      </c>
      <c r="F2239" s="2" t="str">
        <f ca="1">IFERROR(__xludf.DUMMYFUNCTION("GOOGLETRANSLATE(B2239,""en"",""it"")"),"striscia")</f>
        <v>striscia</v>
      </c>
      <c r="G2239" s="2" t="str">
        <f ca="1">IFERROR(__xludf.DUMMYFUNCTION("GOOGLETRANSLATE(B2239,""en"",""de"")"),"Streifen")</f>
        <v>Streifen</v>
      </c>
      <c r="H2239" s="2" t="str">
        <f ca="1">IFERROR(__xludf.DUMMYFUNCTION("GOOGLETRANSLATE(B2239,""en"",""zh"")"),"条")</f>
        <v>条</v>
      </c>
      <c r="I2239" s="2" t="str">
        <f ca="1">IFERROR(__xludf.DUMMYFUNCTION("GOOGLETRANSLATE(B2239,""en"",""gd"")"),"Stiall")</f>
        <v>Stiall</v>
      </c>
    </row>
    <row r="2240" spans="1:9" ht="14.25" customHeight="1" x14ac:dyDescent="0.3">
      <c r="A2240" s="2">
        <v>2239</v>
      </c>
      <c r="B2240" s="3" t="s">
        <v>2247</v>
      </c>
      <c r="C2240" s="2" t="str">
        <f ca="1">IFERROR(__xludf.DUMMYFUNCTION("GOOGLETRANSLATE(B2240, ""en"",""es"")"),"liso")</f>
        <v>liso</v>
      </c>
      <c r="D2240" s="2" t="str">
        <f ca="1">IFERROR(__xludf.DUMMYFUNCTION("GOOGLETRANSLATE(B2240,""en"",""ig"")"),"murumuru")</f>
        <v>murumuru</v>
      </c>
      <c r="E2240" s="2" t="str">
        <f ca="1">IFERROR(__xludf.DUMMYFUNCTION("GOOGLETRANSLATE(B2240,""en"",""fr"")"),"lisse")</f>
        <v>lisse</v>
      </c>
      <c r="F2240" s="2" t="str">
        <f ca="1">IFERROR(__xludf.DUMMYFUNCTION("GOOGLETRANSLATE(B2240,""en"",""it"")"),"liscio")</f>
        <v>liscio</v>
      </c>
      <c r="G2240" s="2" t="str">
        <f ca="1">IFERROR(__xludf.DUMMYFUNCTION("GOOGLETRANSLATE(B2240,""en"",""de"")"),"glatt")</f>
        <v>glatt</v>
      </c>
      <c r="H2240" s="2" t="str">
        <f ca="1">IFERROR(__xludf.DUMMYFUNCTION("GOOGLETRANSLATE(B2240,""en"",""zh"")"),"光滑的")</f>
        <v>光滑的</v>
      </c>
      <c r="I2240" s="2" t="str">
        <f ca="1">IFERROR(__xludf.DUMMYFUNCTION("GOOGLETRANSLATE(B2240,""en"",""gd"")"),"rèidh")</f>
        <v>rèidh</v>
      </c>
    </row>
    <row r="2241" spans="1:9" ht="14.25" customHeight="1" x14ac:dyDescent="0.3">
      <c r="A2241" s="2">
        <v>2240</v>
      </c>
      <c r="B2241" s="3" t="s">
        <v>2248</v>
      </c>
      <c r="C2241" s="2" t="str">
        <f ca="1">IFERROR(__xludf.DUMMYFUNCTION("GOOGLETRANSLATE(B2241, ""en"",""es"")"),"intervención")</f>
        <v>intervención</v>
      </c>
      <c r="D2241" s="2" t="str">
        <f ca="1">IFERROR(__xludf.DUMMYFUNCTION("GOOGLETRANSLATE(B2241,""en"",""ig"")"),"ntinye onu")</f>
        <v>ntinye onu</v>
      </c>
      <c r="E2241" s="2" t="str">
        <f ca="1">IFERROR(__xludf.DUMMYFUNCTION("GOOGLETRANSLATE(B2241,""en"",""fr"")"),"intervention")</f>
        <v>intervention</v>
      </c>
      <c r="F2241" s="2" t="str">
        <f ca="1">IFERROR(__xludf.DUMMYFUNCTION("GOOGLETRANSLATE(B2241,""en"",""it"")"),"intervento")</f>
        <v>intervento</v>
      </c>
      <c r="G2241" s="2" t="str">
        <f ca="1">IFERROR(__xludf.DUMMYFUNCTION("GOOGLETRANSLATE(B2241,""en"",""de"")"),"Intervention")</f>
        <v>Intervention</v>
      </c>
      <c r="H2241" s="2" t="str">
        <f ca="1">IFERROR(__xludf.DUMMYFUNCTION("GOOGLETRANSLATE(B2241,""en"",""zh"")"),"干涉")</f>
        <v>干涉</v>
      </c>
      <c r="I2241" s="2" t="str">
        <f ca="1">IFERROR(__xludf.DUMMYFUNCTION("GOOGLETRANSLATE(B2241,""en"",""gd"")"),"Eadar-theachd")</f>
        <v>Eadar-theachd</v>
      </c>
    </row>
    <row r="2242" spans="1:9" ht="14.25" customHeight="1" x14ac:dyDescent="0.3">
      <c r="A2242" s="2">
        <v>2241</v>
      </c>
      <c r="B2242" s="3" t="s">
        <v>2249</v>
      </c>
      <c r="C2242" s="2" t="str">
        <f ca="1">IFERROR(__xludf.DUMMYFUNCTION("GOOGLETRANSLATE(B2242, ""en"",""es"")"),"impresionar")</f>
        <v>impresionar</v>
      </c>
      <c r="D2242" s="2" t="str">
        <f ca="1">IFERROR(__xludf.DUMMYFUNCTION("GOOGLETRANSLATE(B2242,""en"",""ig"")"),"ime mmasi")</f>
        <v>ime mmasi</v>
      </c>
      <c r="E2242" s="2" t="str">
        <f ca="1">IFERROR(__xludf.DUMMYFUNCTION("GOOGLETRANSLATE(B2242,""en"",""fr"")"),"impressionner")</f>
        <v>impressionner</v>
      </c>
      <c r="F2242" s="2" t="str">
        <f ca="1">IFERROR(__xludf.DUMMYFUNCTION("GOOGLETRANSLATE(B2242,""en"",""it"")"),"impressionare")</f>
        <v>impressionare</v>
      </c>
      <c r="G2242" s="2" t="str">
        <f ca="1">IFERROR(__xludf.DUMMYFUNCTION("GOOGLETRANSLATE(B2242,""en"",""de"")"),"beeindrucken")</f>
        <v>beeindrucken</v>
      </c>
      <c r="H2242" s="2" t="str">
        <f ca="1">IFERROR(__xludf.DUMMYFUNCTION("GOOGLETRANSLATE(B2242,""en"",""zh"")"),"印象深刻")</f>
        <v>印象深刻</v>
      </c>
      <c r="I2242" s="2" t="str">
        <f ca="1">IFERROR(__xludf.DUMMYFUNCTION("GOOGLETRANSLATE(B2242,""en"",""gd"")"),"buaidh")</f>
        <v>buaidh</v>
      </c>
    </row>
    <row r="2243" spans="1:9" ht="14.25" customHeight="1" x14ac:dyDescent="0.3">
      <c r="A2243" s="2">
        <v>2242</v>
      </c>
      <c r="B2243" s="3" t="s">
        <v>2250</v>
      </c>
      <c r="C2243" s="2" t="str">
        <f ca="1">IFERROR(__xludf.DUMMYFUNCTION("GOOGLETRANSLATE(B2243, ""en"",""es"")"),"examen")</f>
        <v>examen</v>
      </c>
      <c r="D2243" s="2" t="str">
        <f ca="1">IFERROR(__xludf.DUMMYFUNCTION("GOOGLETRANSLATE(B2243,""en"",""ig"")"),"leeanya")</f>
        <v>leeanya</v>
      </c>
      <c r="E2243" s="2" t="str">
        <f ca="1">IFERROR(__xludf.DUMMYFUNCTION("GOOGLETRANSLATE(B2243,""en"",""fr"")"),"examen")</f>
        <v>examen</v>
      </c>
      <c r="F2243" s="2" t="str">
        <f ca="1">IFERROR(__xludf.DUMMYFUNCTION("GOOGLETRANSLATE(B2243,""en"",""it"")"),"esame")</f>
        <v>esame</v>
      </c>
      <c r="G2243" s="2" t="str">
        <f ca="1">IFERROR(__xludf.DUMMYFUNCTION("GOOGLETRANSLATE(B2243,""en"",""de"")"),"Prüfung")</f>
        <v>Prüfung</v>
      </c>
      <c r="H2243" s="2" t="str">
        <f ca="1">IFERROR(__xludf.DUMMYFUNCTION("GOOGLETRANSLATE(B2243,""en"",""zh"")"),"考试")</f>
        <v>考试</v>
      </c>
      <c r="I2243" s="2" t="str">
        <f ca="1">IFERROR(__xludf.DUMMYFUNCTION("GOOGLETRANSLATE(B2243,""en"",""gd"")"),"Deuchainn")</f>
        <v>Deuchainn</v>
      </c>
    </row>
    <row r="2244" spans="1:9" ht="14.25" customHeight="1" x14ac:dyDescent="0.3">
      <c r="A2244" s="2">
        <v>2243</v>
      </c>
      <c r="B2244" s="3" t="s">
        <v>2251</v>
      </c>
      <c r="C2244" s="2" t="str">
        <f ca="1">IFERROR(__xludf.DUMMYFUNCTION("GOOGLETRANSLATE(B2244, ""en"",""es"")"),"vicio")</f>
        <v>vicio</v>
      </c>
      <c r="D2244" s="2" t="str">
        <f ca="1">IFERROR(__xludf.DUMMYFUNCTION("GOOGLETRANSLATE(B2244,""en"",""ig"")"),"osoere")</f>
        <v>osoere</v>
      </c>
      <c r="E2244" s="2" t="str">
        <f ca="1">IFERROR(__xludf.DUMMYFUNCTION("GOOGLETRANSLATE(B2244,""en"",""fr"")"),"vice")</f>
        <v>vice</v>
      </c>
      <c r="F2244" s="2" t="str">
        <f ca="1">IFERROR(__xludf.DUMMYFUNCTION("GOOGLETRANSLATE(B2244,""en"",""it"")"),"vice")</f>
        <v>vice</v>
      </c>
      <c r="G2244" s="2" t="str">
        <f ca="1">IFERROR(__xludf.DUMMYFUNCTION("GOOGLETRANSLATE(B2244,""en"",""de"")"),"Vize")</f>
        <v>Vize</v>
      </c>
      <c r="H2244" s="2" t="str">
        <f ca="1">IFERROR(__xludf.DUMMYFUNCTION("GOOGLETRANSLATE(B2244,""en"",""zh"")"),"副")</f>
        <v>副</v>
      </c>
      <c r="I2244" s="2" t="str">
        <f ca="1">IFERROR(__xludf.DUMMYFUNCTION("GOOGLETRANSLATE(B2244,""en"",""gd"")"),"vice")</f>
        <v>vice</v>
      </c>
    </row>
    <row r="2245" spans="1:9" ht="14.25" customHeight="1" x14ac:dyDescent="0.3">
      <c r="A2245" s="2">
        <v>2244</v>
      </c>
      <c r="B2245" s="3" t="s">
        <v>2252</v>
      </c>
      <c r="C2245" s="2" t="str">
        <f ca="1">IFERROR(__xludf.DUMMYFUNCTION("GOOGLETRANSLATE(B2245, ""en"",""es"")"),"radical")</f>
        <v>radical</v>
      </c>
      <c r="D2245" s="2" t="str">
        <f ca="1">IFERROR(__xludf.DUMMYFUNCTION("GOOGLETRANSLATE(B2245,""en"",""ig"")"),"radikal")</f>
        <v>radikal</v>
      </c>
      <c r="E2245" s="2" t="str">
        <f ca="1">IFERROR(__xludf.DUMMYFUNCTION("GOOGLETRANSLATE(B2245,""en"",""fr"")"),"radical")</f>
        <v>radical</v>
      </c>
      <c r="F2245" s="2" t="str">
        <f ca="1">IFERROR(__xludf.DUMMYFUNCTION("GOOGLETRANSLATE(B2245,""en"",""it"")"),"radicale")</f>
        <v>radicale</v>
      </c>
      <c r="G2245" s="2" t="str">
        <f ca="1">IFERROR(__xludf.DUMMYFUNCTION("GOOGLETRANSLATE(B2245,""en"",""de"")"),"Radikale")</f>
        <v>Radikale</v>
      </c>
      <c r="H2245" s="2" t="str">
        <f ca="1">IFERROR(__xludf.DUMMYFUNCTION("GOOGLETRANSLATE(B2245,""en"",""zh"")"),"激进的")</f>
        <v>激进的</v>
      </c>
      <c r="I2245" s="2" t="str">
        <f ca="1">IFERROR(__xludf.DUMMYFUNCTION("GOOGLETRANSLATE(B2245,""en"",""gd"")"),"radaigeach")</f>
        <v>radaigeach</v>
      </c>
    </row>
    <row r="2246" spans="1:9" ht="14.25" customHeight="1" x14ac:dyDescent="0.3">
      <c r="A2246" s="2">
        <v>2245</v>
      </c>
      <c r="B2246" s="3" t="s">
        <v>2253</v>
      </c>
      <c r="C2246" s="2" t="str">
        <f ca="1">IFERROR(__xludf.DUMMYFUNCTION("GOOGLETRANSLATE(B2246, ""en"",""es"")"),"similarmente")</f>
        <v>similarmente</v>
      </c>
      <c r="D2246" s="2" t="str">
        <f ca="1">IFERROR(__xludf.DUMMYFUNCTION("GOOGLETRANSLATE(B2246,""en"",""ig"")"),"n'otu aka ahụ")</f>
        <v>n'otu aka ahụ</v>
      </c>
      <c r="E2246" s="2" t="str">
        <f ca="1">IFERROR(__xludf.DUMMYFUNCTION("GOOGLETRANSLATE(B2246,""en"",""fr"")"),"de la même manière")</f>
        <v>de la même manière</v>
      </c>
      <c r="F2246" s="2" t="str">
        <f ca="1">IFERROR(__xludf.DUMMYFUNCTION("GOOGLETRANSLATE(B2246,""en"",""it"")"),"Allo stesso modo")</f>
        <v>Allo stesso modo</v>
      </c>
      <c r="G2246" s="2" t="str">
        <f ca="1">IFERROR(__xludf.DUMMYFUNCTION("GOOGLETRANSLATE(B2246,""en"",""de"")"),"ähnlich")</f>
        <v>ähnlich</v>
      </c>
      <c r="H2246" s="2" t="str">
        <f ca="1">IFERROR(__xludf.DUMMYFUNCTION("GOOGLETRANSLATE(B2246,""en"",""zh"")"),"相似地")</f>
        <v>相似地</v>
      </c>
      <c r="I2246" s="2" t="str">
        <f ca="1">IFERROR(__xludf.DUMMYFUNCTION("GOOGLETRANSLATE(B2246,""en"",""gd"")"),"mar an ceudna")</f>
        <v>mar an ceudna</v>
      </c>
    </row>
    <row r="2247" spans="1:9" ht="14.25" customHeight="1" x14ac:dyDescent="0.3">
      <c r="A2247" s="2">
        <v>2246</v>
      </c>
      <c r="B2247" s="3" t="s">
        <v>2254</v>
      </c>
      <c r="C2247" s="2" t="str">
        <f ca="1">IFERROR(__xludf.DUMMYFUNCTION("GOOGLETRANSLATE(B2247, ""en"",""es"")"),"comportarse")</f>
        <v>comportarse</v>
      </c>
      <c r="D2247" s="2" t="str">
        <f ca="1">IFERROR(__xludf.DUMMYFUNCTION("GOOGLETRANSLATE(B2247,""en"",""ig"")"),"ikpa agwa")</f>
        <v>ikpa agwa</v>
      </c>
      <c r="E2247" s="2" t="str">
        <f ca="1">IFERROR(__xludf.DUMMYFUNCTION("GOOGLETRANSLATE(B2247,""en"",""fr"")"),"se comporter")</f>
        <v>se comporter</v>
      </c>
      <c r="F2247" s="2" t="str">
        <f ca="1">IFERROR(__xludf.DUMMYFUNCTION("GOOGLETRANSLATE(B2247,""en"",""it"")"),"comportarsi")</f>
        <v>comportarsi</v>
      </c>
      <c r="G2247" s="2" t="str">
        <f ca="1">IFERROR(__xludf.DUMMYFUNCTION("GOOGLETRANSLATE(B2247,""en"",""de"")"),"benehmen")</f>
        <v>benehmen</v>
      </c>
      <c r="H2247" s="2" t="str">
        <f ca="1">IFERROR(__xludf.DUMMYFUNCTION("GOOGLETRANSLATE(B2247,""en"",""zh"")"),"表现")</f>
        <v>表现</v>
      </c>
      <c r="I2247" s="2" t="str">
        <f ca="1">IFERROR(__xludf.DUMMYFUNCTION("GOOGLETRANSLATE(B2247,""en"",""gd"")"),"giùlan")</f>
        <v>giùlan</v>
      </c>
    </row>
    <row r="2248" spans="1:9" ht="14.25" customHeight="1" x14ac:dyDescent="0.3">
      <c r="A2248" s="2">
        <v>2247</v>
      </c>
      <c r="B2248" s="3" t="s">
        <v>2255</v>
      </c>
      <c r="C2248" s="2" t="str">
        <f ca="1">IFERROR(__xludf.DUMMYFUNCTION("GOOGLETRANSLATE(B2248, ""en"",""es"")"),"alto")</f>
        <v>alto</v>
      </c>
      <c r="D2248" s="2" t="str">
        <f ca="1">IFERROR(__xludf.DUMMYFUNCTION("GOOGLETRANSLATE(B2248,""en"",""ig"")"),"keuzu")</f>
        <v>keuzu</v>
      </c>
      <c r="E2248" s="2" t="str">
        <f ca="1">IFERROR(__xludf.DUMMYFUNCTION("GOOGLETRANSLATE(B2248,""en"",""fr"")"),"fort")</f>
        <v>fort</v>
      </c>
      <c r="F2248" s="2" t="str">
        <f ca="1">IFERROR(__xludf.DUMMYFUNCTION("GOOGLETRANSLATE(B2248,""en"",""it"")"),"forte")</f>
        <v>forte</v>
      </c>
      <c r="G2248" s="2" t="str">
        <f ca="1">IFERROR(__xludf.DUMMYFUNCTION("GOOGLETRANSLATE(B2248,""en"",""de"")"),"laut")</f>
        <v>laut</v>
      </c>
      <c r="H2248" s="2" t="str">
        <f ca="1">IFERROR(__xludf.DUMMYFUNCTION("GOOGLETRANSLATE(B2248,""en"",""zh"")"),"大声")</f>
        <v>大声</v>
      </c>
      <c r="I2248" s="2" t="str">
        <f ca="1">IFERROR(__xludf.DUMMYFUNCTION("GOOGLETRANSLATE(B2248,""en"",""gd"")"),"àrd")</f>
        <v>àrd</v>
      </c>
    </row>
    <row r="2249" spans="1:9" ht="14.25" customHeight="1" x14ac:dyDescent="0.3">
      <c r="A2249" s="2">
        <v>2248</v>
      </c>
      <c r="B2249" s="3" t="s">
        <v>2256</v>
      </c>
      <c r="C2249" s="2" t="str">
        <f ca="1">IFERROR(__xludf.DUMMYFUNCTION("GOOGLETRANSLATE(B2249, ""en"",""es"")"),"dimensión")</f>
        <v>dimensión</v>
      </c>
      <c r="D2249" s="2" t="str">
        <f ca="1">IFERROR(__xludf.DUMMYFUNCTION("GOOGLETRANSLATE(B2249,""en"",""ig"")"),"uzo")</f>
        <v>uzo</v>
      </c>
      <c r="E2249" s="2" t="str">
        <f ca="1">IFERROR(__xludf.DUMMYFUNCTION("GOOGLETRANSLATE(B2249,""en"",""fr"")"),"dimension")</f>
        <v>dimension</v>
      </c>
      <c r="F2249" s="2" t="str">
        <f ca="1">IFERROR(__xludf.DUMMYFUNCTION("GOOGLETRANSLATE(B2249,""en"",""it"")"),"dimensione")</f>
        <v>dimensione</v>
      </c>
      <c r="G2249" s="2" t="str">
        <f ca="1">IFERROR(__xludf.DUMMYFUNCTION("GOOGLETRANSLATE(B2249,""en"",""de"")"),"Abmessungen")</f>
        <v>Abmessungen</v>
      </c>
      <c r="H2249" s="2" t="str">
        <f ca="1">IFERROR(__xludf.DUMMYFUNCTION("GOOGLETRANSLATE(B2249,""en"",""zh"")"),"方面")</f>
        <v>方面</v>
      </c>
      <c r="I2249" s="2" t="str">
        <f ca="1">IFERROR(__xludf.DUMMYFUNCTION("GOOGLETRANSLATE(B2249,""en"",""gd"")"),"Meud")</f>
        <v>Meud</v>
      </c>
    </row>
    <row r="2250" spans="1:9" ht="14.25" customHeight="1" x14ac:dyDescent="0.3">
      <c r="A2250" s="2">
        <v>2249</v>
      </c>
      <c r="B2250" s="3" t="s">
        <v>2257</v>
      </c>
      <c r="C2250" s="2" t="str">
        <f ca="1">IFERROR(__xludf.DUMMYFUNCTION("GOOGLETRANSLATE(B2250, ""en"",""es"")"),"subsecuente")</f>
        <v>subsecuente</v>
      </c>
      <c r="D2250" s="2" t="str">
        <f ca="1">IFERROR(__xludf.DUMMYFUNCTION("GOOGLETRANSLATE(B2250,""en"",""ig"")"),"nkeso")</f>
        <v>nkeso</v>
      </c>
      <c r="E2250" s="2" t="str">
        <f ca="1">IFERROR(__xludf.DUMMYFUNCTION("GOOGLETRANSLATE(B2250,""en"",""fr"")"),"subséquent")</f>
        <v>subséquent</v>
      </c>
      <c r="F2250" s="2" t="str">
        <f ca="1">IFERROR(__xludf.DUMMYFUNCTION("GOOGLETRANSLATE(B2250,""en"",""it"")"),"successivo")</f>
        <v>successivo</v>
      </c>
      <c r="G2250" s="2" t="str">
        <f ca="1">IFERROR(__xludf.DUMMYFUNCTION("GOOGLETRANSLATE(B2250,""en"",""de"")"),"anschließend")</f>
        <v>anschließend</v>
      </c>
      <c r="H2250" s="2" t="str">
        <f ca="1">IFERROR(__xludf.DUMMYFUNCTION("GOOGLETRANSLATE(B2250,""en"",""zh"")"),"随后的")</f>
        <v>随后的</v>
      </c>
      <c r="I2250" s="2" t="str">
        <f ca="1">IFERROR(__xludf.DUMMYFUNCTION("GOOGLETRANSLATE(B2250,""en"",""gd"")"),"às deidh sin")</f>
        <v>às deidh sin</v>
      </c>
    </row>
    <row r="2251" spans="1:9" ht="14.25" customHeight="1" x14ac:dyDescent="0.3">
      <c r="A2251" s="2">
        <v>2250</v>
      </c>
      <c r="B2251" s="3" t="s">
        <v>2258</v>
      </c>
      <c r="C2251" s="2" t="str">
        <f ca="1">IFERROR(__xludf.DUMMYFUNCTION("GOOGLETRANSLATE(B2251, ""en"",""es"")"),"infección")</f>
        <v>infección</v>
      </c>
      <c r="D2251" s="2" t="str">
        <f ca="1">IFERROR(__xludf.DUMMYFUNCTION("GOOGLETRANSLATE(B2251,""en"",""ig"")"),"oria ofufe")</f>
        <v>oria ofufe</v>
      </c>
      <c r="E2251" s="2" t="str">
        <f ca="1">IFERROR(__xludf.DUMMYFUNCTION("GOOGLETRANSLATE(B2251,""en"",""fr"")"),"infection")</f>
        <v>infection</v>
      </c>
      <c r="F2251" s="2" t="str">
        <f ca="1">IFERROR(__xludf.DUMMYFUNCTION("GOOGLETRANSLATE(B2251,""en"",""it"")"),"infezione")</f>
        <v>infezione</v>
      </c>
      <c r="G2251" s="2" t="str">
        <f ca="1">IFERROR(__xludf.DUMMYFUNCTION("GOOGLETRANSLATE(B2251,""en"",""de"")"),"Infektion")</f>
        <v>Infektion</v>
      </c>
      <c r="H2251" s="2" t="str">
        <f ca="1">IFERROR(__xludf.DUMMYFUNCTION("GOOGLETRANSLATE(B2251,""en"",""zh"")"),"感染")</f>
        <v>感染</v>
      </c>
      <c r="I2251" s="2" t="str">
        <f ca="1">IFERROR(__xludf.DUMMYFUNCTION("GOOGLETRANSLATE(B2251,""en"",""gd"")"),"galar")</f>
        <v>galar</v>
      </c>
    </row>
    <row r="2252" spans="1:9" ht="14.25" customHeight="1" x14ac:dyDescent="0.3">
      <c r="A2252" s="2">
        <v>2251</v>
      </c>
      <c r="B2252" s="3" t="s">
        <v>2259</v>
      </c>
      <c r="C2252" s="2" t="str">
        <f ca="1">IFERROR(__xludf.DUMMYFUNCTION("GOOGLETRANSLATE(B2252, ""en"",""es"")"),"chaqueta")</f>
        <v>chaqueta</v>
      </c>
      <c r="D2252" s="2" t="str">
        <f ca="1">IFERROR(__xludf.DUMMYFUNCTION("GOOGLETRANSLATE(B2252,""en"",""ig"")"),"jakeeti")</f>
        <v>jakeeti</v>
      </c>
      <c r="E2252" s="2" t="str">
        <f ca="1">IFERROR(__xludf.DUMMYFUNCTION("GOOGLETRANSLATE(B2252,""en"",""fr"")"),"veste")</f>
        <v>veste</v>
      </c>
      <c r="F2252" s="2" t="str">
        <f ca="1">IFERROR(__xludf.DUMMYFUNCTION("GOOGLETRANSLATE(B2252,""en"",""it"")"),"giacca")</f>
        <v>giacca</v>
      </c>
      <c r="G2252" s="2" t="str">
        <f ca="1">IFERROR(__xludf.DUMMYFUNCTION("GOOGLETRANSLATE(B2252,""en"",""de"")"),"Jacke")</f>
        <v>Jacke</v>
      </c>
      <c r="H2252" s="2" t="str">
        <f ca="1">IFERROR(__xludf.DUMMYFUNCTION("GOOGLETRANSLATE(B2252,""en"",""zh"")"),"夹克")</f>
        <v>夹克</v>
      </c>
      <c r="I2252" s="2" t="str">
        <f ca="1">IFERROR(__xludf.DUMMYFUNCTION("GOOGLETRANSLATE(B2252,""en"",""gd"")"),"Seacaid")</f>
        <v>Seacaid</v>
      </c>
    </row>
    <row r="2253" spans="1:9" ht="14.25" customHeight="1" x14ac:dyDescent="0.3">
      <c r="A2253" s="2">
        <v>2252</v>
      </c>
      <c r="B2253" s="3" t="s">
        <v>2260</v>
      </c>
      <c r="C2253" s="2" t="str">
        <f ca="1">IFERROR(__xludf.DUMMYFUNCTION("GOOGLETRANSLATE(B2253, ""en"",""es"")"),"eficiencia")</f>
        <v>eficiencia</v>
      </c>
      <c r="D2253" s="2" t="str">
        <f ca="1">IFERROR(__xludf.DUMMYFUNCTION("GOOGLETRANSLATE(B2253,""en"",""ig"")"),"oru oma")</f>
        <v>oru oma</v>
      </c>
      <c r="E2253" s="2" t="str">
        <f ca="1">IFERROR(__xludf.DUMMYFUNCTION("GOOGLETRANSLATE(B2253,""en"",""fr"")"),"efficacité")</f>
        <v>efficacité</v>
      </c>
      <c r="F2253" s="2" t="str">
        <f ca="1">IFERROR(__xludf.DUMMYFUNCTION("GOOGLETRANSLATE(B2253,""en"",""it"")"),"efficienza")</f>
        <v>efficienza</v>
      </c>
      <c r="G2253" s="2" t="str">
        <f ca="1">IFERROR(__xludf.DUMMYFUNCTION("GOOGLETRANSLATE(B2253,""en"",""de"")"),"Effizienz")</f>
        <v>Effizienz</v>
      </c>
      <c r="H2253" s="2" t="str">
        <f ca="1">IFERROR(__xludf.DUMMYFUNCTION("GOOGLETRANSLATE(B2253,""en"",""zh"")"),"效率")</f>
        <v>效率</v>
      </c>
      <c r="I2253" s="2" t="str">
        <f ca="1">IFERROR(__xludf.DUMMYFUNCTION("GOOGLETRANSLATE(B2253,""en"",""gd"")"),"èifeachdas")</f>
        <v>èifeachdas</v>
      </c>
    </row>
    <row r="2254" spans="1:9" ht="14.25" customHeight="1" x14ac:dyDescent="0.3">
      <c r="A2254" s="2">
        <v>2253</v>
      </c>
      <c r="B2254" s="3" t="s">
        <v>2261</v>
      </c>
      <c r="C2254" s="2" t="str">
        <f ca="1">IFERROR(__xludf.DUMMYFUNCTION("GOOGLETRANSLATE(B2254, ""en"",""es"")"),"sucio")</f>
        <v>sucio</v>
      </c>
      <c r="D2254" s="2" t="str">
        <f ca="1">IFERROR(__xludf.DUMMYFUNCTION("GOOGLETRANSLATE(B2254,""en"",""ig"")"),"unyi")</f>
        <v>unyi</v>
      </c>
      <c r="E2254" s="2" t="str">
        <f ca="1">IFERROR(__xludf.DUMMYFUNCTION("GOOGLETRANSLATE(B2254,""en"",""fr"")"),"sale")</f>
        <v>sale</v>
      </c>
      <c r="F2254" s="2" t="str">
        <f ca="1">IFERROR(__xludf.DUMMYFUNCTION("GOOGLETRANSLATE(B2254,""en"",""it"")"),"sporco")</f>
        <v>sporco</v>
      </c>
      <c r="G2254" s="2" t="str">
        <f ca="1">IFERROR(__xludf.DUMMYFUNCTION("GOOGLETRANSLATE(B2254,""en"",""de"")"),"schmutzig")</f>
        <v>schmutzig</v>
      </c>
      <c r="H2254" s="2" t="str">
        <f ca="1">IFERROR(__xludf.DUMMYFUNCTION("GOOGLETRANSLATE(B2254,""en"",""zh"")"),"肮脏的")</f>
        <v>肮脏的</v>
      </c>
      <c r="I2254" s="2" t="str">
        <f ca="1">IFERROR(__xludf.DUMMYFUNCTION("GOOGLETRANSLATE(B2254,""en"",""gd"")"),"salach")</f>
        <v>salach</v>
      </c>
    </row>
    <row r="2255" spans="1:9" ht="14.25" customHeight="1" x14ac:dyDescent="0.3">
      <c r="A2255" s="2">
        <v>2254</v>
      </c>
      <c r="B2255" s="3" t="s">
        <v>2262</v>
      </c>
      <c r="C2255" s="2" t="str">
        <f ca="1">IFERROR(__xludf.DUMMYFUNCTION("GOOGLETRANSLATE(B2255, ""en"",""es"")"),"estadística")</f>
        <v>estadística</v>
      </c>
      <c r="D2255" s="2" t="str">
        <f ca="1">IFERROR(__xludf.DUMMYFUNCTION("GOOGLETRANSLATE(B2255,""en"",""ig"")"),"stastical")</f>
        <v>stastical</v>
      </c>
      <c r="E2255" s="2" t="str">
        <f ca="1">IFERROR(__xludf.DUMMYFUNCTION("GOOGLETRANSLATE(B2255,""en"",""fr"")"),"statistique")</f>
        <v>statistique</v>
      </c>
      <c r="F2255" s="2" t="str">
        <f ca="1">IFERROR(__xludf.DUMMYFUNCTION("GOOGLETRANSLATE(B2255,""en"",""it"")"),"statistica")</f>
        <v>statistica</v>
      </c>
      <c r="G2255" s="2" t="str">
        <f ca="1">IFERROR(__xludf.DUMMYFUNCTION("GOOGLETRANSLATE(B2255,""en"",""de"")"),"Statistik")</f>
        <v>Statistik</v>
      </c>
      <c r="H2255" s="2" t="str">
        <f ca="1">IFERROR(__xludf.DUMMYFUNCTION("GOOGLETRANSLATE(B2255,""en"",""zh"")"),"统计")</f>
        <v>统计</v>
      </c>
      <c r="I2255" s="2" t="str">
        <f ca="1">IFERROR(__xludf.DUMMYFUNCTION("GOOGLETRANSLATE(B2255,""en"",""gd"")"),"staististirachd")</f>
        <v>staististirachd</v>
      </c>
    </row>
    <row r="2256" spans="1:9" ht="14.25" customHeight="1" x14ac:dyDescent="0.3">
      <c r="A2256" s="2">
        <v>2255</v>
      </c>
      <c r="B2256" s="3" t="s">
        <v>2263</v>
      </c>
      <c r="C2256" s="2" t="str">
        <f ca="1">IFERROR(__xludf.DUMMYFUNCTION("GOOGLETRANSLATE(B2256, ""en"",""es"")"),"regularmente")</f>
        <v>regularmente</v>
      </c>
      <c r="D2256" s="2" t="str">
        <f ca="1">IFERROR(__xludf.DUMMYFUNCTION("GOOGLETRANSLATE(B2256,""en"",""ig"")"),"mgbedum")</f>
        <v>mgbedum</v>
      </c>
      <c r="E2256" s="2" t="str">
        <f ca="1">IFERROR(__xludf.DUMMYFUNCTION("GOOGLETRANSLATE(B2256,""en"",""fr"")"),"régulièrement")</f>
        <v>régulièrement</v>
      </c>
      <c r="F2256" s="2" t="str">
        <f ca="1">IFERROR(__xludf.DUMMYFUNCTION("GOOGLETRANSLATE(B2256,""en"",""it"")"),"regolarmente")</f>
        <v>regolarmente</v>
      </c>
      <c r="G2256" s="2" t="str">
        <f ca="1">IFERROR(__xludf.DUMMYFUNCTION("GOOGLETRANSLATE(B2256,""en"",""de"")"),"regelmäßig")</f>
        <v>regelmäßig</v>
      </c>
      <c r="H2256" s="2" t="str">
        <f ca="1">IFERROR(__xludf.DUMMYFUNCTION("GOOGLETRANSLATE(B2256,""en"",""zh"")"),"经常")</f>
        <v>经常</v>
      </c>
      <c r="I2256" s="2" t="str">
        <f ca="1">IFERROR(__xludf.DUMMYFUNCTION("GOOGLETRANSLATE(B2256,""en"",""gd"")"),"gu cunbhalach")</f>
        <v>gu cunbhalach</v>
      </c>
    </row>
    <row r="2257" spans="1:9" ht="14.25" customHeight="1" x14ac:dyDescent="0.3">
      <c r="A2257" s="2">
        <v>2256</v>
      </c>
      <c r="B2257" s="3" t="s">
        <v>2264</v>
      </c>
      <c r="C2257" s="2" t="str">
        <f ca="1">IFERROR(__xludf.DUMMYFUNCTION("GOOGLETRANSLATE(B2257, ""en"",""es"")"),"complejo")</f>
        <v>complejo</v>
      </c>
      <c r="D2257" s="2" t="str">
        <f ca="1">IFERROR(__xludf.DUMMYFUNCTION("GOOGLETRANSLATE(B2257,""en"",""ig"")"),"resotu")</f>
        <v>resotu</v>
      </c>
      <c r="E2257" s="2" t="str">
        <f ca="1">IFERROR(__xludf.DUMMYFUNCTION("GOOGLETRANSLATE(B2257,""en"",""fr"")"),"station balnéaire")</f>
        <v>station balnéaire</v>
      </c>
      <c r="F2257" s="2" t="str">
        <f ca="1">IFERROR(__xludf.DUMMYFUNCTION("GOOGLETRANSLATE(B2257,""en"",""it"")"),"ricorrere")</f>
        <v>ricorrere</v>
      </c>
      <c r="G2257" s="2" t="str">
        <f ca="1">IFERROR(__xludf.DUMMYFUNCTION("GOOGLETRANSLATE(B2257,""en"",""de"")"),"Resort")</f>
        <v>Resort</v>
      </c>
      <c r="H2257" s="2" t="str">
        <f ca="1">IFERROR(__xludf.DUMMYFUNCTION("GOOGLETRANSLATE(B2257,""en"",""zh"")"),"采取")</f>
        <v>采取</v>
      </c>
      <c r="I2257" s="2" t="str">
        <f ca="1">IFERROR(__xludf.DUMMYFUNCTION("GOOGLETRANSLATE(B2257,""en"",""gd"")"),"ionad-turasachd")</f>
        <v>ionad-turasachd</v>
      </c>
    </row>
    <row r="2258" spans="1:9" ht="14.25" customHeight="1" x14ac:dyDescent="0.3">
      <c r="A2258" s="2">
        <v>2257</v>
      </c>
      <c r="B2258" s="3" t="s">
        <v>2265</v>
      </c>
      <c r="C2258" s="2" t="str">
        <f ca="1">IFERROR(__xludf.DUMMYFUNCTION("GOOGLETRANSLATE(B2258, ""en"",""es"")"),"hierro")</f>
        <v>hierro</v>
      </c>
      <c r="D2258" s="2" t="str">
        <f ca="1">IFERROR(__xludf.DUMMYFUNCTION("GOOGLETRANSLATE(B2258,""en"",""ig"")"),"igwe")</f>
        <v>igwe</v>
      </c>
      <c r="E2258" s="2" t="str">
        <f ca="1">IFERROR(__xludf.DUMMYFUNCTION("GOOGLETRANSLATE(B2258,""en"",""fr"")"),"fer")</f>
        <v>fer</v>
      </c>
      <c r="F2258" s="2" t="str">
        <f ca="1">IFERROR(__xludf.DUMMYFUNCTION("GOOGLETRANSLATE(B2258,""en"",""it"")"),"ferro")</f>
        <v>ferro</v>
      </c>
      <c r="G2258" s="2" t="str">
        <f ca="1">IFERROR(__xludf.DUMMYFUNCTION("GOOGLETRANSLATE(B2258,""en"",""de"")"),"Eisen")</f>
        <v>Eisen</v>
      </c>
      <c r="H2258" s="2" t="str">
        <f ca="1">IFERROR(__xludf.DUMMYFUNCTION("GOOGLETRANSLATE(B2258,""en"",""zh"")"),"铁")</f>
        <v>铁</v>
      </c>
      <c r="I2258" s="2" t="str">
        <f ca="1">IFERROR(__xludf.DUMMYFUNCTION("GOOGLETRANSLATE(B2258,""en"",""gd"")"),"Iron")</f>
        <v>Iron</v>
      </c>
    </row>
    <row r="2259" spans="1:9" ht="14.25" customHeight="1" x14ac:dyDescent="0.3">
      <c r="A2259" s="2">
        <v>2258</v>
      </c>
      <c r="B2259" s="3" t="s">
        <v>2266</v>
      </c>
      <c r="C2259" s="2" t="str">
        <f ca="1">IFERROR(__xludf.DUMMYFUNCTION("GOOGLETRANSLATE(B2259, ""en"",""es"")"),"transmisión")</f>
        <v>transmisión</v>
      </c>
      <c r="D2259" s="2" t="str">
        <f ca="1">IFERROR(__xludf.DUMMYFUNCTION("GOOGLETRANSLATE(B2259,""en"",""ig"")"),"ikwuputa")</f>
        <v>ikwuputa</v>
      </c>
      <c r="E2259" s="2" t="str">
        <f ca="1">IFERROR(__xludf.DUMMYFUNCTION("GOOGLETRANSLATE(B2259,""en"",""fr"")"),"diffuser")</f>
        <v>diffuser</v>
      </c>
      <c r="F2259" s="2" t="str">
        <f ca="1">IFERROR(__xludf.DUMMYFUNCTION("GOOGLETRANSLATE(B2259,""en"",""it"")"),"trasmissione")</f>
        <v>trasmissione</v>
      </c>
      <c r="G2259" s="2" t="str">
        <f ca="1">IFERROR(__xludf.DUMMYFUNCTION("GOOGLETRANSLATE(B2259,""en"",""de"")"),"übertragen")</f>
        <v>übertragen</v>
      </c>
      <c r="H2259" s="2" t="str">
        <f ca="1">IFERROR(__xludf.DUMMYFUNCTION("GOOGLETRANSLATE(B2259,""en"",""zh"")"),"播送")</f>
        <v>播送</v>
      </c>
      <c r="I2259" s="2" t="str">
        <f ca="1">IFERROR(__xludf.DUMMYFUNCTION("GOOGLETRANSLATE(B2259,""en"",""gd"")"),"craoladh")</f>
        <v>craoladh</v>
      </c>
    </row>
    <row r="2260" spans="1:9" ht="14.25" customHeight="1" x14ac:dyDescent="0.3">
      <c r="A2260" s="2">
        <v>2259</v>
      </c>
      <c r="B2260" s="3" t="s">
        <v>2267</v>
      </c>
      <c r="C2260" s="2" t="str">
        <f ca="1">IFERROR(__xludf.DUMMYFUNCTION("GOOGLETRANSLATE(B2260, ""en"",""es"")"),"afiliación")</f>
        <v>afiliación</v>
      </c>
      <c r="D2260" s="2" t="str">
        <f ca="1">IFERROR(__xludf.DUMMYFUNCTION("GOOGLETRANSLATE(B2260,""en"",""ig"")"),"onye otu")</f>
        <v>onye otu</v>
      </c>
      <c r="E2260" s="2" t="str">
        <f ca="1">IFERROR(__xludf.DUMMYFUNCTION("GOOGLETRANSLATE(B2260,""en"",""fr"")"),"adhésion")</f>
        <v>adhésion</v>
      </c>
      <c r="F2260" s="2" t="str">
        <f ca="1">IFERROR(__xludf.DUMMYFUNCTION("GOOGLETRANSLATE(B2260,""en"",""it"")"),"appartenenza")</f>
        <v>appartenenza</v>
      </c>
      <c r="G2260" s="2" t="str">
        <f ca="1">IFERROR(__xludf.DUMMYFUNCTION("GOOGLETRANSLATE(B2260,""en"",""de"")"),"Mitgliedschaft")</f>
        <v>Mitgliedschaft</v>
      </c>
      <c r="H2260" s="2" t="str">
        <f ca="1">IFERROR(__xludf.DUMMYFUNCTION("GOOGLETRANSLATE(B2260,""en"",""zh"")"),"会员资格")</f>
        <v>会员资格</v>
      </c>
      <c r="I2260" s="2" t="str">
        <f ca="1">IFERROR(__xludf.DUMMYFUNCTION("GOOGLETRANSLATE(B2260,""en"",""gd"")"),"Ballrachd")</f>
        <v>Ballrachd</v>
      </c>
    </row>
    <row r="2261" spans="1:9" ht="14.25" customHeight="1" x14ac:dyDescent="0.3">
      <c r="A2261" s="2">
        <v>2260</v>
      </c>
      <c r="B2261" s="3" t="s">
        <v>2268</v>
      </c>
      <c r="C2261" s="2" t="str">
        <f ca="1">IFERROR(__xludf.DUMMYFUNCTION("GOOGLETRANSLATE(B2261, ""en"",""es"")"),"pan")</f>
        <v>pan</v>
      </c>
      <c r="D2261" s="2" t="str">
        <f ca="1">IFERROR(__xludf.DUMMYFUNCTION("GOOGLETRANSLATE(B2261,""en"",""ig"")"),"achicha")</f>
        <v>achicha</v>
      </c>
      <c r="E2261" s="2" t="str">
        <f ca="1">IFERROR(__xludf.DUMMYFUNCTION("GOOGLETRANSLATE(B2261,""en"",""fr"")"),"pain")</f>
        <v>pain</v>
      </c>
      <c r="F2261" s="2" t="str">
        <f ca="1">IFERROR(__xludf.DUMMYFUNCTION("GOOGLETRANSLATE(B2261,""en"",""it"")"),"pane")</f>
        <v>pane</v>
      </c>
      <c r="G2261" s="2" t="str">
        <f ca="1">IFERROR(__xludf.DUMMYFUNCTION("GOOGLETRANSLATE(B2261,""en"",""de"")"),"brot")</f>
        <v>brot</v>
      </c>
      <c r="H2261" s="2" t="str">
        <f ca="1">IFERROR(__xludf.DUMMYFUNCTION("GOOGLETRANSLATE(B2261,""en"",""zh"")"),"面包")</f>
        <v>面包</v>
      </c>
      <c r="I2261" s="2" t="str">
        <f ca="1">IFERROR(__xludf.DUMMYFUNCTION("GOOGLETRANSLATE(B2261,""en"",""gd"")"),"aran")</f>
        <v>aran</v>
      </c>
    </row>
    <row r="2262" spans="1:9" ht="14.25" customHeight="1" x14ac:dyDescent="0.3">
      <c r="A2262" s="2">
        <v>2261</v>
      </c>
      <c r="B2262" s="3" t="s">
        <v>2269</v>
      </c>
      <c r="C2262" s="2" t="str">
        <f ca="1">IFERROR(__xludf.DUMMYFUNCTION("GOOGLETRANSLATE(B2262, ""en"",""es"")"),"ciego")</f>
        <v>ciego</v>
      </c>
      <c r="D2262" s="2" t="str">
        <f ca="1">IFERROR(__xludf.DUMMYFUNCTION("GOOGLETRANSLATE(B2262,""en"",""ig"")"),"isi")</f>
        <v>isi</v>
      </c>
      <c r="E2262" s="2" t="str">
        <f ca="1">IFERROR(__xludf.DUMMYFUNCTION("GOOGLETRANSLATE(B2262,""en"",""fr"")"),"aveugle")</f>
        <v>aveugle</v>
      </c>
      <c r="F2262" s="2" t="str">
        <f ca="1">IFERROR(__xludf.DUMMYFUNCTION("GOOGLETRANSLATE(B2262,""en"",""it"")"),"cieco")</f>
        <v>cieco</v>
      </c>
      <c r="G2262" s="2" t="str">
        <f ca="1">IFERROR(__xludf.DUMMYFUNCTION("GOOGLETRANSLATE(B2262,""en"",""de"")"),"blind")</f>
        <v>blind</v>
      </c>
      <c r="H2262" s="2" t="str">
        <f ca="1">IFERROR(__xludf.DUMMYFUNCTION("GOOGLETRANSLATE(B2262,""en"",""zh"")"),"瞎的")</f>
        <v>瞎的</v>
      </c>
      <c r="I2262" s="2" t="str">
        <f ca="1">IFERROR(__xludf.DUMMYFUNCTION("GOOGLETRANSLATE(B2262,""en"",""gd"")"),"dall")</f>
        <v>dall</v>
      </c>
    </row>
    <row r="2263" spans="1:9" ht="14.25" customHeight="1" x14ac:dyDescent="0.3">
      <c r="A2263" s="2">
        <v>2262</v>
      </c>
      <c r="B2263" s="3" t="s">
        <v>2270</v>
      </c>
      <c r="C2263" s="2" t="str">
        <f ca="1">IFERROR(__xludf.DUMMYFUNCTION("GOOGLETRANSLATE(B2263, ""en"",""es"")"),"puro")</f>
        <v>puro</v>
      </c>
      <c r="D2263" s="2" t="str">
        <f ca="1">IFERROR(__xludf.DUMMYFUNCTION("GOOGLETRANSLATE(B2263,""en"",""ig"")"),"enweghi mebi")</f>
        <v>enweghi mebi</v>
      </c>
      <c r="E2263" s="2" t="str">
        <f ca="1">IFERROR(__xludf.DUMMYFUNCTION("GOOGLETRANSLATE(B2263,""en"",""fr"")"),"pur")</f>
        <v>pur</v>
      </c>
      <c r="F2263" s="2" t="str">
        <f ca="1">IFERROR(__xludf.DUMMYFUNCTION("GOOGLETRANSLATE(B2263,""en"",""it"")"),"puro")</f>
        <v>puro</v>
      </c>
      <c r="G2263" s="2" t="str">
        <f ca="1">IFERROR(__xludf.DUMMYFUNCTION("GOOGLETRANSLATE(B2263,""en"",""de"")"),"rein")</f>
        <v>rein</v>
      </c>
      <c r="H2263" s="2" t="str">
        <f ca="1">IFERROR(__xludf.DUMMYFUNCTION("GOOGLETRANSLATE(B2263,""en"",""zh"")"),"纯的")</f>
        <v>纯的</v>
      </c>
      <c r="I2263" s="2" t="str">
        <f ca="1">IFERROR(__xludf.DUMMYFUNCTION("GOOGLETRANSLATE(B2263,""en"",""gd"")"),"fìor-ghlan")</f>
        <v>fìor-ghlan</v>
      </c>
    </row>
    <row r="2264" spans="1:9" ht="14.25" customHeight="1" x14ac:dyDescent="0.3">
      <c r="A2264" s="2">
        <v>2263</v>
      </c>
      <c r="B2264" s="3" t="s">
        <v>2271</v>
      </c>
      <c r="C2264" s="2" t="str">
        <f ca="1">IFERROR(__xludf.DUMMYFUNCTION("GOOGLETRANSLATE(B2264, ""en"",""es"")"),"sangriento")</f>
        <v>sangriento</v>
      </c>
      <c r="D2264" s="2" t="str">
        <f ca="1">IFERROR(__xludf.DUMMYFUNCTION("GOOGLETRANSLATE(B2264,""en"",""ig"")"),"ke mmebiobara")</f>
        <v>ke mmebiobara</v>
      </c>
      <c r="E2264" s="2" t="str">
        <f ca="1">IFERROR(__xludf.DUMMYFUNCTION("GOOGLETRANSLATE(B2264,""en"",""fr"")"),"sanglant")</f>
        <v>sanglant</v>
      </c>
      <c r="F2264" s="2" t="str">
        <f ca="1">IFERROR(__xludf.DUMMYFUNCTION("GOOGLETRANSLATE(B2264,""en"",""it"")"),"sanguinoso")</f>
        <v>sanguinoso</v>
      </c>
      <c r="G2264" s="2" t="str">
        <f ca="1">IFERROR(__xludf.DUMMYFUNCTION("GOOGLETRANSLATE(B2264,""en"",""de"")"),"blutig")</f>
        <v>blutig</v>
      </c>
      <c r="H2264" s="2" t="str">
        <f ca="1">IFERROR(__xludf.DUMMYFUNCTION("GOOGLETRANSLATE(B2264,""en"",""zh"")"),"血腥")</f>
        <v>血腥</v>
      </c>
      <c r="I2264" s="2" t="str">
        <f ca="1">IFERROR(__xludf.DUMMYFUNCTION("GOOGLETRANSLATE(B2264,""en"",""gd"")"),"fuilteach")</f>
        <v>fuilteach</v>
      </c>
    </row>
    <row r="2265" spans="1:9" ht="14.25" customHeight="1" x14ac:dyDescent="0.3">
      <c r="A2265" s="2">
        <v>2264</v>
      </c>
      <c r="B2265" s="3" t="s">
        <v>2272</v>
      </c>
      <c r="C2265" s="2" t="str">
        <f ca="1">IFERROR(__xludf.DUMMYFUNCTION("GOOGLETRANSLATE(B2265, ""en"",""es"")"),"aliado")</f>
        <v>aliado</v>
      </c>
      <c r="D2265" s="2" t="str">
        <f ca="1">IFERROR(__xludf.DUMMYFUNCTION("GOOGLETRANSLATE(B2265,""en"",""ig"")"),"mmekorita")</f>
        <v>mmekorita</v>
      </c>
      <c r="E2265" s="2" t="str">
        <f ca="1">IFERROR(__xludf.DUMMYFUNCTION("GOOGLETRANSLATE(B2265,""en"",""fr"")"),"allié")</f>
        <v>allié</v>
      </c>
      <c r="F2265" s="2" t="str">
        <f ca="1">IFERROR(__xludf.DUMMYFUNCTION("GOOGLETRANSLATE(B2265,""en"",""it"")"),"alleato")</f>
        <v>alleato</v>
      </c>
      <c r="G2265" s="2" t="str">
        <f ca="1">IFERROR(__xludf.DUMMYFUNCTION("GOOGLETRANSLATE(B2265,""en"",""de"")"),"Verbündete")</f>
        <v>Verbündete</v>
      </c>
      <c r="H2265" s="2" t="str">
        <f ca="1">IFERROR(__xludf.DUMMYFUNCTION("GOOGLETRANSLATE(B2265,""en"",""zh"")"),"盟友")</f>
        <v>盟友</v>
      </c>
      <c r="I2265" s="2" t="str">
        <f ca="1">IFERROR(__xludf.DUMMYFUNCTION("GOOGLETRANSLATE(B2265,""en"",""gd"")"),"Ally")</f>
        <v>Ally</v>
      </c>
    </row>
    <row r="2266" spans="1:9" ht="14.25" customHeight="1" x14ac:dyDescent="0.3">
      <c r="A2266" s="2">
        <v>2265</v>
      </c>
      <c r="B2266" s="3" t="s">
        <v>2273</v>
      </c>
      <c r="C2266" s="2" t="str">
        <f ca="1">IFERROR(__xludf.DUMMYFUNCTION("GOOGLETRANSLATE(B2266, ""en"",""es"")"),"cantidad")</f>
        <v>cantidad</v>
      </c>
      <c r="D2266" s="2" t="str">
        <f ca="1">IFERROR(__xludf.DUMMYFUNCTION("GOOGLETRANSLATE(B2266,""en"",""ig"")"),"nke ukwu")</f>
        <v>nke ukwu</v>
      </c>
      <c r="E2266" s="2" t="str">
        <f ca="1">IFERROR(__xludf.DUMMYFUNCTION("GOOGLETRANSLATE(B2266,""en"",""fr"")"),"quantité")</f>
        <v>quantité</v>
      </c>
      <c r="F2266" s="2" t="str">
        <f ca="1">IFERROR(__xludf.DUMMYFUNCTION("GOOGLETRANSLATE(B2266,""en"",""it"")"),"quantità")</f>
        <v>quantità</v>
      </c>
      <c r="G2266" s="2" t="str">
        <f ca="1">IFERROR(__xludf.DUMMYFUNCTION("GOOGLETRANSLATE(B2266,""en"",""de"")"),"Menge")</f>
        <v>Menge</v>
      </c>
      <c r="H2266" s="2" t="str">
        <f ca="1">IFERROR(__xludf.DUMMYFUNCTION("GOOGLETRANSLATE(B2266,""en"",""zh"")"),"数量")</f>
        <v>数量</v>
      </c>
      <c r="I2266" s="2" t="str">
        <f ca="1">IFERROR(__xludf.DUMMYFUNCTION("GOOGLETRANSLATE(B2266,""en"",""gd"")"),"meud")</f>
        <v>meud</v>
      </c>
    </row>
    <row r="2267" spans="1:9" ht="14.25" customHeight="1" x14ac:dyDescent="0.3">
      <c r="A2267" s="2">
        <v>2266</v>
      </c>
      <c r="B2267" s="3" t="s">
        <v>2274</v>
      </c>
      <c r="C2267" s="2" t="str">
        <f ca="1">IFERROR(__xludf.DUMMYFUNCTION("GOOGLETRANSLATE(B2267, ""en"",""es"")"),"doblar")</f>
        <v>doblar</v>
      </c>
      <c r="D2267" s="2" t="str">
        <f ca="1">IFERROR(__xludf.DUMMYFUNCTION("GOOGLETRANSLATE(B2267,""en"",""ig"")"),"irozi")</f>
        <v>irozi</v>
      </c>
      <c r="E2267" s="2" t="str">
        <f ca="1">IFERROR(__xludf.DUMMYFUNCTION("GOOGLETRANSLATE(B2267,""en"",""fr"")"),"plier")</f>
        <v>plier</v>
      </c>
      <c r="F2267" s="2" t="str">
        <f ca="1">IFERROR(__xludf.DUMMYFUNCTION("GOOGLETRANSLATE(B2267,""en"",""it"")"),"curva")</f>
        <v>curva</v>
      </c>
      <c r="G2267" s="2" t="str">
        <f ca="1">IFERROR(__xludf.DUMMYFUNCTION("GOOGLETRANSLATE(B2267,""en"",""de"")"),"biegen")</f>
        <v>biegen</v>
      </c>
      <c r="H2267" s="2" t="str">
        <f ca="1">IFERROR(__xludf.DUMMYFUNCTION("GOOGLETRANSLATE(B2267,""en"",""zh"")"),"弯曲")</f>
        <v>弯曲</v>
      </c>
      <c r="I2267" s="2" t="str">
        <f ca="1">IFERROR(__xludf.DUMMYFUNCTION("GOOGLETRANSLATE(B2267,""en"",""gd"")"),"lùb")</f>
        <v>lùb</v>
      </c>
    </row>
    <row r="2268" spans="1:9" ht="14.25" customHeight="1" x14ac:dyDescent="0.3">
      <c r="A2268" s="2">
        <v>2267</v>
      </c>
      <c r="B2268" s="3" t="s">
        <v>2275</v>
      </c>
      <c r="C2268" s="2" t="str">
        <f ca="1">IFERROR(__xludf.DUMMYFUNCTION("GOOGLETRANSLATE(B2268, ""en"",""es"")"),"maduro")</f>
        <v>maduro</v>
      </c>
      <c r="D2268" s="2" t="str">
        <f ca="1">IFERROR(__xludf.DUMMYFUNCTION("GOOGLETRANSLATE(B2268,""en"",""ig"")"),"kentozu")</f>
        <v>kentozu</v>
      </c>
      <c r="E2268" s="2" t="str">
        <f ca="1">IFERROR(__xludf.DUMMYFUNCTION("GOOGLETRANSLATE(B2268,""en"",""fr"")"),"mature")</f>
        <v>mature</v>
      </c>
      <c r="F2268" s="2" t="str">
        <f ca="1">IFERROR(__xludf.DUMMYFUNCTION("GOOGLETRANSLATE(B2268,""en"",""it"")"),"maturo")</f>
        <v>maturo</v>
      </c>
      <c r="G2268" s="2" t="str">
        <f ca="1">IFERROR(__xludf.DUMMYFUNCTION("GOOGLETRANSLATE(B2268,""en"",""de"")"),"reifen")</f>
        <v>reifen</v>
      </c>
      <c r="H2268" s="2" t="str">
        <f ca="1">IFERROR(__xludf.DUMMYFUNCTION("GOOGLETRANSLATE(B2268,""en"",""zh"")"),"成熟")</f>
        <v>成熟</v>
      </c>
      <c r="I2268" s="2" t="str">
        <f ca="1">IFERROR(__xludf.DUMMYFUNCTION("GOOGLETRANSLATE(B2268,""en"",""gd"")"),"aibidh")</f>
        <v>aibidh</v>
      </c>
    </row>
    <row r="2269" spans="1:9" ht="14.25" customHeight="1" x14ac:dyDescent="0.3">
      <c r="A2269" s="2">
        <v>2268</v>
      </c>
      <c r="B2269" s="3" t="s">
        <v>2276</v>
      </c>
      <c r="C2269" s="2" t="str">
        <f ca="1">IFERROR(__xludf.DUMMYFUNCTION("GOOGLETRANSLATE(B2269, ""en"",""es"")"),"brevemente")</f>
        <v>brevemente</v>
      </c>
      <c r="D2269" s="2" t="str">
        <f ca="1">IFERROR(__xludf.DUMMYFUNCTION("GOOGLETRANSLATE(B2269,""en"",""ig"")"),"na nke")</f>
        <v>na nke</v>
      </c>
      <c r="E2269" s="2" t="str">
        <f ca="1">IFERROR(__xludf.DUMMYFUNCTION("GOOGLETRANSLATE(B2269,""en"",""fr"")"),"brièvement")</f>
        <v>brièvement</v>
      </c>
      <c r="F2269" s="2" t="str">
        <f ca="1">IFERROR(__xludf.DUMMYFUNCTION("GOOGLETRANSLATE(B2269,""en"",""it"")"),"brevemente")</f>
        <v>brevemente</v>
      </c>
      <c r="G2269" s="2" t="str">
        <f ca="1">IFERROR(__xludf.DUMMYFUNCTION("GOOGLETRANSLATE(B2269,""en"",""de"")"),"knapp")</f>
        <v>knapp</v>
      </c>
      <c r="H2269" s="2" t="str">
        <f ca="1">IFERROR(__xludf.DUMMYFUNCTION("GOOGLETRANSLATE(B2269,""en"",""zh"")"),"简要地")</f>
        <v>简要地</v>
      </c>
      <c r="I2269" s="2" t="str">
        <f ca="1">IFERROR(__xludf.DUMMYFUNCTION("GOOGLETRANSLATE(B2269,""en"",""gd"")"),"greiseag")</f>
        <v>greiseag</v>
      </c>
    </row>
    <row r="2270" spans="1:9" ht="14.25" customHeight="1" x14ac:dyDescent="0.3">
      <c r="A2270" s="2">
        <v>2269</v>
      </c>
      <c r="B2270" s="3" t="s">
        <v>2277</v>
      </c>
      <c r="C2270" s="2" t="str">
        <f ca="1">IFERROR(__xludf.DUMMYFUNCTION("GOOGLETRANSLATE(B2270, ""en"",""es"")"),"alarma")</f>
        <v>alarma</v>
      </c>
      <c r="D2270" s="2" t="str">
        <f ca="1">IFERROR(__xludf.DUMMYFUNCTION("GOOGLETRANSLATE(B2270,""en"",""ig"")"),"alaam")</f>
        <v>alaam</v>
      </c>
      <c r="E2270" s="2" t="str">
        <f ca="1">IFERROR(__xludf.DUMMYFUNCTION("GOOGLETRANSLATE(B2270,""en"",""fr"")"),"alarme")</f>
        <v>alarme</v>
      </c>
      <c r="F2270" s="2" t="str">
        <f ca="1">IFERROR(__xludf.DUMMYFUNCTION("GOOGLETRANSLATE(B2270,""en"",""it"")"),"allarme")</f>
        <v>allarme</v>
      </c>
      <c r="G2270" s="2" t="str">
        <f ca="1">IFERROR(__xludf.DUMMYFUNCTION("GOOGLETRANSLATE(B2270,""en"",""de"")"),"Alarm")</f>
        <v>Alarm</v>
      </c>
      <c r="H2270" s="2" t="str">
        <f ca="1">IFERROR(__xludf.DUMMYFUNCTION("GOOGLETRANSLATE(B2270,""en"",""zh"")"),"警报")</f>
        <v>警报</v>
      </c>
      <c r="I2270" s="2" t="str">
        <f ca="1">IFERROR(__xludf.DUMMYFUNCTION("GOOGLETRANSLATE(B2270,""en"",""gd"")"),"inneal-rabhaidh")</f>
        <v>inneal-rabhaidh</v>
      </c>
    </row>
    <row r="2271" spans="1:9" ht="14.25" customHeight="1" x14ac:dyDescent="0.3">
      <c r="A2271" s="2">
        <v>2270</v>
      </c>
      <c r="B2271" s="3" t="s">
        <v>2278</v>
      </c>
      <c r="C2271" s="2" t="str">
        <f ca="1">IFERROR(__xludf.DUMMYFUNCTION("GOOGLETRANSLATE(B2271, ""en"",""es"")"),"molestar")</f>
        <v>molestar</v>
      </c>
      <c r="D2271" s="2" t="str">
        <f ca="1">IFERROR(__xludf.DUMMYFUNCTION("GOOGLETRANSLATE(B2271,""en"",""ig"")"),"isogbu")</f>
        <v>isogbu</v>
      </c>
      <c r="E2271" s="2" t="str">
        <f ca="1">IFERROR(__xludf.DUMMYFUNCTION("GOOGLETRANSLATE(B2271,""en"",""fr"")"),"déranger")</f>
        <v>déranger</v>
      </c>
      <c r="F2271" s="2" t="str">
        <f ca="1">IFERROR(__xludf.DUMMYFUNCTION("GOOGLETRANSLATE(B2271,""en"",""it"")"),"disturbare")</f>
        <v>disturbare</v>
      </c>
      <c r="G2271" s="2" t="str">
        <f ca="1">IFERROR(__xludf.DUMMYFUNCTION("GOOGLETRANSLATE(B2271,""en"",""de"")"),"stören")</f>
        <v>stören</v>
      </c>
      <c r="H2271" s="2" t="str">
        <f ca="1">IFERROR(__xludf.DUMMYFUNCTION("GOOGLETRANSLATE(B2271,""en"",""zh"")"),"打扰")</f>
        <v>打扰</v>
      </c>
      <c r="I2271" s="2" t="str">
        <f ca="1">IFERROR(__xludf.DUMMYFUNCTION("GOOGLETRANSLATE(B2271,""en"",""gd"")"),"cuir dragh air")</f>
        <v>cuir dragh air</v>
      </c>
    </row>
    <row r="2272" spans="1:9" ht="14.25" customHeight="1" x14ac:dyDescent="0.3">
      <c r="A2272" s="2">
        <v>2271</v>
      </c>
      <c r="B2272" s="3" t="s">
        <v>2279</v>
      </c>
      <c r="C2272" s="2" t="str">
        <f ca="1">IFERROR(__xludf.DUMMYFUNCTION("GOOGLETRANSLATE(B2272, ""en"",""es"")"),"sostener")</f>
        <v>sostener</v>
      </c>
      <c r="D2272" s="2" t="str">
        <f ca="1">IFERROR(__xludf.DUMMYFUNCTION("GOOGLETRANSLATE(B2272,""en"",""ig"")"),"sosten")</f>
        <v>sosten</v>
      </c>
      <c r="E2272" s="2" t="str">
        <f ca="1">IFERROR(__xludf.DUMMYFUNCTION("GOOGLETRANSLATE(B2272,""en"",""fr"")"),"soutenir")</f>
        <v>soutenir</v>
      </c>
      <c r="F2272" s="2" t="str">
        <f ca="1">IFERROR(__xludf.DUMMYFUNCTION("GOOGLETRANSLATE(B2272,""en"",""it"")"),"sostenere")</f>
        <v>sostenere</v>
      </c>
      <c r="G2272" s="2" t="str">
        <f ca="1">IFERROR(__xludf.DUMMYFUNCTION("GOOGLETRANSLATE(B2272,""en"",""de"")"),"aufrechterhalten")</f>
        <v>aufrechterhalten</v>
      </c>
      <c r="H2272" s="2" t="str">
        <f ca="1">IFERROR(__xludf.DUMMYFUNCTION("GOOGLETRANSLATE(B2272,""en"",""zh"")"),"维持")</f>
        <v>维持</v>
      </c>
      <c r="I2272" s="2" t="str">
        <f ca="1">IFERROR(__xludf.DUMMYFUNCTION("GOOGLETRANSLATE(B2272,""en"",""gd"")"),"Cùm suas")</f>
        <v>Cùm suas</v>
      </c>
    </row>
    <row r="2273" spans="1:9" ht="14.25" customHeight="1" x14ac:dyDescent="0.3">
      <c r="A2273" s="2">
        <v>2272</v>
      </c>
      <c r="B2273" s="3" t="s">
        <v>2280</v>
      </c>
      <c r="C2273" s="2" t="str">
        <f ca="1">IFERROR(__xludf.DUMMYFUNCTION("GOOGLETRANSLATE(B2273, ""en"",""es"")"),"inundación")</f>
        <v>inundación</v>
      </c>
      <c r="D2273" s="2" t="str">
        <f ca="1">IFERROR(__xludf.DUMMYFUNCTION("GOOGLETRANSLATE(B2273,""en"",""ig"")"),"mmiri otutu")</f>
        <v>mmiri otutu</v>
      </c>
      <c r="E2273" s="2" t="str">
        <f ca="1">IFERROR(__xludf.DUMMYFUNCTION("GOOGLETRANSLATE(B2273,""en"",""fr"")"),"inondation")</f>
        <v>inondation</v>
      </c>
      <c r="F2273" s="2" t="str">
        <f ca="1">IFERROR(__xludf.DUMMYFUNCTION("GOOGLETRANSLATE(B2273,""en"",""it"")"),"alluvione")</f>
        <v>alluvione</v>
      </c>
      <c r="G2273" s="2" t="str">
        <f ca="1">IFERROR(__xludf.DUMMYFUNCTION("GOOGLETRANSLATE(B2273,""en"",""de"")"),"Flut")</f>
        <v>Flut</v>
      </c>
      <c r="H2273" s="2" t="str">
        <f ca="1">IFERROR(__xludf.DUMMYFUNCTION("GOOGLETRANSLATE(B2273,""en"",""zh"")"),"洪水")</f>
        <v>洪水</v>
      </c>
      <c r="I2273" s="2" t="str">
        <f ca="1">IFERROR(__xludf.DUMMYFUNCTION("GOOGLETRANSLATE(B2273,""en"",""gd"")"),"Tuil")</f>
        <v>Tuil</v>
      </c>
    </row>
    <row r="2274" spans="1:9" ht="14.25" customHeight="1" x14ac:dyDescent="0.3">
      <c r="A2274" s="2">
        <v>2273</v>
      </c>
      <c r="B2274" s="3" t="s">
        <v>2281</v>
      </c>
      <c r="C2274" s="2" t="str">
        <f ca="1">IFERROR(__xludf.DUMMYFUNCTION("GOOGLETRANSLATE(B2274, ""en"",""es"")"),"pobreza")</f>
        <v>pobreza</v>
      </c>
      <c r="D2274" s="2" t="str">
        <f ca="1">IFERROR(__xludf.DUMMYFUNCTION("GOOGLETRANSLATE(B2274,""en"",""ig"")"),"mgbenyi")</f>
        <v>mgbenyi</v>
      </c>
      <c r="E2274" s="2" t="str">
        <f ca="1">IFERROR(__xludf.DUMMYFUNCTION("GOOGLETRANSLATE(B2274,""en"",""fr"")"),"pauvreté")</f>
        <v>pauvreté</v>
      </c>
      <c r="F2274" s="2" t="str">
        <f ca="1">IFERROR(__xludf.DUMMYFUNCTION("GOOGLETRANSLATE(B2274,""en"",""it"")"),"povertà")</f>
        <v>povertà</v>
      </c>
      <c r="G2274" s="2" t="str">
        <f ca="1">IFERROR(__xludf.DUMMYFUNCTION("GOOGLETRANSLATE(B2274,""en"",""de"")"),"Armut")</f>
        <v>Armut</v>
      </c>
      <c r="H2274" s="2" t="str">
        <f ca="1">IFERROR(__xludf.DUMMYFUNCTION("GOOGLETRANSLATE(B2274,""en"",""zh"")"),"贫困")</f>
        <v>贫困</v>
      </c>
      <c r="I2274" s="2" t="str">
        <f ca="1">IFERROR(__xludf.DUMMYFUNCTION("GOOGLETRANSLATE(B2274,""en"",""gd"")"),"Bochdainn")</f>
        <v>Bochdainn</v>
      </c>
    </row>
    <row r="2275" spans="1:9" ht="14.25" customHeight="1" x14ac:dyDescent="0.3">
      <c r="A2275" s="2">
        <v>2274</v>
      </c>
      <c r="B2275" s="3" t="s">
        <v>2282</v>
      </c>
      <c r="C2275" s="2" t="str">
        <f ca="1">IFERROR(__xludf.DUMMYFUNCTION("GOOGLETRANSLATE(B2275, ""en"",""es"")"),"loco")</f>
        <v>loco</v>
      </c>
      <c r="D2275" s="2" t="str">
        <f ca="1">IFERROR(__xludf.DUMMYFUNCTION("GOOGLETRANSLATE(B2275,""en"",""ig"")"),"keara")</f>
        <v>keara</v>
      </c>
      <c r="E2275" s="2" t="str">
        <f ca="1">IFERROR(__xludf.DUMMYFUNCTION("GOOGLETRANSLATE(B2275,""en"",""fr"")"),"fou")</f>
        <v>fou</v>
      </c>
      <c r="F2275" s="2" t="str">
        <f ca="1">IFERROR(__xludf.DUMMYFUNCTION("GOOGLETRANSLATE(B2275,""en"",""it"")"),"pazzo")</f>
        <v>pazzo</v>
      </c>
      <c r="G2275" s="2" t="str">
        <f ca="1">IFERROR(__xludf.DUMMYFUNCTION("GOOGLETRANSLATE(B2275,""en"",""de"")"),"verrückt")</f>
        <v>verrückt</v>
      </c>
      <c r="H2275" s="2" t="str">
        <f ca="1">IFERROR(__xludf.DUMMYFUNCTION("GOOGLETRANSLATE(B2275,""en"",""zh"")"),"疯狂的")</f>
        <v>疯狂的</v>
      </c>
      <c r="I2275" s="2" t="str">
        <f ca="1">IFERROR(__xludf.DUMMYFUNCTION("GOOGLETRANSLATE(B2275,""en"",""gd"")"),"seòlta")</f>
        <v>seòlta</v>
      </c>
    </row>
    <row r="2276" spans="1:9" ht="14.25" customHeight="1" x14ac:dyDescent="0.3">
      <c r="A2276" s="2">
        <v>2275</v>
      </c>
      <c r="B2276" s="3" t="s">
        <v>2283</v>
      </c>
      <c r="C2276" s="2" t="str">
        <f ca="1">IFERROR(__xludf.DUMMYFUNCTION("GOOGLETRANSLATE(B2276, ""en"",""es"")"),"citar")</f>
        <v>citar</v>
      </c>
      <c r="D2276" s="2" t="str">
        <f ca="1">IFERROR(__xludf.DUMMYFUNCTION("GOOGLETRANSLATE(B2276,""en"",""ig"")"),"ikpoputa")</f>
        <v>ikpoputa</v>
      </c>
      <c r="E2276" s="2" t="str">
        <f ca="1">IFERROR(__xludf.DUMMYFUNCTION("GOOGLETRANSLATE(B2276,""en"",""fr"")"),"citer")</f>
        <v>citer</v>
      </c>
      <c r="F2276" s="2" t="str">
        <f ca="1">IFERROR(__xludf.DUMMYFUNCTION("GOOGLETRANSLATE(B2276,""en"",""it"")"),"citare")</f>
        <v>citare</v>
      </c>
      <c r="G2276" s="2" t="str">
        <f ca="1">IFERROR(__xludf.DUMMYFUNCTION("GOOGLETRANSLATE(B2276,""en"",""de"")"),"zitieren")</f>
        <v>zitieren</v>
      </c>
      <c r="H2276" s="2" t="str">
        <f ca="1">IFERROR(__xludf.DUMMYFUNCTION("GOOGLETRANSLATE(B2276,""en"",""zh"")"),"引用")</f>
        <v>引用</v>
      </c>
      <c r="I2276" s="2" t="str">
        <f ca="1">IFERROR(__xludf.DUMMYFUNCTION("GOOGLETRANSLATE(B2276,""en"",""gd"")"),"Thoir luaidh")</f>
        <v>Thoir luaidh</v>
      </c>
    </row>
    <row r="2277" spans="1:9" ht="14.25" customHeight="1" x14ac:dyDescent="0.3">
      <c r="A2277" s="2">
        <v>2276</v>
      </c>
      <c r="B2277" s="3" t="s">
        <v>2284</v>
      </c>
      <c r="C2277" s="2" t="str">
        <f ca="1">IFERROR(__xludf.DUMMYFUNCTION("GOOGLETRANSLATE(B2277, ""en"",""es"")"),"recién")</f>
        <v>recién</v>
      </c>
      <c r="D2277" s="2" t="str">
        <f ca="1">IFERROR(__xludf.DUMMYFUNCTION("GOOGLETRANSLATE(B2277,""en"",""ig"")"),"ohuru")</f>
        <v>ohuru</v>
      </c>
      <c r="E2277" s="2" t="str">
        <f ca="1">IFERROR(__xludf.DUMMYFUNCTION("GOOGLETRANSLATE(B2277,""en"",""fr"")"),"nouvellement")</f>
        <v>nouvellement</v>
      </c>
      <c r="F2277" s="2" t="str">
        <f ca="1">IFERROR(__xludf.DUMMYFUNCTION("GOOGLETRANSLATE(B2277,""en"",""it"")"),"recentemente")</f>
        <v>recentemente</v>
      </c>
      <c r="G2277" s="2" t="str">
        <f ca="1">IFERROR(__xludf.DUMMYFUNCTION("GOOGLETRANSLATE(B2277,""en"",""de"")"),"neu")</f>
        <v>neu</v>
      </c>
      <c r="H2277" s="2" t="str">
        <f ca="1">IFERROR(__xludf.DUMMYFUNCTION("GOOGLETRANSLATE(B2277,""en"",""zh"")"),"新")</f>
        <v>新</v>
      </c>
      <c r="I2277" s="2" t="str">
        <f ca="1">IFERROR(__xludf.DUMMYFUNCTION("GOOGLETRANSLATE(B2277,""en"",""gd"")"),"Newly")</f>
        <v>Newly</v>
      </c>
    </row>
    <row r="2278" spans="1:9" ht="14.25" customHeight="1" x14ac:dyDescent="0.3">
      <c r="A2278" s="2">
        <v>2277</v>
      </c>
      <c r="B2278" s="3" t="s">
        <v>2285</v>
      </c>
      <c r="C2278" s="2" t="str">
        <f ca="1">IFERROR(__xludf.DUMMYFUNCTION("GOOGLETRANSLATE(B2278, ""en"",""es"")"),"paralelo")</f>
        <v>paralelo</v>
      </c>
      <c r="D2278" s="2" t="str">
        <f ca="1">IFERROR(__xludf.DUMMYFUNCTION("GOOGLETRANSLATE(B2278,""en"",""ig"")"),"paraleli")</f>
        <v>paraleli</v>
      </c>
      <c r="E2278" s="2" t="str">
        <f ca="1">IFERROR(__xludf.DUMMYFUNCTION("GOOGLETRANSLATE(B2278,""en"",""fr"")"),"parallèle")</f>
        <v>parallèle</v>
      </c>
      <c r="F2278" s="2" t="str">
        <f ca="1">IFERROR(__xludf.DUMMYFUNCTION("GOOGLETRANSLATE(B2278,""en"",""it"")"),"parallelo")</f>
        <v>parallelo</v>
      </c>
      <c r="G2278" s="2" t="str">
        <f ca="1">IFERROR(__xludf.DUMMYFUNCTION("GOOGLETRANSLATE(B2278,""en"",""de"")"),"parallel")</f>
        <v>parallel</v>
      </c>
      <c r="H2278" s="2" t="str">
        <f ca="1">IFERROR(__xludf.DUMMYFUNCTION("GOOGLETRANSLATE(B2278,""en"",""zh"")"),"平行线")</f>
        <v>平行线</v>
      </c>
      <c r="I2278" s="2" t="str">
        <f ca="1">IFERROR(__xludf.DUMMYFUNCTION("GOOGLETRANSLATE(B2278,""en"",""gd"")"),"co-shìnte")</f>
        <v>co-shìnte</v>
      </c>
    </row>
    <row r="2279" spans="1:9" ht="14.25" customHeight="1" x14ac:dyDescent="0.3">
      <c r="A2279" s="2">
        <v>2278</v>
      </c>
      <c r="B2279" s="3" t="s">
        <v>2286</v>
      </c>
      <c r="C2279" s="2" t="str">
        <f ca="1">IFERROR(__xludf.DUMMYFUNCTION("GOOGLETRANSLATE(B2279, ""en"",""es"")"),"género")</f>
        <v>género</v>
      </c>
      <c r="D2279" s="2" t="str">
        <f ca="1">IFERROR(__xludf.DUMMYFUNCTION("GOOGLETRANSLATE(B2279,""en"",""ig"")"),"okike nwoke")</f>
        <v>okike nwoke</v>
      </c>
      <c r="E2279" s="2" t="str">
        <f ca="1">IFERROR(__xludf.DUMMYFUNCTION("GOOGLETRANSLATE(B2279,""en"",""fr"")"),"genre")</f>
        <v>genre</v>
      </c>
      <c r="F2279" s="2" t="str">
        <f ca="1">IFERROR(__xludf.DUMMYFUNCTION("GOOGLETRANSLATE(B2279,""en"",""it"")"),"genere")</f>
        <v>genere</v>
      </c>
      <c r="G2279" s="2" t="str">
        <f ca="1">IFERROR(__xludf.DUMMYFUNCTION("GOOGLETRANSLATE(B2279,""en"",""de"")"),"Geschlecht")</f>
        <v>Geschlecht</v>
      </c>
      <c r="H2279" s="2" t="str">
        <f ca="1">IFERROR(__xludf.DUMMYFUNCTION("GOOGLETRANSLATE(B2279,""en"",""zh"")"),"性别")</f>
        <v>性别</v>
      </c>
      <c r="I2279" s="2" t="str">
        <f ca="1">IFERROR(__xludf.DUMMYFUNCTION("GOOGLETRANSLATE(B2279,""en"",""gd"")"),"gnè")</f>
        <v>gnè</v>
      </c>
    </row>
    <row r="2280" spans="1:9" ht="14.25" customHeight="1" x14ac:dyDescent="0.3">
      <c r="A2280" s="2">
        <v>2279</v>
      </c>
      <c r="B2280" s="3" t="s">
        <v>2287</v>
      </c>
      <c r="C2280" s="2" t="str">
        <f ca="1">IFERROR(__xludf.DUMMYFUNCTION("GOOGLETRANSLATE(B2280, ""en"",""es"")"),"patrocinador")</f>
        <v>patrocinador</v>
      </c>
      <c r="D2280" s="2" t="str">
        <f ca="1">IFERROR(__xludf.DUMMYFUNCTION("GOOGLETRANSLATE(B2280,""en"",""ig"")"),"sponso")</f>
        <v>sponso</v>
      </c>
      <c r="E2280" s="2" t="str">
        <f ca="1">IFERROR(__xludf.DUMMYFUNCTION("GOOGLETRANSLATE(B2280,""en"",""fr"")"),"parrainer")</f>
        <v>parrainer</v>
      </c>
      <c r="F2280" s="2" t="str">
        <f ca="1">IFERROR(__xludf.DUMMYFUNCTION("GOOGLETRANSLATE(B2280,""en"",""it"")"),"sponsor")</f>
        <v>sponsor</v>
      </c>
      <c r="G2280" s="2" t="str">
        <f ca="1">IFERROR(__xludf.DUMMYFUNCTION("GOOGLETRANSLATE(B2280,""en"",""de"")"),"Sponsor")</f>
        <v>Sponsor</v>
      </c>
      <c r="H2280" s="2" t="str">
        <f ca="1">IFERROR(__xludf.DUMMYFUNCTION("GOOGLETRANSLATE(B2280,""en"",""zh"")"),"赞助")</f>
        <v>赞助</v>
      </c>
      <c r="I2280" s="2" t="str">
        <f ca="1">IFERROR(__xludf.DUMMYFUNCTION("GOOGLETRANSLATE(B2280,""en"",""gd"")"),"Neach-taic")</f>
        <v>Neach-taic</v>
      </c>
    </row>
    <row r="2281" spans="1:9" ht="14.25" customHeight="1" x14ac:dyDescent="0.3">
      <c r="A2281" s="2">
        <v>2280</v>
      </c>
      <c r="B2281" s="3" t="s">
        <v>2288</v>
      </c>
      <c r="C2281" s="2" t="str">
        <f ca="1">IFERROR(__xludf.DUMMYFUNCTION("GOOGLETRANSLATE(B2281, ""en"",""es"")"),"bota")</f>
        <v>bota</v>
      </c>
      <c r="D2281" s="2" t="str">
        <f ca="1">IFERROR(__xludf.DUMMYFUNCTION("GOOGLETRANSLATE(B2281,""en"",""ig"")"),"buutu moto")</f>
        <v>buutu moto</v>
      </c>
      <c r="E2281" s="2" t="str">
        <f ca="1">IFERROR(__xludf.DUMMYFUNCTION("GOOGLETRANSLATE(B2281,""en"",""fr"")"),"botte")</f>
        <v>botte</v>
      </c>
      <c r="F2281" s="2" t="str">
        <f ca="1">IFERROR(__xludf.DUMMYFUNCTION("GOOGLETRANSLATE(B2281,""en"",""it"")"),"stivale")</f>
        <v>stivale</v>
      </c>
      <c r="G2281" s="2" t="str">
        <f ca="1">IFERROR(__xludf.DUMMYFUNCTION("GOOGLETRANSLATE(B2281,""en"",""de"")"),"Stiefel")</f>
        <v>Stiefel</v>
      </c>
      <c r="H2281" s="2" t="str">
        <f ca="1">IFERROR(__xludf.DUMMYFUNCTION("GOOGLETRANSLATE(B2281,""en"",""zh"")"),"引导")</f>
        <v>引导</v>
      </c>
      <c r="I2281" s="2" t="str">
        <f ca="1">IFERROR(__xludf.DUMMYFUNCTION("GOOGLETRANSLATE(B2281,""en"",""gd"")"),"bròg")</f>
        <v>bròg</v>
      </c>
    </row>
    <row r="2282" spans="1:9" ht="14.25" customHeight="1" x14ac:dyDescent="0.3">
      <c r="A2282" s="2">
        <v>2281</v>
      </c>
      <c r="B2282" s="3" t="s">
        <v>2289</v>
      </c>
      <c r="C2282" s="2" t="str">
        <f ca="1">IFERROR(__xludf.DUMMYFUNCTION("GOOGLETRANSLATE(B2282, ""en"",""es"")"),"preciso")</f>
        <v>preciso</v>
      </c>
      <c r="D2282" s="2" t="str">
        <f ca="1">IFERROR(__xludf.DUMMYFUNCTION("GOOGLETRANSLATE(B2282,""en"",""ig"")"),"kekpomkwem")</f>
        <v>kekpomkwem</v>
      </c>
      <c r="E2282" s="2" t="str">
        <f ca="1">IFERROR(__xludf.DUMMYFUNCTION("GOOGLETRANSLATE(B2282,""en"",""fr"")"),"précis")</f>
        <v>précis</v>
      </c>
      <c r="F2282" s="2" t="str">
        <f ca="1">IFERROR(__xludf.DUMMYFUNCTION("GOOGLETRANSLATE(B2282,""en"",""it"")"),"accurato")</f>
        <v>accurato</v>
      </c>
      <c r="G2282" s="2" t="str">
        <f ca="1">IFERROR(__xludf.DUMMYFUNCTION("GOOGLETRANSLATE(B2282,""en"",""de"")"),"genau")</f>
        <v>genau</v>
      </c>
      <c r="H2282" s="2" t="str">
        <f ca="1">IFERROR(__xludf.DUMMYFUNCTION("GOOGLETRANSLATE(B2282,""en"",""zh"")"),"准确的")</f>
        <v>准确的</v>
      </c>
      <c r="I2282" s="2" t="str">
        <f ca="1">IFERROR(__xludf.DUMMYFUNCTION("GOOGLETRANSLATE(B2282,""en"",""gd"")"),"ceart")</f>
        <v>ceart</v>
      </c>
    </row>
    <row r="2283" spans="1:9" ht="14.25" customHeight="1" x14ac:dyDescent="0.3">
      <c r="A2283" s="2">
        <v>2282</v>
      </c>
      <c r="B2283" s="3" t="s">
        <v>2290</v>
      </c>
      <c r="C2283" s="2" t="str">
        <f ca="1">IFERROR(__xludf.DUMMYFUNCTION("GOOGLETRANSLATE(B2283, ""en"",""es"")"),"distribuidor")</f>
        <v>distribuidor</v>
      </c>
      <c r="D2283" s="2" t="str">
        <f ca="1">IFERROR(__xludf.DUMMYFUNCTION("GOOGLETRANSLATE(B2283,""en"",""ig"")"),"ahia")</f>
        <v>ahia</v>
      </c>
      <c r="E2283" s="2" t="str">
        <f ca="1">IFERROR(__xludf.DUMMYFUNCTION("GOOGLETRANSLATE(B2283,""en"",""fr"")"),"Marchand")</f>
        <v>Marchand</v>
      </c>
      <c r="F2283" s="2" t="str">
        <f ca="1">IFERROR(__xludf.DUMMYFUNCTION("GOOGLETRANSLATE(B2283,""en"",""it"")"),"rivenditore")</f>
        <v>rivenditore</v>
      </c>
      <c r="G2283" s="2" t="str">
        <f ca="1">IFERROR(__xludf.DUMMYFUNCTION("GOOGLETRANSLATE(B2283,""en"",""de"")"),"Händler")</f>
        <v>Händler</v>
      </c>
      <c r="H2283" s="2" t="str">
        <f ca="1">IFERROR(__xludf.DUMMYFUNCTION("GOOGLETRANSLATE(B2283,""en"",""zh"")"),"经销商")</f>
        <v>经销商</v>
      </c>
      <c r="I2283" s="2" t="str">
        <f ca="1">IFERROR(__xludf.DUMMYFUNCTION("GOOGLETRANSLATE(B2283,""en"",""gd"")"),"Neach-reic")</f>
        <v>Neach-reic</v>
      </c>
    </row>
    <row r="2284" spans="1:9" ht="14.25" customHeight="1" x14ac:dyDescent="0.3">
      <c r="A2284" s="2">
        <v>2283</v>
      </c>
      <c r="B2284" s="3" t="s">
        <v>2291</v>
      </c>
      <c r="C2284" s="2" t="str">
        <f ca="1">IFERROR(__xludf.DUMMYFUNCTION("GOOGLETRANSLATE(B2284, ""en"",""es"")"),"botón")</f>
        <v>botón</v>
      </c>
      <c r="D2284" s="2" t="str">
        <f ca="1">IFERROR(__xludf.DUMMYFUNCTION("GOOGLETRANSLATE(B2284,""en"",""ig"")"),"mkpochi efe")</f>
        <v>mkpochi efe</v>
      </c>
      <c r="E2284" s="2" t="str">
        <f ca="1">IFERROR(__xludf.DUMMYFUNCTION("GOOGLETRANSLATE(B2284,""en"",""fr"")"),"bouton")</f>
        <v>bouton</v>
      </c>
      <c r="F2284" s="2" t="str">
        <f ca="1">IFERROR(__xludf.DUMMYFUNCTION("GOOGLETRANSLATE(B2284,""en"",""it"")"),"pulsante")</f>
        <v>pulsante</v>
      </c>
      <c r="G2284" s="2" t="str">
        <f ca="1">IFERROR(__xludf.DUMMYFUNCTION("GOOGLETRANSLATE(B2284,""en"",""de"")"),"Taste")</f>
        <v>Taste</v>
      </c>
      <c r="H2284" s="2" t="str">
        <f ca="1">IFERROR(__xludf.DUMMYFUNCTION("GOOGLETRANSLATE(B2284,""en"",""zh"")"),"按钮")</f>
        <v>按钮</v>
      </c>
      <c r="I2284" s="2" t="str">
        <f ca="1">IFERROR(__xludf.DUMMYFUNCTION("GOOGLETRANSLATE(B2284,""en"",""gd"")"),"putan")</f>
        <v>putan</v>
      </c>
    </row>
    <row r="2285" spans="1:9" ht="14.25" customHeight="1" x14ac:dyDescent="0.3">
      <c r="A2285" s="2">
        <v>2284</v>
      </c>
      <c r="B2285" s="3" t="s">
        <v>2292</v>
      </c>
      <c r="C2285" s="2" t="str">
        <f ca="1">IFERROR(__xludf.DUMMYFUNCTION("GOOGLETRANSLATE(B2285, ""en"",""es"")"),"carga")</f>
        <v>carga</v>
      </c>
      <c r="D2285" s="2" t="str">
        <f ca="1">IFERROR(__xludf.DUMMYFUNCTION("GOOGLETRANSLATE(B2285,""en"",""ig"")"),"nsogbu")</f>
        <v>nsogbu</v>
      </c>
      <c r="E2285" s="2" t="str">
        <f ca="1">IFERROR(__xludf.DUMMYFUNCTION("GOOGLETRANSLATE(B2285,""en"",""fr"")"),"fardeau")</f>
        <v>fardeau</v>
      </c>
      <c r="F2285" s="2" t="str">
        <f ca="1">IFERROR(__xludf.DUMMYFUNCTION("GOOGLETRANSLATE(B2285,""en"",""it"")"),"fardello")</f>
        <v>fardello</v>
      </c>
      <c r="G2285" s="2" t="str">
        <f ca="1">IFERROR(__xludf.DUMMYFUNCTION("GOOGLETRANSLATE(B2285,""en"",""de"")"),"Last")</f>
        <v>Last</v>
      </c>
      <c r="H2285" s="2" t="str">
        <f ca="1">IFERROR(__xludf.DUMMYFUNCTION("GOOGLETRANSLATE(B2285,""en"",""zh"")"),"负担")</f>
        <v>负担</v>
      </c>
      <c r="I2285" s="2" t="str">
        <f ca="1">IFERROR(__xludf.DUMMYFUNCTION("GOOGLETRANSLATE(B2285,""en"",""gd"")"),"eallach")</f>
        <v>eallach</v>
      </c>
    </row>
    <row r="2286" spans="1:9" ht="14.25" customHeight="1" x14ac:dyDescent="0.3">
      <c r="A2286" s="2">
        <v>2285</v>
      </c>
      <c r="B2286" s="3" t="s">
        <v>2293</v>
      </c>
      <c r="C2286" s="2" t="str">
        <f ca="1">IFERROR(__xludf.DUMMYFUNCTION("GOOGLETRANSLATE(B2286, ""en"",""es"")"),"desierto")</f>
        <v>desierto</v>
      </c>
      <c r="D2286" s="2" t="str">
        <f ca="1">IFERROR(__xludf.DUMMYFUNCTION("GOOGLETRANSLATE(B2286,""en"",""ig"")"),"ikpa")</f>
        <v>ikpa</v>
      </c>
      <c r="E2286" s="2" t="str">
        <f ca="1">IFERROR(__xludf.DUMMYFUNCTION("GOOGLETRANSLATE(B2286,""en"",""fr"")"),"désert")</f>
        <v>désert</v>
      </c>
      <c r="F2286" s="2" t="str">
        <f ca="1">IFERROR(__xludf.DUMMYFUNCTION("GOOGLETRANSLATE(B2286,""en"",""it"")"),"deserto")</f>
        <v>deserto</v>
      </c>
      <c r="G2286" s="2" t="str">
        <f ca="1">IFERROR(__xludf.DUMMYFUNCTION("GOOGLETRANSLATE(B2286,""en"",""de"")"),"Wüste")</f>
        <v>Wüste</v>
      </c>
      <c r="H2286" s="2" t="str">
        <f ca="1">IFERROR(__xludf.DUMMYFUNCTION("GOOGLETRANSLATE(B2286,""en"",""zh"")"),"沙漠")</f>
        <v>沙漠</v>
      </c>
      <c r="I2286" s="2" t="str">
        <f ca="1">IFERROR(__xludf.DUMMYFUNCTION("GOOGLETRANSLATE(B2286,""en"",""gd"")"),"fàsach")</f>
        <v>fàsach</v>
      </c>
    </row>
    <row r="2287" spans="1:9" ht="14.25" customHeight="1" x14ac:dyDescent="0.3">
      <c r="A2287" s="2">
        <v>2286</v>
      </c>
      <c r="B2287" s="3" t="s">
        <v>2294</v>
      </c>
      <c r="C2287" s="2" t="str">
        <f ca="1">IFERROR(__xludf.DUMMYFUNCTION("GOOGLETRANSLATE(B2287, ""en"",""es"")"),"compañero")</f>
        <v>compañero</v>
      </c>
      <c r="D2287" s="2" t="str">
        <f ca="1">IFERROR(__xludf.DUMMYFUNCTION("GOOGLETRANSLATE(B2287,""en"",""ig"")"),"di ma obu nwunye")</f>
        <v>di ma obu nwunye</v>
      </c>
      <c r="E2287" s="2" t="str">
        <f ca="1">IFERROR(__xludf.DUMMYFUNCTION("GOOGLETRANSLATE(B2287,""en"",""fr"")"),"copain")</f>
        <v>copain</v>
      </c>
      <c r="F2287" s="2" t="str">
        <f ca="1">IFERROR(__xludf.DUMMYFUNCTION("GOOGLETRANSLATE(B2287,""en"",""it"")"),"compagno")</f>
        <v>compagno</v>
      </c>
      <c r="G2287" s="2" t="str">
        <f ca="1">IFERROR(__xludf.DUMMYFUNCTION("GOOGLETRANSLATE(B2287,""en"",""de"")"),"Kumpel")</f>
        <v>Kumpel</v>
      </c>
      <c r="H2287" s="2" t="str">
        <f ca="1">IFERROR(__xludf.DUMMYFUNCTION("GOOGLETRANSLATE(B2287,""en"",""zh"")"),"伴侣")</f>
        <v>伴侣</v>
      </c>
      <c r="I2287" s="2" t="str">
        <f ca="1">IFERROR(__xludf.DUMMYFUNCTION("GOOGLETRANSLATE(B2287,""en"",""gd"")"),"companach")</f>
        <v>companach</v>
      </c>
    </row>
    <row r="2288" spans="1:9" ht="14.25" customHeight="1" x14ac:dyDescent="0.3">
      <c r="A2288" s="2">
        <v>2287</v>
      </c>
      <c r="B2288" s="3" t="s">
        <v>2295</v>
      </c>
      <c r="C2288" s="2" t="str">
        <f ca="1">IFERROR(__xludf.DUMMYFUNCTION("GOOGLETRANSLATE(B2288, ""en"",""es"")"),"ocasionalmente")</f>
        <v>ocasionalmente</v>
      </c>
      <c r="D2288" s="2" t="str">
        <f ca="1">IFERROR(__xludf.DUMMYFUNCTION("GOOGLETRANSLATE(B2288,""en"",""ig"")"),"mgbeufodu")</f>
        <v>mgbeufodu</v>
      </c>
      <c r="E2288" s="2" t="str">
        <f ca="1">IFERROR(__xludf.DUMMYFUNCTION("GOOGLETRANSLATE(B2288,""en"",""fr"")"),"occasionnellement")</f>
        <v>occasionnellement</v>
      </c>
      <c r="F2288" s="2" t="str">
        <f ca="1">IFERROR(__xludf.DUMMYFUNCTION("GOOGLETRANSLATE(B2288,""en"",""it"")"),"di tanto in tanto")</f>
        <v>di tanto in tanto</v>
      </c>
      <c r="G2288" s="2" t="str">
        <f ca="1">IFERROR(__xludf.DUMMYFUNCTION("GOOGLETRANSLATE(B2288,""en"",""de"")"),"gelegentlich")</f>
        <v>gelegentlich</v>
      </c>
      <c r="H2288" s="2" t="str">
        <f ca="1">IFERROR(__xludf.DUMMYFUNCTION("GOOGLETRANSLATE(B2288,""en"",""zh"")"),"偶尔")</f>
        <v>偶尔</v>
      </c>
      <c r="I2288" s="2" t="str">
        <f ca="1">IFERROR(__xludf.DUMMYFUNCTION("GOOGLETRANSLATE(B2288,""en"",""gd"")"),"bho àm gu àm")</f>
        <v>bho àm gu àm</v>
      </c>
    </row>
    <row r="2289" spans="1:9" ht="14.25" customHeight="1" x14ac:dyDescent="0.3">
      <c r="A2289" s="2">
        <v>2288</v>
      </c>
      <c r="B2289" s="3" t="s">
        <v>2296</v>
      </c>
      <c r="C2289" s="2" t="str">
        <f ca="1">IFERROR(__xludf.DUMMYFUNCTION("GOOGLETRANSLATE(B2289, ""en"",""es"")"),"accionista")</f>
        <v>accionista</v>
      </c>
      <c r="D2289" s="2" t="str">
        <f ca="1">IFERROR(__xludf.DUMMYFUNCTION("GOOGLETRANSLATE(B2289,""en"",""ig"")"),"onyenwereoke")</f>
        <v>onyenwereoke</v>
      </c>
      <c r="E2289" s="2" t="str">
        <f ca="1">IFERROR(__xludf.DUMMYFUNCTION("GOOGLETRANSLATE(B2289,""en"",""fr"")"),"actionnaire")</f>
        <v>actionnaire</v>
      </c>
      <c r="F2289" s="2" t="str">
        <f ca="1">IFERROR(__xludf.DUMMYFUNCTION("GOOGLETRANSLATE(B2289,""en"",""it"")"),"azionista")</f>
        <v>azionista</v>
      </c>
      <c r="G2289" s="2" t="str">
        <f ca="1">IFERROR(__xludf.DUMMYFUNCTION("GOOGLETRANSLATE(B2289,""en"",""de"")"),"Aktionär")</f>
        <v>Aktionär</v>
      </c>
      <c r="H2289" s="2" t="str">
        <f ca="1">IFERROR(__xludf.DUMMYFUNCTION("GOOGLETRANSLATE(B2289,""en"",""zh"")"),"股东")</f>
        <v>股东</v>
      </c>
      <c r="I2289" s="2" t="str">
        <f ca="1">IFERROR(__xludf.DUMMYFUNCTION("GOOGLETRANSLATE(B2289,""en"",""gd"")"),"Neach-earrannan")</f>
        <v>Neach-earrannan</v>
      </c>
    </row>
    <row r="2290" spans="1:9" ht="14.25" customHeight="1" x14ac:dyDescent="0.3">
      <c r="A2290" s="2">
        <v>2289</v>
      </c>
      <c r="B2290" s="3" t="s">
        <v>2297</v>
      </c>
      <c r="C2290" s="2" t="str">
        <f ca="1">IFERROR(__xludf.DUMMYFUNCTION("GOOGLETRANSLATE(B2290, ""en"",""es"")"),"bol")</f>
        <v>bol</v>
      </c>
      <c r="D2290" s="2" t="str">
        <f ca="1">IFERROR(__xludf.DUMMYFUNCTION("GOOGLETRANSLATE(B2290,""en"",""ig"")"),"nnukwu efere")</f>
        <v>nnukwu efere</v>
      </c>
      <c r="E2290" s="2" t="str">
        <f ca="1">IFERROR(__xludf.DUMMYFUNCTION("GOOGLETRANSLATE(B2290,""en"",""fr"")"),"bol")</f>
        <v>bol</v>
      </c>
      <c r="F2290" s="2" t="str">
        <f ca="1">IFERROR(__xludf.DUMMYFUNCTION("GOOGLETRANSLATE(B2290,""en"",""it"")"),"ciotola")</f>
        <v>ciotola</v>
      </c>
      <c r="G2290" s="2" t="str">
        <f ca="1">IFERROR(__xludf.DUMMYFUNCTION("GOOGLETRANSLATE(B2290,""en"",""de"")"),"Schüssel")</f>
        <v>Schüssel</v>
      </c>
      <c r="H2290" s="2" t="str">
        <f ca="1">IFERROR(__xludf.DUMMYFUNCTION("GOOGLETRANSLATE(B2290,""en"",""zh"")"),"碗")</f>
        <v>碗</v>
      </c>
      <c r="I2290" s="2" t="str">
        <f ca="1">IFERROR(__xludf.DUMMYFUNCTION("GOOGLETRANSLATE(B2290,""en"",""gd"")"),"bobhla")</f>
        <v>bobhla</v>
      </c>
    </row>
    <row r="2291" spans="1:9" ht="14.25" customHeight="1" x14ac:dyDescent="0.3">
      <c r="A2291" s="2">
        <v>2290</v>
      </c>
      <c r="B2291" s="3" t="s">
        <v>2298</v>
      </c>
      <c r="C2291" s="2" t="str">
        <f ca="1">IFERROR(__xludf.DUMMYFUNCTION("GOOGLETRANSLATE(B2291, ""en"",""es"")"),"descubrimiento")</f>
        <v>descubrimiento</v>
      </c>
      <c r="D2291" s="2" t="str">
        <f ca="1">IFERROR(__xludf.DUMMYFUNCTION("GOOGLETRANSLATE(B2291,""en"",""ig"")"),"mchoputa")</f>
        <v>mchoputa</v>
      </c>
      <c r="E2291" s="2" t="str">
        <f ca="1">IFERROR(__xludf.DUMMYFUNCTION("GOOGLETRANSLATE(B2291,""en"",""fr"")"),"Découverte")</f>
        <v>Découverte</v>
      </c>
      <c r="F2291" s="2" t="str">
        <f ca="1">IFERROR(__xludf.DUMMYFUNCTION("GOOGLETRANSLATE(B2291,""en"",""it"")"),"scoperta")</f>
        <v>scoperta</v>
      </c>
      <c r="G2291" s="2" t="str">
        <f ca="1">IFERROR(__xludf.DUMMYFUNCTION("GOOGLETRANSLATE(B2291,""en"",""de"")"),"Entdeckung")</f>
        <v>Entdeckung</v>
      </c>
      <c r="H2291" s="2" t="str">
        <f ca="1">IFERROR(__xludf.DUMMYFUNCTION("GOOGLETRANSLATE(B2291,""en"",""zh"")"),"发现")</f>
        <v>发现</v>
      </c>
      <c r="I2291" s="2" t="str">
        <f ca="1">IFERROR(__xludf.DUMMYFUNCTION("GOOGLETRANSLATE(B2291,""en"",""gd"")"),"Lorg")</f>
        <v>Lorg</v>
      </c>
    </row>
    <row r="2292" spans="1:9" ht="14.25" customHeight="1" x14ac:dyDescent="0.3">
      <c r="A2292" s="2">
        <v>2291</v>
      </c>
      <c r="B2292" s="3" t="s">
        <v>2299</v>
      </c>
      <c r="C2292" s="2" t="str">
        <f ca="1">IFERROR(__xludf.DUMMYFUNCTION("GOOGLETRANSLATE(B2292, ""en"",""es"")"),"resistencia")</f>
        <v>resistencia</v>
      </c>
      <c r="D2292" s="2" t="str">
        <f ca="1">IFERROR(__xludf.DUMMYFUNCTION("GOOGLETRANSLATE(B2292,""en"",""ig"")"),"ekweghiekwe")</f>
        <v>ekweghiekwe</v>
      </c>
      <c r="E2292" s="2" t="str">
        <f ca="1">IFERROR(__xludf.DUMMYFUNCTION("GOOGLETRANSLATE(B2292,""en"",""fr"")"),"résistance")</f>
        <v>résistance</v>
      </c>
      <c r="F2292" s="2" t="str">
        <f ca="1">IFERROR(__xludf.DUMMYFUNCTION("GOOGLETRANSLATE(B2292,""en"",""it"")"),"resistenza")</f>
        <v>resistenza</v>
      </c>
      <c r="G2292" s="2" t="str">
        <f ca="1">IFERROR(__xludf.DUMMYFUNCTION("GOOGLETRANSLATE(B2292,""en"",""de"")"),"Widerstand")</f>
        <v>Widerstand</v>
      </c>
      <c r="H2292" s="2" t="str">
        <f ca="1">IFERROR(__xludf.DUMMYFUNCTION("GOOGLETRANSLATE(B2292,""en"",""zh"")"),"反抗")</f>
        <v>反抗</v>
      </c>
      <c r="I2292" s="2" t="str">
        <f ca="1">IFERROR(__xludf.DUMMYFUNCTION("GOOGLETRANSLATE(B2292,""en"",""gd"")"),"Resistance")</f>
        <v>Resistance</v>
      </c>
    </row>
    <row r="2293" spans="1:9" ht="14.25" customHeight="1" x14ac:dyDescent="0.3">
      <c r="A2293" s="2">
        <v>2292</v>
      </c>
      <c r="B2293" s="3" t="s">
        <v>2300</v>
      </c>
      <c r="C2293" s="2" t="str">
        <f ca="1">IFERROR(__xludf.DUMMYFUNCTION("GOOGLETRANSLATE(B2293, ""en"",""es"")"),"baño")</f>
        <v>baño</v>
      </c>
      <c r="D2293" s="2" t="str">
        <f ca="1">IFERROR(__xludf.DUMMYFUNCTION("GOOGLETRANSLATE(B2293,""en"",""ig"")"),"osisa ahu")</f>
        <v>osisa ahu</v>
      </c>
      <c r="E2293" s="2" t="str">
        <f ca="1">IFERROR(__xludf.DUMMYFUNCTION("GOOGLETRANSLATE(B2293,""en"",""fr"")"),"bain")</f>
        <v>bain</v>
      </c>
      <c r="F2293" s="2" t="str">
        <f ca="1">IFERROR(__xludf.DUMMYFUNCTION("GOOGLETRANSLATE(B2293,""en"",""it"")"),"bagno")</f>
        <v>bagno</v>
      </c>
      <c r="G2293" s="2" t="str">
        <f ca="1">IFERROR(__xludf.DUMMYFUNCTION("GOOGLETRANSLATE(B2293,""en"",""de"")"),"Bad")</f>
        <v>Bad</v>
      </c>
      <c r="H2293" s="2" t="str">
        <f ca="1">IFERROR(__xludf.DUMMYFUNCTION("GOOGLETRANSLATE(B2293,""en"",""zh"")"),"洗澡")</f>
        <v>洗澡</v>
      </c>
      <c r="I2293" s="2" t="str">
        <f ca="1">IFERROR(__xludf.DUMMYFUNCTION("GOOGLETRANSLATE(B2293,""en"",""gd"")"),"amar")</f>
        <v>amar</v>
      </c>
    </row>
    <row r="2294" spans="1:9" ht="14.25" customHeight="1" x14ac:dyDescent="0.3">
      <c r="A2294" s="2">
        <v>2293</v>
      </c>
      <c r="B2294" s="3" t="s">
        <v>2301</v>
      </c>
      <c r="C2294" s="2" t="str">
        <f ca="1">IFERROR(__xludf.DUMMYFUNCTION("GOOGLETRANSLATE(B2294, ""en"",""es"")"),"frecuencia")</f>
        <v>frecuencia</v>
      </c>
      <c r="D2294" s="2" t="str">
        <f ca="1">IFERROR(__xludf.DUMMYFUNCTION("GOOGLETRANSLATE(B2294,""en"",""ig"")"),"mgbe na mgbe")</f>
        <v>mgbe na mgbe</v>
      </c>
      <c r="E2294" s="2" t="str">
        <f ca="1">IFERROR(__xludf.DUMMYFUNCTION("GOOGLETRANSLATE(B2294,""en"",""fr"")"),"fréquence")</f>
        <v>fréquence</v>
      </c>
      <c r="F2294" s="2" t="str">
        <f ca="1">IFERROR(__xludf.DUMMYFUNCTION("GOOGLETRANSLATE(B2294,""en"",""it"")"),"frequenza")</f>
        <v>frequenza</v>
      </c>
      <c r="G2294" s="2" t="str">
        <f ca="1">IFERROR(__xludf.DUMMYFUNCTION("GOOGLETRANSLATE(B2294,""en"",""de"")"),"Frequenz")</f>
        <v>Frequenz</v>
      </c>
      <c r="H2294" s="2" t="str">
        <f ca="1">IFERROR(__xludf.DUMMYFUNCTION("GOOGLETRANSLATE(B2294,""en"",""zh"")"),"频率")</f>
        <v>频率</v>
      </c>
      <c r="I2294" s="2" t="str">
        <f ca="1">IFERROR(__xludf.DUMMYFUNCTION("GOOGLETRANSLATE(B2294,""en"",""gd"")"),"tricead")</f>
        <v>tricead</v>
      </c>
    </row>
    <row r="2295" spans="1:9" ht="14.25" customHeight="1" x14ac:dyDescent="0.3">
      <c r="A2295" s="2">
        <v>2294</v>
      </c>
      <c r="B2295" s="3" t="s">
        <v>2302</v>
      </c>
      <c r="C2295" s="2" t="str">
        <f ca="1">IFERROR(__xludf.DUMMYFUNCTION("GOOGLETRANSLATE(B2295, ""en"",""es"")"),"criticar")</f>
        <v>criticar</v>
      </c>
      <c r="D2295" s="2" t="str">
        <f ca="1">IFERROR(__xludf.DUMMYFUNCTION("GOOGLETRANSLATE(B2295,""en"",""ig"")"),"inyocha")</f>
        <v>inyocha</v>
      </c>
      <c r="E2295" s="2" t="str">
        <f ca="1">IFERROR(__xludf.DUMMYFUNCTION("GOOGLETRANSLATE(B2295,""en"",""fr"")"),"critiquer")</f>
        <v>critiquer</v>
      </c>
      <c r="F2295" s="2" t="str">
        <f ca="1">IFERROR(__xludf.DUMMYFUNCTION("GOOGLETRANSLATE(B2295,""en"",""it"")"),"criticare")</f>
        <v>criticare</v>
      </c>
      <c r="G2295" s="2" t="str">
        <f ca="1">IFERROR(__xludf.DUMMYFUNCTION("GOOGLETRANSLATE(B2295,""en"",""de"")"),"kritisieren")</f>
        <v>kritisieren</v>
      </c>
      <c r="H2295" s="2" t="str">
        <f ca="1">IFERROR(__xludf.DUMMYFUNCTION("GOOGLETRANSLATE(B2295,""en"",""zh"")"),"批评")</f>
        <v>批评</v>
      </c>
      <c r="I2295" s="2" t="str">
        <f ca="1">IFERROR(__xludf.DUMMYFUNCTION("GOOGLETRANSLATE(B2295,""en"",""gd"")"),"càineadh")</f>
        <v>càineadh</v>
      </c>
    </row>
    <row r="2296" spans="1:9" ht="14.25" customHeight="1" x14ac:dyDescent="0.3">
      <c r="A2296" s="2">
        <v>2295</v>
      </c>
      <c r="B2296" s="3" t="s">
        <v>2303</v>
      </c>
      <c r="C2296" s="2" t="str">
        <f ca="1">IFERROR(__xludf.DUMMYFUNCTION("GOOGLETRANSLATE(B2296, ""en"",""es"")"),"grifo")</f>
        <v>grifo</v>
      </c>
      <c r="D2296" s="2" t="str">
        <f ca="1">IFERROR(__xludf.DUMMYFUNCTION("GOOGLETRANSLATE(B2296,""en"",""ig"")"),"mmigbu")</f>
        <v>mmigbu</v>
      </c>
      <c r="E2296" s="2" t="str">
        <f ca="1">IFERROR(__xludf.DUMMYFUNCTION("GOOGLETRANSLATE(B2296,""en"",""fr"")"),"robinet")</f>
        <v>robinet</v>
      </c>
      <c r="F2296" s="2" t="str">
        <f ca="1">IFERROR(__xludf.DUMMYFUNCTION("GOOGLETRANSLATE(B2296,""en"",""it"")"),"rubinetto")</f>
        <v>rubinetto</v>
      </c>
      <c r="G2296" s="2" t="str">
        <f ca="1">IFERROR(__xludf.DUMMYFUNCTION("GOOGLETRANSLATE(B2296,""en"",""de"")"),"klopfen")</f>
        <v>klopfen</v>
      </c>
      <c r="H2296" s="2" t="str">
        <f ca="1">IFERROR(__xludf.DUMMYFUNCTION("GOOGLETRANSLATE(B2296,""en"",""zh"")"),"轻敲")</f>
        <v>轻敲</v>
      </c>
      <c r="I2296" s="2" t="str">
        <f ca="1">IFERROR(__xludf.DUMMYFUNCTION("GOOGLETRANSLATE(B2296,""en"",""gd"")"),"Tap air")</f>
        <v>Tap air</v>
      </c>
    </row>
    <row r="2297" spans="1:9" ht="14.25" customHeight="1" x14ac:dyDescent="0.3">
      <c r="A2297" s="2">
        <v>2296</v>
      </c>
      <c r="B2297" s="3" t="s">
        <v>2304</v>
      </c>
      <c r="C2297" s="2" t="str">
        <f ca="1">IFERROR(__xludf.DUMMYFUNCTION("GOOGLETRANSLATE(B2297, ""en"",""es"")"),"filosofía")</f>
        <v>filosofía</v>
      </c>
      <c r="D2297" s="2" t="str">
        <f ca="1">IFERROR(__xludf.DUMMYFUNCTION("GOOGLETRANSLATE(B2297,""en"",""ig"")"),"filosofi")</f>
        <v>filosofi</v>
      </c>
      <c r="E2297" s="2" t="str">
        <f ca="1">IFERROR(__xludf.DUMMYFUNCTION("GOOGLETRANSLATE(B2297,""en"",""fr"")"),"philosophie")</f>
        <v>philosophie</v>
      </c>
      <c r="F2297" s="2" t="str">
        <f ca="1">IFERROR(__xludf.DUMMYFUNCTION("GOOGLETRANSLATE(B2297,""en"",""it"")"),"filosofia")</f>
        <v>filosofia</v>
      </c>
      <c r="G2297" s="2" t="str">
        <f ca="1">IFERROR(__xludf.DUMMYFUNCTION("GOOGLETRANSLATE(B2297,""en"",""de"")"),"Philosophie")</f>
        <v>Philosophie</v>
      </c>
      <c r="H2297" s="2" t="str">
        <f ca="1">IFERROR(__xludf.DUMMYFUNCTION("GOOGLETRANSLATE(B2297,""en"",""zh"")"),"哲学")</f>
        <v>哲学</v>
      </c>
      <c r="I2297" s="2" t="str">
        <f ca="1">IFERROR(__xludf.DUMMYFUNCTION("GOOGLETRANSLATE(B2297,""en"",""gd"")"),"feallsanachd")</f>
        <v>feallsanachd</v>
      </c>
    </row>
    <row r="2298" spans="1:9" ht="14.25" customHeight="1" x14ac:dyDescent="0.3">
      <c r="A2298" s="2">
        <v>2297</v>
      </c>
      <c r="B2298" s="3" t="s">
        <v>2305</v>
      </c>
      <c r="C2298" s="2" t="str">
        <f ca="1">IFERROR(__xludf.DUMMYFUNCTION("GOOGLETRANSLATE(B2298, ""en"",""es"")"),"labio")</f>
        <v>labio</v>
      </c>
      <c r="D2298" s="2" t="str">
        <f ca="1">IFERROR(__xludf.DUMMYFUNCTION("GOOGLETRANSLATE(B2298,""en"",""ig"")"),"egbugbereonu")</f>
        <v>egbugbereonu</v>
      </c>
      <c r="E2298" s="2" t="str">
        <f ca="1">IFERROR(__xludf.DUMMYFUNCTION("GOOGLETRANSLATE(B2298,""en"",""fr"")"),"lèvre")</f>
        <v>lèvre</v>
      </c>
      <c r="F2298" s="2" t="str">
        <f ca="1">IFERROR(__xludf.DUMMYFUNCTION("GOOGLETRANSLATE(B2298,""en"",""it"")"),"labbro")</f>
        <v>labbro</v>
      </c>
      <c r="G2298" s="2" t="str">
        <f ca="1">IFERROR(__xludf.DUMMYFUNCTION("GOOGLETRANSLATE(B2298,""en"",""de"")"),"Lippe")</f>
        <v>Lippe</v>
      </c>
      <c r="H2298" s="2" t="str">
        <f ca="1">IFERROR(__xludf.DUMMYFUNCTION("GOOGLETRANSLATE(B2298,""en"",""zh"")"),"唇")</f>
        <v>唇</v>
      </c>
      <c r="I2298" s="2" t="str">
        <f ca="1">IFERROR(__xludf.DUMMYFUNCTION("GOOGLETRANSLATE(B2298,""en"",""gd"")"),"bilean")</f>
        <v>bilean</v>
      </c>
    </row>
    <row r="2299" spans="1:9" ht="14.25" customHeight="1" x14ac:dyDescent="0.3">
      <c r="A2299" s="2">
        <v>2298</v>
      </c>
      <c r="B2299" s="3" t="s">
        <v>2306</v>
      </c>
      <c r="C2299" s="2" t="str">
        <f ca="1">IFERROR(__xludf.DUMMYFUNCTION("GOOGLETRANSLATE(B2299, ""en"",""es"")"),"atributo")</f>
        <v>atributo</v>
      </c>
      <c r="D2299" s="2" t="str">
        <f ca="1">IFERROR(__xludf.DUMMYFUNCTION("GOOGLETRANSLATE(B2299,""en"",""ig"")"),"kee")</f>
        <v>kee</v>
      </c>
      <c r="E2299" s="2" t="str">
        <f ca="1">IFERROR(__xludf.DUMMYFUNCTION("GOOGLETRANSLATE(B2299,""en"",""fr"")"),"attribut")</f>
        <v>attribut</v>
      </c>
      <c r="F2299" s="2" t="str">
        <f ca="1">IFERROR(__xludf.DUMMYFUNCTION("GOOGLETRANSLATE(B2299,""en"",""it"")"),"attributo")</f>
        <v>attributo</v>
      </c>
      <c r="G2299" s="2" t="str">
        <f ca="1">IFERROR(__xludf.DUMMYFUNCTION("GOOGLETRANSLATE(B2299,""en"",""de"")"),"Attribut")</f>
        <v>Attribut</v>
      </c>
      <c r="H2299" s="2" t="str">
        <f ca="1">IFERROR(__xludf.DUMMYFUNCTION("GOOGLETRANSLATE(B2299,""en"",""zh"")"),"属性")</f>
        <v>属性</v>
      </c>
      <c r="I2299" s="2" t="str">
        <f ca="1">IFERROR(__xludf.DUMMYFUNCTION("GOOGLETRANSLATE(B2299,""en"",""gd"")"),"feart")</f>
        <v>feart</v>
      </c>
    </row>
    <row r="2300" spans="1:9" ht="14.25" customHeight="1" x14ac:dyDescent="0.3">
      <c r="A2300" s="2">
        <v>2299</v>
      </c>
      <c r="B2300" s="3" t="s">
        <v>2307</v>
      </c>
      <c r="C2300" s="2" t="str">
        <f ca="1">IFERROR(__xludf.DUMMYFUNCTION("GOOGLETRANSLATE(B2300, ""en"",""es"")"),"disculparse")</f>
        <v>disculparse</v>
      </c>
      <c r="D2300" s="2" t="str">
        <f ca="1">IFERROR(__xludf.DUMMYFUNCTION("GOOGLETRANSLATE(B2300,""en"",""ig"")"),"iyo ayiyo ncheghari")</f>
        <v>iyo ayiyo ncheghari</v>
      </c>
      <c r="E2300" s="2" t="str">
        <f ca="1">IFERROR(__xludf.DUMMYFUNCTION("GOOGLETRANSLATE(B2300,""en"",""fr"")"),"s'excuser")</f>
        <v>s'excuser</v>
      </c>
      <c r="F2300" s="2" t="str">
        <f ca="1">IFERROR(__xludf.DUMMYFUNCTION("GOOGLETRANSLATE(B2300,""en"",""it"")"),"scusa")</f>
        <v>scusa</v>
      </c>
      <c r="G2300" s="2" t="str">
        <f ca="1">IFERROR(__xludf.DUMMYFUNCTION("GOOGLETRANSLATE(B2300,""en"",""de"")"),"sich entschuldigen")</f>
        <v>sich entschuldigen</v>
      </c>
      <c r="H2300" s="2" t="str">
        <f ca="1">IFERROR(__xludf.DUMMYFUNCTION("GOOGLETRANSLATE(B2300,""en"",""zh"")"),"道歉")</f>
        <v>道歉</v>
      </c>
      <c r="I2300" s="2" t="str">
        <f ca="1">IFERROR(__xludf.DUMMYFUNCTION("GOOGLETRANSLATE(B2300,""en"",""gd"")"),"Gabh leisgeul")</f>
        <v>Gabh leisgeul</v>
      </c>
    </row>
    <row r="2301" spans="1:9" ht="14.25" customHeight="1" x14ac:dyDescent="0.3">
      <c r="A2301" s="2">
        <v>2300</v>
      </c>
      <c r="B2301" s="3" t="s">
        <v>2308</v>
      </c>
      <c r="C2301" s="2" t="str">
        <f ca="1">IFERROR(__xludf.DUMMYFUNCTION("GOOGLETRANSLATE(B2301, ""en"",""es"")"),"aprobación")</f>
        <v>aprobación</v>
      </c>
      <c r="D2301" s="2" t="str">
        <f ca="1">IFERROR(__xludf.DUMMYFUNCTION("GOOGLETRANSLATE(B2301,""en"",""ig"")"),"nnabata")</f>
        <v>nnabata</v>
      </c>
      <c r="E2301" s="2" t="str">
        <f ca="1">IFERROR(__xludf.DUMMYFUNCTION("GOOGLETRANSLATE(B2301,""en"",""fr"")"),"approbation")</f>
        <v>approbation</v>
      </c>
      <c r="F2301" s="2" t="str">
        <f ca="1">IFERROR(__xludf.DUMMYFUNCTION("GOOGLETRANSLATE(B2301,""en"",""it"")"),"approvazione")</f>
        <v>approvazione</v>
      </c>
      <c r="G2301" s="2" t="str">
        <f ca="1">IFERROR(__xludf.DUMMYFUNCTION("GOOGLETRANSLATE(B2301,""en"",""de"")"),"Genehmigung")</f>
        <v>Genehmigung</v>
      </c>
      <c r="H2301" s="2" t="str">
        <f ca="1">IFERROR(__xludf.DUMMYFUNCTION("GOOGLETRANSLATE(B2301,""en"",""zh"")"),"赞同")</f>
        <v>赞同</v>
      </c>
      <c r="I2301" s="2" t="str">
        <f ca="1">IFERROR(__xludf.DUMMYFUNCTION("GOOGLETRANSLATE(B2301,""en"",""gd"")"),"aonta")</f>
        <v>aonta</v>
      </c>
    </row>
    <row r="2302" spans="1:9" ht="14.25" customHeight="1" x14ac:dyDescent="0.3">
      <c r="A2302" s="2">
        <v>2301</v>
      </c>
      <c r="B2302" s="3" t="s">
        <v>2309</v>
      </c>
      <c r="C2302" s="2" t="str">
        <f ca="1">IFERROR(__xludf.DUMMYFUNCTION("GOOGLETRANSLATE(B2302, ""en"",""es"")"),"agarrar")</f>
        <v>agarrar</v>
      </c>
      <c r="D2302" s="2" t="str">
        <f ca="1">IFERROR(__xludf.DUMMYFUNCTION("GOOGLETRANSLATE(B2302,""en"",""ig"")"),"ijido")</f>
        <v>ijido</v>
      </c>
      <c r="E2302" s="2" t="str">
        <f ca="1">IFERROR(__xludf.DUMMYFUNCTION("GOOGLETRANSLATE(B2302,""en"",""fr"")"),"saisir")</f>
        <v>saisir</v>
      </c>
      <c r="F2302" s="2" t="str">
        <f ca="1">IFERROR(__xludf.DUMMYFUNCTION("GOOGLETRANSLATE(B2302,""en"",""it"")"),"preda")</f>
        <v>preda</v>
      </c>
      <c r="G2302" s="2" t="str">
        <f ca="1">IFERROR(__xludf.DUMMYFUNCTION("GOOGLETRANSLATE(B2302,""en"",""de"")"),"greifen")</f>
        <v>greifen</v>
      </c>
      <c r="H2302" s="2" t="str">
        <f ca="1">IFERROR(__xludf.DUMMYFUNCTION("GOOGLETRANSLATE(B2302,""en"",""zh"")"),"抓住")</f>
        <v>抓住</v>
      </c>
      <c r="I2302" s="2" t="str">
        <f ca="1">IFERROR(__xludf.DUMMYFUNCTION("GOOGLETRANSLATE(B2302,""en"",""gd"")"),"Grab")</f>
        <v>Grab</v>
      </c>
    </row>
    <row r="2303" spans="1:9" ht="14.25" customHeight="1" x14ac:dyDescent="0.3">
      <c r="A2303" s="2">
        <v>2302</v>
      </c>
      <c r="B2303" s="3" t="s">
        <v>2310</v>
      </c>
      <c r="C2303" s="2" t="str">
        <f ca="1">IFERROR(__xludf.DUMMYFUNCTION("GOOGLETRANSLATE(B2303, ""en"",""es"")"),"dar derecho")</f>
        <v>dar derecho</v>
      </c>
      <c r="D2303" s="2" t="str">
        <f ca="1">IFERROR(__xludf.DUMMYFUNCTION("GOOGLETRANSLATE(B2303,""en"",""ig"")"),"obi")</f>
        <v>obi</v>
      </c>
      <c r="E2303" s="2" t="str">
        <f ca="1">IFERROR(__xludf.DUMMYFUNCTION("GOOGLETRANSLATE(B2303,""en"",""fr"")"),"droit")</f>
        <v>droit</v>
      </c>
      <c r="F2303" s="2" t="str">
        <f ca="1">IFERROR(__xludf.DUMMYFUNCTION("GOOGLETRANSLATE(B2303,""en"",""it"")"),"diritto")</f>
        <v>diritto</v>
      </c>
      <c r="G2303" s="2" t="str">
        <f ca="1">IFERROR(__xludf.DUMMYFUNCTION("GOOGLETRANSLATE(B2303,""en"",""de"")"),"berechtigen")</f>
        <v>berechtigen</v>
      </c>
      <c r="H2303" s="2" t="str">
        <f ca="1">IFERROR(__xludf.DUMMYFUNCTION("GOOGLETRANSLATE(B2303,""en"",""zh"")"),"权利")</f>
        <v>权利</v>
      </c>
      <c r="I2303" s="2" t="str">
        <f ca="1">IFERROR(__xludf.DUMMYFUNCTION("GOOGLETRANSLATE(B2303,""en"",""gd"")"),"Inniteag")</f>
        <v>Inniteag</v>
      </c>
    </row>
    <row r="2304" spans="1:9" ht="14.25" customHeight="1" x14ac:dyDescent="0.3">
      <c r="A2304" s="2">
        <v>2303</v>
      </c>
      <c r="B2304" s="3" t="s">
        <v>2311</v>
      </c>
      <c r="C2304" s="2" t="str">
        <f ca="1">IFERROR(__xludf.DUMMYFUNCTION("GOOGLETRANSLATE(B2304, ""en"",""es"")"),"prestar")</f>
        <v>prestar</v>
      </c>
      <c r="D2304" s="2" t="str">
        <f ca="1">IFERROR(__xludf.DUMMYFUNCTION("GOOGLETRANSLATE(B2304,""en"",""ig"")"),"ibinye ihe")</f>
        <v>ibinye ihe</v>
      </c>
      <c r="E2304" s="2" t="str">
        <f ca="1">IFERROR(__xludf.DUMMYFUNCTION("GOOGLETRANSLATE(B2304,""en"",""fr"")"),"prêter")</f>
        <v>prêter</v>
      </c>
      <c r="F2304" s="2" t="str">
        <f ca="1">IFERROR(__xludf.DUMMYFUNCTION("GOOGLETRANSLATE(B2304,""en"",""it"")"),"prestare")</f>
        <v>prestare</v>
      </c>
      <c r="G2304" s="2" t="str">
        <f ca="1">IFERROR(__xludf.DUMMYFUNCTION("GOOGLETRANSLATE(B2304,""en"",""de"")"),"leihen")</f>
        <v>leihen</v>
      </c>
      <c r="H2304" s="2" t="str">
        <f ca="1">IFERROR(__xludf.DUMMYFUNCTION("GOOGLETRANSLATE(B2304,""en"",""zh"")"),"借")</f>
        <v>借</v>
      </c>
      <c r="I2304" s="2" t="str">
        <f ca="1">IFERROR(__xludf.DUMMYFUNCTION("GOOGLETRANSLATE(B2304,""en"",""gd"")"),"iasad")</f>
        <v>iasad</v>
      </c>
    </row>
    <row r="2305" spans="1:9" ht="14.25" customHeight="1" x14ac:dyDescent="0.3">
      <c r="A2305" s="2">
        <v>2304</v>
      </c>
      <c r="B2305" s="3" t="s">
        <v>2312</v>
      </c>
      <c r="C2305" s="2" t="str">
        <f ca="1">IFERROR(__xludf.DUMMYFUNCTION("GOOGLETRANSLATE(B2305, ""en"",""es"")"),"intervención")</f>
        <v>intervención</v>
      </c>
      <c r="D2305" s="2" t="str">
        <f ca="1">IFERROR(__xludf.DUMMYFUNCTION("GOOGLETRANSLATE(B2305,""en"",""ig"")"),"mghasa")</f>
        <v>mghasa</v>
      </c>
      <c r="E2305" s="2" t="str">
        <f ca="1">IFERROR(__xludf.DUMMYFUNCTION("GOOGLETRANSLATE(B2305,""en"",""fr"")"),"participation")</f>
        <v>participation</v>
      </c>
      <c r="F2305" s="2" t="str">
        <f ca="1">IFERROR(__xludf.DUMMYFUNCTION("GOOGLETRANSLATE(B2305,""en"",""it"")"),"coinvolgimento")</f>
        <v>coinvolgimento</v>
      </c>
      <c r="G2305" s="2" t="str">
        <f ca="1">IFERROR(__xludf.DUMMYFUNCTION("GOOGLETRANSLATE(B2305,""en"",""de"")"),"Beteiligung")</f>
        <v>Beteiligung</v>
      </c>
      <c r="H2305" s="2" t="str">
        <f ca="1">IFERROR(__xludf.DUMMYFUNCTION("GOOGLETRANSLATE(B2305,""en"",""zh"")"),"参与")</f>
        <v>参与</v>
      </c>
      <c r="I2305" s="2" t="str">
        <f ca="1">IFERROR(__xludf.DUMMYFUNCTION("GOOGLETRANSLATE(B2305,""en"",""gd"")"),"com-pàirteachadh")</f>
        <v>com-pàirteachadh</v>
      </c>
    </row>
    <row r="2306" spans="1:9" ht="14.25" customHeight="1" x14ac:dyDescent="0.3">
      <c r="A2306" s="2">
        <v>2305</v>
      </c>
      <c r="B2306" s="3" t="s">
        <v>2313</v>
      </c>
      <c r="C2306" s="2" t="str">
        <f ca="1">IFERROR(__xludf.DUMMYFUNCTION("GOOGLETRANSLATE(B2306, ""en"",""es"")"),"exposición")</f>
        <v>exposición</v>
      </c>
      <c r="D2306" s="2" t="str">
        <f ca="1">IFERROR(__xludf.DUMMYFUNCTION("GOOGLETRANSLATE(B2306,""en"",""ig"")"),"mkpughepụ")</f>
        <v>mkpughepụ</v>
      </c>
      <c r="E2306" s="2" t="str">
        <f ca="1">IFERROR(__xludf.DUMMYFUNCTION("GOOGLETRANSLATE(B2306,""en"",""fr"")"),"exposition")</f>
        <v>exposition</v>
      </c>
      <c r="F2306" s="2" t="str">
        <f ca="1">IFERROR(__xludf.DUMMYFUNCTION("GOOGLETRANSLATE(B2306,""en"",""it"")"),"esposizione")</f>
        <v>esposizione</v>
      </c>
      <c r="G2306" s="2" t="str">
        <f ca="1">IFERROR(__xludf.DUMMYFUNCTION("GOOGLETRANSLATE(B2306,""en"",""de"")"),"Belichtung")</f>
        <v>Belichtung</v>
      </c>
      <c r="H2306" s="2" t="str">
        <f ca="1">IFERROR(__xludf.DUMMYFUNCTION("GOOGLETRANSLATE(B2306,""en"",""zh"")"),"接触")</f>
        <v>接触</v>
      </c>
      <c r="I2306" s="2" t="str">
        <f ca="1">IFERROR(__xludf.DUMMYFUNCTION("GOOGLETRANSLATE(B2306,""en"",""gd"")"),"leigeil ris")</f>
        <v>leigeil ris</v>
      </c>
    </row>
    <row r="2307" spans="1:9" ht="14.25" customHeight="1" x14ac:dyDescent="0.3">
      <c r="A2307" s="2">
        <v>2306</v>
      </c>
      <c r="B2307" s="3" t="s">
        <v>2314</v>
      </c>
      <c r="C2307" s="2" t="str">
        <f ca="1">IFERROR(__xludf.DUMMYFUNCTION("GOOGLETRANSLATE(B2307, ""en"",""es"")"),"convencional")</f>
        <v>convencional</v>
      </c>
      <c r="D2307" s="2" t="str">
        <f ca="1">IFERROR(__xludf.DUMMYFUNCTION("GOOGLETRANSLATE(B2307,""en"",""ig"")"),"okpeazu")</f>
        <v>okpeazu</v>
      </c>
      <c r="E2307" s="2" t="str">
        <f ca="1">IFERROR(__xludf.DUMMYFUNCTION("GOOGLETRANSLATE(B2307,""en"",""fr"")"),"conventionnel")</f>
        <v>conventionnel</v>
      </c>
      <c r="F2307" s="2" t="str">
        <f ca="1">IFERROR(__xludf.DUMMYFUNCTION("GOOGLETRANSLATE(B2307,""en"",""it"")"),"convenzionale")</f>
        <v>convenzionale</v>
      </c>
      <c r="G2307" s="2" t="str">
        <f ca="1">IFERROR(__xludf.DUMMYFUNCTION("GOOGLETRANSLATE(B2307,""en"",""de"")"),"konventionell")</f>
        <v>konventionell</v>
      </c>
      <c r="H2307" s="2" t="str">
        <f ca="1">IFERROR(__xludf.DUMMYFUNCTION("GOOGLETRANSLATE(B2307,""en"",""zh"")"),"传统的")</f>
        <v>传统的</v>
      </c>
      <c r="I2307" s="2" t="str">
        <f ca="1">IFERROR(__xludf.DUMMYFUNCTION("GOOGLETRANSLATE(B2307,""en"",""gd"")"),"Gnàthaidh")</f>
        <v>Gnàthaidh</v>
      </c>
    </row>
    <row r="2308" spans="1:9" ht="14.25" customHeight="1" x14ac:dyDescent="0.3">
      <c r="A2308" s="2">
        <v>2307</v>
      </c>
      <c r="B2308" s="3" t="s">
        <v>2315</v>
      </c>
      <c r="C2308" s="2" t="str">
        <f ca="1">IFERROR(__xludf.DUMMYFUNCTION("GOOGLETRANSLATE(B2308, ""en"",""es"")"),"digital")</f>
        <v>digital</v>
      </c>
      <c r="D2308" s="2" t="str">
        <f ca="1">IFERROR(__xludf.DUMMYFUNCTION("GOOGLETRANSLATE(B2308,""en"",""ig"")"),"didital")</f>
        <v>didital</v>
      </c>
      <c r="E2308" s="2" t="str">
        <f ca="1">IFERROR(__xludf.DUMMYFUNCTION("GOOGLETRANSLATE(B2308,""en"",""fr"")"),"numérique")</f>
        <v>numérique</v>
      </c>
      <c r="F2308" s="2" t="str">
        <f ca="1">IFERROR(__xludf.DUMMYFUNCTION("GOOGLETRANSLATE(B2308,""en"",""it"")"),"digitale")</f>
        <v>digitale</v>
      </c>
      <c r="G2308" s="2" t="str">
        <f ca="1">IFERROR(__xludf.DUMMYFUNCTION("GOOGLETRANSLATE(B2308,""en"",""de"")"),"Digital")</f>
        <v>Digital</v>
      </c>
      <c r="H2308" s="2" t="str">
        <f ca="1">IFERROR(__xludf.DUMMYFUNCTION("GOOGLETRANSLATE(B2308,""en"",""zh"")"),"数字的")</f>
        <v>数字的</v>
      </c>
      <c r="I2308" s="2" t="str">
        <f ca="1">IFERROR(__xludf.DUMMYFUNCTION("GOOGLETRANSLATE(B2308,""en"",""gd"")"),"Didseatach")</f>
        <v>Didseatach</v>
      </c>
    </row>
    <row r="2309" spans="1:9" ht="14.25" customHeight="1" x14ac:dyDescent="0.3">
      <c r="A2309" s="2">
        <v>2308</v>
      </c>
      <c r="B2309" s="3" t="s">
        <v>2316</v>
      </c>
      <c r="C2309" s="2" t="str">
        <f ca="1">IFERROR(__xludf.DUMMYFUNCTION("GOOGLETRANSLATE(B2309, ""en"",""es"")"),"traducir")</f>
        <v>traducir</v>
      </c>
      <c r="D2309" s="2" t="str">
        <f ca="1">IFERROR(__xludf.DUMMYFUNCTION("GOOGLETRANSLATE(B2309,""en"",""ig"")"),"itughari")</f>
        <v>itughari</v>
      </c>
      <c r="E2309" s="2" t="str">
        <f ca="1">IFERROR(__xludf.DUMMYFUNCTION("GOOGLETRANSLATE(B2309,""en"",""fr"")"),"traduire")</f>
        <v>traduire</v>
      </c>
      <c r="F2309" s="2" t="str">
        <f ca="1">IFERROR(__xludf.DUMMYFUNCTION("GOOGLETRANSLATE(B2309,""en"",""it"")"),"tradurre")</f>
        <v>tradurre</v>
      </c>
      <c r="G2309" s="2" t="str">
        <f ca="1">IFERROR(__xludf.DUMMYFUNCTION("GOOGLETRANSLATE(B2309,""en"",""de"")"),"übersetzen")</f>
        <v>übersetzen</v>
      </c>
      <c r="H2309" s="2" t="str">
        <f ca="1">IFERROR(__xludf.DUMMYFUNCTION("GOOGLETRANSLATE(B2309,""en"",""zh"")"),"翻译")</f>
        <v>翻译</v>
      </c>
      <c r="I2309" s="2" t="str">
        <f ca="1">IFERROR(__xludf.DUMMYFUNCTION("GOOGLETRANSLATE(B2309,""en"",""gd"")"),"Eadar-theangachadh")</f>
        <v>Eadar-theangachadh</v>
      </c>
    </row>
    <row r="2310" spans="1:9" ht="14.25" customHeight="1" x14ac:dyDescent="0.3">
      <c r="A2310" s="2">
        <v>2309</v>
      </c>
      <c r="B2310" s="3" t="s">
        <v>2317</v>
      </c>
      <c r="C2310" s="2" t="str">
        <f ca="1">IFERROR(__xludf.DUMMYFUNCTION("GOOGLETRANSLATE(B2310, ""en"",""es"")"),"editar")</f>
        <v>editar</v>
      </c>
      <c r="D2310" s="2" t="str">
        <f ca="1">IFERROR(__xludf.DUMMYFUNCTION("GOOGLETRANSLATE(B2310,""en"",""ig"")"),"idekwa")</f>
        <v>idekwa</v>
      </c>
      <c r="E2310" s="2" t="str">
        <f ca="1">IFERROR(__xludf.DUMMYFUNCTION("GOOGLETRANSLATE(B2310,""en"",""fr"")"),"modifier")</f>
        <v>modifier</v>
      </c>
      <c r="F2310" s="2" t="str">
        <f ca="1">IFERROR(__xludf.DUMMYFUNCTION("GOOGLETRANSLATE(B2310,""en"",""it"")"),"modificare")</f>
        <v>modificare</v>
      </c>
      <c r="G2310" s="2" t="str">
        <f ca="1">IFERROR(__xludf.DUMMYFUNCTION("GOOGLETRANSLATE(B2310,""en"",""de"")"),"bearbeiten")</f>
        <v>bearbeiten</v>
      </c>
      <c r="H2310" s="2" t="str">
        <f ca="1">IFERROR(__xludf.DUMMYFUNCTION("GOOGLETRANSLATE(B2310,""en"",""zh"")"),"编辑")</f>
        <v>编辑</v>
      </c>
      <c r="I2310" s="2" t="str">
        <f ca="1">IFERROR(__xludf.DUMMYFUNCTION("GOOGLETRANSLATE(B2310,""en"",""gd"")"),"deasaich")</f>
        <v>deasaich</v>
      </c>
    </row>
    <row r="2311" spans="1:9" ht="14.25" customHeight="1" x14ac:dyDescent="0.3">
      <c r="A2311" s="2">
        <v>2310</v>
      </c>
      <c r="B2311" s="3" t="s">
        <v>2318</v>
      </c>
      <c r="C2311" s="2" t="str">
        <f ca="1">IFERROR(__xludf.DUMMYFUNCTION("GOOGLETRANSLATE(B2311, ""en"",""es"")"),"formación")</f>
        <v>formación</v>
      </c>
      <c r="D2311" s="2" t="str">
        <f ca="1">IFERROR(__xludf.DUMMYFUNCTION("GOOGLETRANSLATE(B2311,""en"",""ig"")"),"isodi")</f>
        <v>isodi</v>
      </c>
      <c r="E2311" s="2" t="str">
        <f ca="1">IFERROR(__xludf.DUMMYFUNCTION("GOOGLETRANSLATE(B2311,""en"",""fr"")"),"formation")</f>
        <v>formation</v>
      </c>
      <c r="F2311" s="2" t="str">
        <f ca="1">IFERROR(__xludf.DUMMYFUNCTION("GOOGLETRANSLATE(B2311,""en"",""it"")"),"formazione")</f>
        <v>formazione</v>
      </c>
      <c r="G2311" s="2" t="str">
        <f ca="1">IFERROR(__xludf.DUMMYFUNCTION("GOOGLETRANSLATE(B2311,""en"",""de"")"),"Formation")</f>
        <v>Formation</v>
      </c>
      <c r="H2311" s="2" t="str">
        <f ca="1">IFERROR(__xludf.DUMMYFUNCTION("GOOGLETRANSLATE(B2311,""en"",""zh"")"),"形成")</f>
        <v>形成</v>
      </c>
      <c r="I2311" s="2" t="str">
        <f ca="1">IFERROR(__xludf.DUMMYFUNCTION("GOOGLETRANSLATE(B2311,""en"",""gd"")"),"cruthachadh")</f>
        <v>cruthachadh</v>
      </c>
    </row>
    <row r="2312" spans="1:9" ht="14.25" customHeight="1" x14ac:dyDescent="0.3">
      <c r="A2312" s="2">
        <v>2311</v>
      </c>
      <c r="B2312" s="3" t="s">
        <v>2319</v>
      </c>
      <c r="C2312" s="2" t="str">
        <f ca="1">IFERROR(__xludf.DUMMYFUNCTION("GOOGLETRANSLATE(B2312, ""en"",""es"")"),"depósito")</f>
        <v>depósito</v>
      </c>
      <c r="D2312" s="2" t="str">
        <f ca="1">IFERROR(__xludf.DUMMYFUNCTION("GOOGLETRANSLATE(B2312,""en"",""ig"")"),"ego ntinye")</f>
        <v>ego ntinye</v>
      </c>
      <c r="E2312" s="2" t="str">
        <f ca="1">IFERROR(__xludf.DUMMYFUNCTION("GOOGLETRANSLATE(B2312,""en"",""fr"")"),"dépôt")</f>
        <v>dépôt</v>
      </c>
      <c r="F2312" s="2" t="str">
        <f ca="1">IFERROR(__xludf.DUMMYFUNCTION("GOOGLETRANSLATE(B2312,""en"",""it"")"),"depositare")</f>
        <v>depositare</v>
      </c>
      <c r="G2312" s="2" t="str">
        <f ca="1">IFERROR(__xludf.DUMMYFUNCTION("GOOGLETRANSLATE(B2312,""en"",""de"")"),"Kaution")</f>
        <v>Kaution</v>
      </c>
      <c r="H2312" s="2" t="str">
        <f ca="1">IFERROR(__xludf.DUMMYFUNCTION("GOOGLETRANSLATE(B2312,""en"",""zh"")"),"订金")</f>
        <v>订金</v>
      </c>
      <c r="I2312" s="2" t="str">
        <f ca="1">IFERROR(__xludf.DUMMYFUNCTION("GOOGLETRANSLATE(B2312,""en"",""gd"")"),"tasgadh")</f>
        <v>tasgadh</v>
      </c>
    </row>
    <row r="2313" spans="1:9" ht="14.25" customHeight="1" x14ac:dyDescent="0.3">
      <c r="A2313" s="2">
        <v>2312</v>
      </c>
      <c r="B2313" s="3" t="s">
        <v>2320</v>
      </c>
      <c r="C2313" s="2" t="str">
        <f ca="1">IFERROR(__xludf.DUMMYFUNCTION("GOOGLETRANSLATE(B2313, ""en"",""es"")"),"agradable")</f>
        <v>agradable</v>
      </c>
      <c r="D2313" s="2" t="str">
        <f ca="1">IFERROR(__xludf.DUMMYFUNCTION("GOOGLETRANSLATE(B2313,""en"",""ig"")"),"nke obiuto")</f>
        <v>nke obiuto</v>
      </c>
      <c r="E2313" s="2" t="str">
        <f ca="1">IFERROR(__xludf.DUMMYFUNCTION("GOOGLETRANSLATE(B2313,""en"",""fr"")"),"agréable")</f>
        <v>agréable</v>
      </c>
      <c r="F2313" s="2" t="str">
        <f ca="1">IFERROR(__xludf.DUMMYFUNCTION("GOOGLETRANSLATE(B2313,""en"",""it"")"),"piacevole")</f>
        <v>piacevole</v>
      </c>
      <c r="G2313" s="2" t="str">
        <f ca="1">IFERROR(__xludf.DUMMYFUNCTION("GOOGLETRANSLATE(B2313,""en"",""de"")"),"angenehm")</f>
        <v>angenehm</v>
      </c>
      <c r="H2313" s="2" t="str">
        <f ca="1">IFERROR(__xludf.DUMMYFUNCTION("GOOGLETRANSLATE(B2313,""en"",""zh"")"),"令人愉快的")</f>
        <v>令人愉快的</v>
      </c>
      <c r="I2313" s="2" t="str">
        <f ca="1">IFERROR(__xludf.DUMMYFUNCTION("GOOGLETRANSLATE(B2313,""en"",""gd"")"),"tlachdmhor")</f>
        <v>tlachdmhor</v>
      </c>
    </row>
    <row r="2314" spans="1:9" ht="14.25" customHeight="1" x14ac:dyDescent="0.3">
      <c r="A2314" s="2">
        <v>2313</v>
      </c>
      <c r="B2314" s="3" t="s">
        <v>2321</v>
      </c>
      <c r="C2314" s="2" t="str">
        <f ca="1">IFERROR(__xludf.DUMMYFUNCTION("GOOGLETRANSLATE(B2314, ""en"",""es"")"),"exterior")</f>
        <v>exterior</v>
      </c>
      <c r="D2314" s="2" t="str">
        <f ca="1">IFERROR(__xludf.DUMMYFUNCTION("GOOGLETRANSLATE(B2314,""en"",""ig"")"),"igafe osimiri")</f>
        <v>igafe osimiri</v>
      </c>
      <c r="E2314" s="2" t="str">
        <f ca="1">IFERROR(__xludf.DUMMYFUNCTION("GOOGLETRANSLATE(B2314,""en"",""fr"")"),"outre-mer")</f>
        <v>outre-mer</v>
      </c>
      <c r="F2314" s="2" t="str">
        <f ca="1">IFERROR(__xludf.DUMMYFUNCTION("GOOGLETRANSLATE(B2314,""en"",""it"")"),"all'estero")</f>
        <v>all'estero</v>
      </c>
      <c r="G2314" s="2" t="str">
        <f ca="1">IFERROR(__xludf.DUMMYFUNCTION("GOOGLETRANSLATE(B2314,""en"",""de"")"),"Übersee-")</f>
        <v>Übersee-</v>
      </c>
      <c r="H2314" s="2" t="str">
        <f ca="1">IFERROR(__xludf.DUMMYFUNCTION("GOOGLETRANSLATE(B2314,""en"",""zh"")"),"海外")</f>
        <v>海外</v>
      </c>
      <c r="I2314" s="2" t="str">
        <f ca="1">IFERROR(__xludf.DUMMYFUNCTION("GOOGLETRANSLATE(B2314,""en"",""gd"")"),"thall thairis")</f>
        <v>thall thairis</v>
      </c>
    </row>
    <row r="2315" spans="1:9" ht="14.25" customHeight="1" x14ac:dyDescent="0.3">
      <c r="A2315" s="2">
        <v>2314</v>
      </c>
      <c r="B2315" s="3" t="s">
        <v>2322</v>
      </c>
      <c r="C2315" s="2" t="str">
        <f ca="1">IFERROR(__xludf.DUMMYFUNCTION("GOOGLETRANSLATE(B2315, ""en"",""es"")"),"defensor")</f>
        <v>defensor</v>
      </c>
      <c r="D2315" s="2" t="str">
        <f ca="1">IFERROR(__xludf.DUMMYFUNCTION("GOOGLETRANSLATE(B2315,""en"",""ig"")"),"ikwado")</f>
        <v>ikwado</v>
      </c>
      <c r="E2315" s="2" t="str">
        <f ca="1">IFERROR(__xludf.DUMMYFUNCTION("GOOGLETRANSLATE(B2315,""en"",""fr"")"),"avocat")</f>
        <v>avocat</v>
      </c>
      <c r="F2315" s="2" t="str">
        <f ca="1">IFERROR(__xludf.DUMMYFUNCTION("GOOGLETRANSLATE(B2315,""en"",""it"")"),"avvocato")</f>
        <v>avvocato</v>
      </c>
      <c r="G2315" s="2" t="str">
        <f ca="1">IFERROR(__xludf.DUMMYFUNCTION("GOOGLETRANSLATE(B2315,""en"",""de"")"),"Fürsprecher")</f>
        <v>Fürsprecher</v>
      </c>
      <c r="H2315" s="2" t="str">
        <f ca="1">IFERROR(__xludf.DUMMYFUNCTION("GOOGLETRANSLATE(B2315,""en"",""zh"")"),"提倡")</f>
        <v>提倡</v>
      </c>
      <c r="I2315" s="2" t="str">
        <f ca="1">IFERROR(__xludf.DUMMYFUNCTION("GOOGLETRANSLATE(B2315,""en"",""gd"")"),"tagraiche")</f>
        <v>tagraiche</v>
      </c>
    </row>
    <row r="2316" spans="1:9" ht="14.25" customHeight="1" x14ac:dyDescent="0.3">
      <c r="A2316" s="2">
        <v>2315</v>
      </c>
      <c r="B2316" s="3" t="s">
        <v>2323</v>
      </c>
      <c r="C2316" s="2" t="str">
        <f ca="1">IFERROR(__xludf.DUMMYFUNCTION("GOOGLETRANSLATE(B2316, ""en"",""es"")"),"establecimiento")</f>
        <v>establecimiento</v>
      </c>
      <c r="D2316" s="2" t="str">
        <f ca="1">IFERROR(__xludf.DUMMYFUNCTION("GOOGLETRANSLATE(B2316,""en"",""ig"")"),"oruru")</f>
        <v>oruru</v>
      </c>
      <c r="E2316" s="2" t="str">
        <f ca="1">IFERROR(__xludf.DUMMYFUNCTION("GOOGLETRANSLATE(B2316,""en"",""fr"")"),"établissement")</f>
        <v>établissement</v>
      </c>
      <c r="F2316" s="2" t="str">
        <f ca="1">IFERROR(__xludf.DUMMYFUNCTION("GOOGLETRANSLATE(B2316,""en"",""it"")"),"istituzione")</f>
        <v>istituzione</v>
      </c>
      <c r="G2316" s="2" t="str">
        <f ca="1">IFERROR(__xludf.DUMMYFUNCTION("GOOGLETRANSLATE(B2316,""en"",""de"")"),"Einrichtung")</f>
        <v>Einrichtung</v>
      </c>
      <c r="H2316" s="2" t="str">
        <f ca="1">IFERROR(__xludf.DUMMYFUNCTION("GOOGLETRANSLATE(B2316,""en"",""zh"")"),"建立")</f>
        <v>建立</v>
      </c>
      <c r="I2316" s="2" t="str">
        <f ca="1">IFERROR(__xludf.DUMMYFUNCTION("GOOGLETRANSLATE(B2316,""en"",""gd"")"),"Stèidheachadh")</f>
        <v>Stèidheachadh</v>
      </c>
    </row>
    <row r="2317" spans="1:9" ht="14.25" customHeight="1" x14ac:dyDescent="0.3">
      <c r="A2317" s="2">
        <v>2316</v>
      </c>
      <c r="B2317" s="3" t="s">
        <v>2324</v>
      </c>
      <c r="C2317" s="2" t="str">
        <f ca="1">IFERROR(__xludf.DUMMYFUNCTION("GOOGLETRANSLATE(B2317, ""en"",""es"")"),"resumen")</f>
        <v>resumen</v>
      </c>
      <c r="D2317" s="2" t="str">
        <f ca="1">IFERROR(__xludf.DUMMYFUNCTION("GOOGLETRANSLATE(B2317,""en"",""ig"")"),"nchikota")</f>
        <v>nchikota</v>
      </c>
      <c r="E2317" s="2" t="str">
        <f ca="1">IFERROR(__xludf.DUMMYFUNCTION("GOOGLETRANSLATE(B2317,""en"",""fr"")"),"résumé")</f>
        <v>résumé</v>
      </c>
      <c r="F2317" s="2" t="str">
        <f ca="1">IFERROR(__xludf.DUMMYFUNCTION("GOOGLETRANSLATE(B2317,""en"",""it"")"),"riepilogo")</f>
        <v>riepilogo</v>
      </c>
      <c r="G2317" s="2" t="str">
        <f ca="1">IFERROR(__xludf.DUMMYFUNCTION("GOOGLETRANSLATE(B2317,""en"",""de"")"),"Zusammenfassung")</f>
        <v>Zusammenfassung</v>
      </c>
      <c r="H2317" s="2" t="str">
        <f ca="1">IFERROR(__xludf.DUMMYFUNCTION("GOOGLETRANSLATE(B2317,""en"",""zh"")"),"概括")</f>
        <v>概括</v>
      </c>
      <c r="I2317" s="2" t="str">
        <f ca="1">IFERROR(__xludf.DUMMYFUNCTION("GOOGLETRANSLATE(B2317,""en"",""gd"")"),"Geàrr-chunntas")</f>
        <v>Geàrr-chunntas</v>
      </c>
    </row>
    <row r="2318" spans="1:9" ht="14.25" customHeight="1" x14ac:dyDescent="0.3">
      <c r="A2318" s="2">
        <v>2317</v>
      </c>
      <c r="B2318" s="3" t="s">
        <v>2325</v>
      </c>
      <c r="C2318" s="2" t="str">
        <f ca="1">IFERROR(__xludf.DUMMYFUNCTION("GOOGLETRANSLATE(B2318, ""en"",""es"")"),"bruto")</f>
        <v>bruto</v>
      </c>
      <c r="D2318" s="2" t="str">
        <f ca="1">IFERROR(__xludf.DUMMYFUNCTION("GOOGLETRANSLATE(B2318,""en"",""ig"")"),"roofu")</f>
        <v>roofu</v>
      </c>
      <c r="E2318" s="2" t="str">
        <f ca="1">IFERROR(__xludf.DUMMYFUNCTION("GOOGLETRANSLATE(B2318,""en"",""fr"")"),"rugueux")</f>
        <v>rugueux</v>
      </c>
      <c r="F2318" s="2" t="str">
        <f ca="1">IFERROR(__xludf.DUMMYFUNCTION("GOOGLETRANSLATE(B2318,""en"",""it"")"),"ruvido")</f>
        <v>ruvido</v>
      </c>
      <c r="G2318" s="2" t="str">
        <f ca="1">IFERROR(__xludf.DUMMYFUNCTION("GOOGLETRANSLATE(B2318,""en"",""de"")"),"rauh")</f>
        <v>rauh</v>
      </c>
      <c r="H2318" s="2" t="str">
        <f ca="1">IFERROR(__xludf.DUMMYFUNCTION("GOOGLETRANSLATE(B2318,""en"",""zh"")"),"粗糙的")</f>
        <v>粗糙的</v>
      </c>
      <c r="I2318" s="2" t="str">
        <f ca="1">IFERROR(__xludf.DUMMYFUNCTION("GOOGLETRANSLATE(B2318,""en"",""gd"")"),"garbh")</f>
        <v>garbh</v>
      </c>
    </row>
    <row r="2319" spans="1:9" ht="14.25" customHeight="1" x14ac:dyDescent="0.3">
      <c r="A2319" s="2">
        <v>2318</v>
      </c>
      <c r="B2319" s="3" t="s">
        <v>2326</v>
      </c>
      <c r="C2319" s="2" t="str">
        <f ca="1">IFERROR(__xludf.DUMMYFUNCTION("GOOGLETRANSLATE(B2319, ""en"",""es"")"),"bolígrafo")</f>
        <v>bolígrafo</v>
      </c>
      <c r="D2319" s="2" t="str">
        <f ca="1">IFERROR(__xludf.DUMMYFUNCTION("GOOGLETRANSLATE(B2319,""en"",""ig"")"),"pen")</f>
        <v>pen</v>
      </c>
      <c r="E2319" s="2" t="str">
        <f ca="1">IFERROR(__xludf.DUMMYFUNCTION("GOOGLETRANSLATE(B2319,""en"",""fr"")"),"stylo")</f>
        <v>stylo</v>
      </c>
      <c r="F2319" s="2" t="str">
        <f ca="1">IFERROR(__xludf.DUMMYFUNCTION("GOOGLETRANSLATE(B2319,""en"",""it"")"),"penna")</f>
        <v>penna</v>
      </c>
      <c r="G2319" s="2" t="str">
        <f ca="1">IFERROR(__xludf.DUMMYFUNCTION("GOOGLETRANSLATE(B2319,""en"",""de"")"),"Stift")</f>
        <v>Stift</v>
      </c>
      <c r="H2319" s="2" t="str">
        <f ca="1">IFERROR(__xludf.DUMMYFUNCTION("GOOGLETRANSLATE(B2319,""en"",""zh"")"),"笔")</f>
        <v>笔</v>
      </c>
      <c r="I2319" s="2" t="str">
        <f ca="1">IFERROR(__xludf.DUMMYFUNCTION("GOOGLETRANSLATE(B2319,""en"",""gd"")"),"peann")</f>
        <v>peann</v>
      </c>
    </row>
    <row r="2320" spans="1:9" ht="14.25" customHeight="1" x14ac:dyDescent="0.3">
      <c r="A2320" s="2">
        <v>2319</v>
      </c>
      <c r="B2320" s="3" t="s">
        <v>2327</v>
      </c>
      <c r="C2320" s="2" t="str">
        <f ca="1">IFERROR(__xludf.DUMMYFUNCTION("GOOGLETRANSLATE(B2320, ""en"",""es"")"),"recuperación")</f>
        <v>recuperación</v>
      </c>
      <c r="D2320" s="2" t="str">
        <f ca="1">IFERROR(__xludf.DUMMYFUNCTION("GOOGLETRANSLATE(B2320,""en"",""ig"")"),"mgbake")</f>
        <v>mgbake</v>
      </c>
      <c r="E2320" s="2" t="str">
        <f ca="1">IFERROR(__xludf.DUMMYFUNCTION("GOOGLETRANSLATE(B2320,""en"",""fr"")"),"récupération")</f>
        <v>récupération</v>
      </c>
      <c r="F2320" s="2" t="str">
        <f ca="1">IFERROR(__xludf.DUMMYFUNCTION("GOOGLETRANSLATE(B2320,""en"",""it"")"),"recupero")</f>
        <v>recupero</v>
      </c>
      <c r="G2320" s="2" t="str">
        <f ca="1">IFERROR(__xludf.DUMMYFUNCTION("GOOGLETRANSLATE(B2320,""en"",""de"")"),"Erholung")</f>
        <v>Erholung</v>
      </c>
      <c r="H2320" s="2" t="str">
        <f ca="1">IFERROR(__xludf.DUMMYFUNCTION("GOOGLETRANSLATE(B2320,""en"",""zh"")"),"恢复")</f>
        <v>恢复</v>
      </c>
      <c r="I2320" s="2" t="str">
        <f ca="1">IFERROR(__xludf.DUMMYFUNCTION("GOOGLETRANSLATE(B2320,""en"",""gd"")"),"Ath-bheothachadh")</f>
        <v>Ath-bheothachadh</v>
      </c>
    </row>
    <row r="2321" spans="1:9" ht="14.25" customHeight="1" x14ac:dyDescent="0.3">
      <c r="A2321" s="2">
        <v>2320</v>
      </c>
      <c r="B2321" s="3" t="s">
        <v>2328</v>
      </c>
      <c r="C2321" s="2" t="str">
        <f ca="1">IFERROR(__xludf.DUMMYFUNCTION("GOOGLETRANSLATE(B2321, ""en"",""es"")"),"sello")</f>
        <v>sello</v>
      </c>
      <c r="D2321" s="2" t="str">
        <f ca="1">IFERROR(__xludf.DUMMYFUNCTION("GOOGLETRANSLATE(B2321,""en"",""ig"")"),"siil")</f>
        <v>siil</v>
      </c>
      <c r="E2321" s="2" t="str">
        <f ca="1">IFERROR(__xludf.DUMMYFUNCTION("GOOGLETRANSLATE(B2321,""en"",""fr"")"),"joint")</f>
        <v>joint</v>
      </c>
      <c r="F2321" s="2" t="str">
        <f ca="1">IFERROR(__xludf.DUMMYFUNCTION("GOOGLETRANSLATE(B2321,""en"",""it"")"),"foca")</f>
        <v>foca</v>
      </c>
      <c r="G2321" s="2" t="str">
        <f ca="1">IFERROR(__xludf.DUMMYFUNCTION("GOOGLETRANSLATE(B2321,""en"",""de"")"),"Siegel")</f>
        <v>Siegel</v>
      </c>
      <c r="H2321" s="2" t="str">
        <f ca="1">IFERROR(__xludf.DUMMYFUNCTION("GOOGLETRANSLATE(B2321,""en"",""zh"")"),"海豹")</f>
        <v>海豹</v>
      </c>
      <c r="I2321" s="2" t="str">
        <f ca="1">IFERROR(__xludf.DUMMYFUNCTION("GOOGLETRANSLATE(B2321,""en"",""gd"")"),"ròn")</f>
        <v>ròn</v>
      </c>
    </row>
    <row r="2322" spans="1:9" ht="14.25" customHeight="1" x14ac:dyDescent="0.3">
      <c r="A2322" s="2">
        <v>2321</v>
      </c>
      <c r="B2322" s="3" t="s">
        <v>2329</v>
      </c>
      <c r="C2322" s="2" t="str">
        <f ca="1">IFERROR(__xludf.DUMMYFUNCTION("GOOGLETRANSLATE(B2322, ""en"",""es"")"),"tubo")</f>
        <v>tubo</v>
      </c>
      <c r="D2322" s="2" t="str">
        <f ca="1">IFERROR(__xludf.DUMMYFUNCTION("GOOGLETRANSLATE(B2322,""en"",""ig"")"),"tub")</f>
        <v>tub</v>
      </c>
      <c r="E2322" s="2" t="str">
        <f ca="1">IFERROR(__xludf.DUMMYFUNCTION("GOOGLETRANSLATE(B2322,""en"",""fr"")"),"tube")</f>
        <v>tube</v>
      </c>
      <c r="F2322" s="2" t="str">
        <f ca="1">IFERROR(__xludf.DUMMYFUNCTION("GOOGLETRANSLATE(B2322,""en"",""it"")"),"tubo")</f>
        <v>tubo</v>
      </c>
      <c r="G2322" s="2" t="str">
        <f ca="1">IFERROR(__xludf.DUMMYFUNCTION("GOOGLETRANSLATE(B2322,""en"",""de"")"),"Rohr")</f>
        <v>Rohr</v>
      </c>
      <c r="H2322" s="2" t="str">
        <f ca="1">IFERROR(__xludf.DUMMYFUNCTION("GOOGLETRANSLATE(B2322,""en"",""zh"")"),"管子")</f>
        <v>管子</v>
      </c>
      <c r="I2322" s="2" t="str">
        <f ca="1">IFERROR(__xludf.DUMMYFUNCTION("GOOGLETRANSLATE(B2322,""en"",""gd"")"),"tiùb")</f>
        <v>tiùb</v>
      </c>
    </row>
    <row r="2323" spans="1:9" ht="14.25" customHeight="1" x14ac:dyDescent="0.3">
      <c r="A2323" s="2">
        <v>2322</v>
      </c>
      <c r="B2323" s="3" t="s">
        <v>2330</v>
      </c>
      <c r="C2323" s="2" t="str">
        <f ca="1">IFERROR(__xludf.DUMMYFUNCTION("GOOGLETRANSLATE(B2323, ""en"",""es"")"),"torre")</f>
        <v>torre</v>
      </c>
      <c r="D2323" s="2" t="str">
        <f ca="1">IFERROR(__xludf.DUMMYFUNCTION("GOOGLETRANSLATE(B2323,""en"",""ig"")"),"towa")</f>
        <v>towa</v>
      </c>
      <c r="E2323" s="2" t="str">
        <f ca="1">IFERROR(__xludf.DUMMYFUNCTION("GOOGLETRANSLATE(B2323,""en"",""fr"")"),"la tour")</f>
        <v>la tour</v>
      </c>
      <c r="F2323" s="2" t="str">
        <f ca="1">IFERROR(__xludf.DUMMYFUNCTION("GOOGLETRANSLATE(B2323,""en"",""it"")"),"Torre")</f>
        <v>Torre</v>
      </c>
      <c r="G2323" s="2" t="str">
        <f ca="1">IFERROR(__xludf.DUMMYFUNCTION("GOOGLETRANSLATE(B2323,""en"",""de"")"),"Turm")</f>
        <v>Turm</v>
      </c>
      <c r="H2323" s="2" t="str">
        <f ca="1">IFERROR(__xludf.DUMMYFUNCTION("GOOGLETRANSLATE(B2323,""en"",""zh"")"),"塔")</f>
        <v>塔</v>
      </c>
      <c r="I2323" s="2" t="str">
        <f ca="1">IFERROR(__xludf.DUMMYFUNCTION("GOOGLETRANSLATE(B2323,""en"",""gd"")"),"Tùr")</f>
        <v>Tùr</v>
      </c>
    </row>
    <row r="2324" spans="1:9" ht="14.25" customHeight="1" x14ac:dyDescent="0.3">
      <c r="A2324" s="2">
        <v>2323</v>
      </c>
      <c r="B2324" s="3" t="s">
        <v>2331</v>
      </c>
      <c r="C2324" s="2" t="str">
        <f ca="1">IFERROR(__xludf.DUMMYFUNCTION("GOOGLETRANSLATE(B2324, ""en"",""es"")"),"caracterizar")</f>
        <v>caracterizar</v>
      </c>
      <c r="D2324" s="2" t="str">
        <f ca="1">IFERROR(__xludf.DUMMYFUNCTION("GOOGLETRANSLATE(B2324,""en"",""ig"")"),"keariri")</f>
        <v>keariri</v>
      </c>
      <c r="E2324" s="2" t="str">
        <f ca="1">IFERROR(__xludf.DUMMYFUNCTION("GOOGLETRANSLATE(B2324,""en"",""fr"")"),"caractériser")</f>
        <v>caractériser</v>
      </c>
      <c r="F2324" s="2" t="str">
        <f ca="1">IFERROR(__xludf.DUMMYFUNCTION("GOOGLETRANSLATE(B2324,""en"",""it"")"),"caratterizzare")</f>
        <v>caratterizzare</v>
      </c>
      <c r="G2324" s="2" t="str">
        <f ca="1">IFERROR(__xludf.DUMMYFUNCTION("GOOGLETRANSLATE(B2324,""en"",""de"")"),"charakterisieren")</f>
        <v>charakterisieren</v>
      </c>
      <c r="H2324" s="2" t="str">
        <f ca="1">IFERROR(__xludf.DUMMYFUNCTION("GOOGLETRANSLATE(B2324,""en"",""zh"")"),"特征")</f>
        <v>特征</v>
      </c>
      <c r="I2324" s="2" t="str">
        <f ca="1">IFERROR(__xludf.DUMMYFUNCTION("GOOGLETRANSLATE(B2324,""en"",""gd"")"),"caractar")</f>
        <v>caractar</v>
      </c>
    </row>
    <row r="2325" spans="1:9" ht="14.25" customHeight="1" x14ac:dyDescent="0.3">
      <c r="A2325" s="2">
        <v>2324</v>
      </c>
      <c r="B2325" s="3" t="s">
        <v>2332</v>
      </c>
      <c r="C2325" s="2" t="str">
        <f ca="1">IFERROR(__xludf.DUMMYFUNCTION("GOOGLETRANSLATE(B2325, ""en"",""es"")"),"especificar")</f>
        <v>especificar</v>
      </c>
      <c r="D2325" s="2" t="str">
        <f ca="1">IFERROR(__xludf.DUMMYFUNCTION("GOOGLETRANSLATE(B2325,""en"",""ig"")"),"keeputa")</f>
        <v>keeputa</v>
      </c>
      <c r="E2325" s="2" t="str">
        <f ca="1">IFERROR(__xludf.DUMMYFUNCTION("GOOGLETRANSLATE(B2325,""en"",""fr"")"),"spécifier")</f>
        <v>spécifier</v>
      </c>
      <c r="F2325" s="2" t="str">
        <f ca="1">IFERROR(__xludf.DUMMYFUNCTION("GOOGLETRANSLATE(B2325,""en"",""it"")"),"specificare")</f>
        <v>specificare</v>
      </c>
      <c r="G2325" s="2" t="str">
        <f ca="1">IFERROR(__xludf.DUMMYFUNCTION("GOOGLETRANSLATE(B2325,""en"",""de"")"),"angeben")</f>
        <v>angeben</v>
      </c>
      <c r="H2325" s="2" t="str">
        <f ca="1">IFERROR(__xludf.DUMMYFUNCTION("GOOGLETRANSLATE(B2325,""en"",""zh"")"),"指定")</f>
        <v>指定</v>
      </c>
      <c r="I2325" s="2" t="str">
        <f ca="1">IFERROR(__xludf.DUMMYFUNCTION("GOOGLETRANSLATE(B2325,""en"",""gd"")"),"Sònraich")</f>
        <v>Sònraich</v>
      </c>
    </row>
    <row r="2326" spans="1:9" ht="14.25" customHeight="1" x14ac:dyDescent="0.3">
      <c r="A2326" s="2">
        <v>2325</v>
      </c>
      <c r="B2326" s="3" t="s">
        <v>2333</v>
      </c>
      <c r="C2326" s="2" t="str">
        <f ca="1">IFERROR(__xludf.DUMMYFUNCTION("GOOGLETRANSLATE(B2326, ""en"",""es"")"),"exacto")</f>
        <v>exacto</v>
      </c>
      <c r="D2326" s="2" t="str">
        <f ca="1">IFERROR(__xludf.DUMMYFUNCTION("GOOGLETRANSLATE(B2326,""en"",""ig"")"),"kpom kwem")</f>
        <v>kpom kwem</v>
      </c>
      <c r="E2326" s="2" t="str">
        <f ca="1">IFERROR(__xludf.DUMMYFUNCTION("GOOGLETRANSLATE(B2326,""en"",""fr"")"),"exact")</f>
        <v>exact</v>
      </c>
      <c r="F2326" s="2" t="str">
        <f ca="1">IFERROR(__xludf.DUMMYFUNCTION("GOOGLETRANSLATE(B2326,""en"",""it"")"),"esatto")</f>
        <v>esatto</v>
      </c>
      <c r="G2326" s="2" t="str">
        <f ca="1">IFERROR(__xludf.DUMMYFUNCTION("GOOGLETRANSLATE(B2326,""en"",""de"")"),"genau")</f>
        <v>genau</v>
      </c>
      <c r="H2326" s="2" t="str">
        <f ca="1">IFERROR(__xludf.DUMMYFUNCTION("GOOGLETRANSLATE(B2326,""en"",""zh"")"),"精确的")</f>
        <v>精确的</v>
      </c>
      <c r="I2326" s="2" t="str">
        <f ca="1">IFERROR(__xludf.DUMMYFUNCTION("GOOGLETRANSLATE(B2326,""en"",""gd"")"),"mionaideach")</f>
        <v>mionaideach</v>
      </c>
    </row>
    <row r="2327" spans="1:9" ht="14.25" customHeight="1" x14ac:dyDescent="0.3">
      <c r="A2327" s="2">
        <v>2326</v>
      </c>
      <c r="B2327" s="3" t="s">
        <v>2334</v>
      </c>
      <c r="C2327" s="2" t="str">
        <f ca="1">IFERROR(__xludf.DUMMYFUNCTION("GOOGLETRANSLATE(B2327, ""en"",""es"")"),"girar")</f>
        <v>girar</v>
      </c>
      <c r="D2327" s="2" t="str">
        <f ca="1">IFERROR(__xludf.DUMMYFUNCTION("GOOGLETRANSLATE(B2327,""en"",""ig"")"),"igbagburugburu")</f>
        <v>igbagburugburu</v>
      </c>
      <c r="E2327" s="2" t="str">
        <f ca="1">IFERROR(__xludf.DUMMYFUNCTION("GOOGLETRANSLATE(B2327,""en"",""fr"")"),"rotation")</f>
        <v>rotation</v>
      </c>
      <c r="F2327" s="2" t="str">
        <f ca="1">IFERROR(__xludf.DUMMYFUNCTION("GOOGLETRANSLATE(B2327,""en"",""it"")"),"rotazione")</f>
        <v>rotazione</v>
      </c>
      <c r="G2327" s="2" t="str">
        <f ca="1">IFERROR(__xludf.DUMMYFUNCTION("GOOGLETRANSLATE(B2327,""en"",""de"")"),"drehen")</f>
        <v>drehen</v>
      </c>
      <c r="H2327" s="2" t="str">
        <f ca="1">IFERROR(__xludf.DUMMYFUNCTION("GOOGLETRANSLATE(B2327,""en"",""zh"")"),"旋转")</f>
        <v>旋转</v>
      </c>
      <c r="I2327" s="2" t="str">
        <f ca="1">IFERROR(__xludf.DUMMYFUNCTION("GOOGLETRANSLATE(B2327,""en"",""gd"")"),"Spin")</f>
        <v>Spin</v>
      </c>
    </row>
    <row r="2328" spans="1:9" ht="14.25" customHeight="1" x14ac:dyDescent="0.3">
      <c r="A2328" s="2">
        <v>2327</v>
      </c>
      <c r="B2328" s="3" t="s">
        <v>2335</v>
      </c>
      <c r="C2328" s="2" t="str">
        <f ca="1">IFERROR(__xludf.DUMMYFUNCTION("GOOGLETRANSLATE(B2328, ""en"",""es"")"),"operador")</f>
        <v>operador</v>
      </c>
      <c r="D2328" s="2" t="str">
        <f ca="1">IFERROR(__xludf.DUMMYFUNCTION("GOOGLETRANSLATE(B2328,""en"",""ig"")"),"opereto")</f>
        <v>opereto</v>
      </c>
      <c r="E2328" s="2" t="str">
        <f ca="1">IFERROR(__xludf.DUMMYFUNCTION("GOOGLETRANSLATE(B2328,""en"",""fr"")"),"opérateur")</f>
        <v>opérateur</v>
      </c>
      <c r="F2328" s="2" t="str">
        <f ca="1">IFERROR(__xludf.DUMMYFUNCTION("GOOGLETRANSLATE(B2328,""en"",""it"")"),"operatore")</f>
        <v>operatore</v>
      </c>
      <c r="G2328" s="2" t="str">
        <f ca="1">IFERROR(__xludf.DUMMYFUNCTION("GOOGLETRANSLATE(B2328,""en"",""de"")"),"Operator")</f>
        <v>Operator</v>
      </c>
      <c r="H2328" s="2" t="str">
        <f ca="1">IFERROR(__xludf.DUMMYFUNCTION("GOOGLETRANSLATE(B2328,""en"",""zh"")"),"操作员")</f>
        <v>操作员</v>
      </c>
      <c r="I2328" s="2" t="str">
        <f ca="1">IFERROR(__xludf.DUMMYFUNCTION("GOOGLETRANSLATE(B2328,""en"",""gd"")"),"gnìomhaiche")</f>
        <v>gnìomhaiche</v>
      </c>
    </row>
    <row r="2329" spans="1:9" ht="14.25" customHeight="1" x14ac:dyDescent="0.3">
      <c r="A2329" s="2">
        <v>2328</v>
      </c>
      <c r="B2329" s="3" t="s">
        <v>2336</v>
      </c>
      <c r="C2329" s="2" t="str">
        <f ca="1">IFERROR(__xludf.DUMMYFUNCTION("GOOGLETRANSLATE(B2329, ""en"",""es"")"),"niño")</f>
        <v>niño</v>
      </c>
      <c r="D2329" s="2" t="str">
        <f ca="1">IFERROR(__xludf.DUMMYFUNCTION("GOOGLETRANSLATE(B2329,""en"",""ig"")"),"obere nwa")</f>
        <v>obere nwa</v>
      </c>
      <c r="E2329" s="2" t="str">
        <f ca="1">IFERROR(__xludf.DUMMYFUNCTION("GOOGLETRANSLATE(B2329,""en"",""fr"")"),"nourrisson")</f>
        <v>nourrisson</v>
      </c>
      <c r="F2329" s="2" t="str">
        <f ca="1">IFERROR(__xludf.DUMMYFUNCTION("GOOGLETRANSLATE(B2329,""en"",""it"")"),"neonato")</f>
        <v>neonato</v>
      </c>
      <c r="G2329" s="2" t="str">
        <f ca="1">IFERROR(__xludf.DUMMYFUNCTION("GOOGLETRANSLATE(B2329,""en"",""de"")"),"Säugling")</f>
        <v>Säugling</v>
      </c>
      <c r="H2329" s="2" t="str">
        <f ca="1">IFERROR(__xludf.DUMMYFUNCTION("GOOGLETRANSLATE(B2329,""en"",""zh"")"),"婴儿")</f>
        <v>婴儿</v>
      </c>
      <c r="I2329" s="2" t="str">
        <f ca="1">IFERROR(__xludf.DUMMYFUNCTION("GOOGLETRANSLATE(B2329,""en"",""gd"")"),"pàisde")</f>
        <v>pàisde</v>
      </c>
    </row>
    <row r="2330" spans="1:9" ht="14.25" customHeight="1" x14ac:dyDescent="0.3">
      <c r="A2330" s="2">
        <v>2329</v>
      </c>
      <c r="B2330" s="3" t="s">
        <v>2337</v>
      </c>
      <c r="C2330" s="2" t="str">
        <f ca="1">IFERROR(__xludf.DUMMYFUNCTION("GOOGLETRANSLATE(B2330, ""en"",""es"")"),"excavar")</f>
        <v>excavar</v>
      </c>
      <c r="D2330" s="2" t="str">
        <f ca="1">IFERROR(__xludf.DUMMYFUNCTION("GOOGLETRANSLATE(B2330,""en"",""ig"")"),"igwu")</f>
        <v>igwu</v>
      </c>
      <c r="E2330" s="2" t="str">
        <f ca="1">IFERROR(__xludf.DUMMYFUNCTION("GOOGLETRANSLATE(B2330,""en"",""fr"")"),"creuser")</f>
        <v>creuser</v>
      </c>
      <c r="F2330" s="2" t="str">
        <f ca="1">IFERROR(__xludf.DUMMYFUNCTION("GOOGLETRANSLATE(B2330,""en"",""it"")"),"scavare")</f>
        <v>scavare</v>
      </c>
      <c r="G2330" s="2" t="str">
        <f ca="1">IFERROR(__xludf.DUMMYFUNCTION("GOOGLETRANSLATE(B2330,""en"",""de"")"),"graben")</f>
        <v>graben</v>
      </c>
      <c r="H2330" s="2" t="str">
        <f ca="1">IFERROR(__xludf.DUMMYFUNCTION("GOOGLETRANSLATE(B2330,""en"",""zh"")"),"挖")</f>
        <v>挖</v>
      </c>
      <c r="I2330" s="2" t="str">
        <f ca="1">IFERROR(__xludf.DUMMYFUNCTION("GOOGLETRANSLATE(B2330,""en"",""gd"")"),"cladhach")</f>
        <v>cladhach</v>
      </c>
    </row>
    <row r="2331" spans="1:9" ht="14.25" customHeight="1" x14ac:dyDescent="0.3">
      <c r="A2331" s="2">
        <v>2330</v>
      </c>
      <c r="B2331" s="3" t="s">
        <v>2338</v>
      </c>
      <c r="C2331" s="2" t="str">
        <f ca="1">IFERROR(__xludf.DUMMYFUNCTION("GOOGLETRANSLATE(B2331, ""en"",""es"")"),"arrastrar")</f>
        <v>arrastrar</v>
      </c>
      <c r="D2331" s="2" t="str">
        <f ca="1">IFERROR(__xludf.DUMMYFUNCTION("GOOGLETRANSLATE(B2331,""en"",""ig"")"),"ikpuru")</f>
        <v>ikpuru</v>
      </c>
      <c r="E2331" s="2" t="str">
        <f ca="1">IFERROR(__xludf.DUMMYFUNCTION("GOOGLETRANSLATE(B2331,""en"",""fr"")"),"traîner")</f>
        <v>traîner</v>
      </c>
      <c r="F2331" s="2" t="str">
        <f ca="1">IFERROR(__xludf.DUMMYFUNCTION("GOOGLETRANSLATE(B2331,""en"",""it"")"),"lagna")</f>
        <v>lagna</v>
      </c>
      <c r="G2331" s="2" t="str">
        <f ca="1">IFERROR(__xludf.DUMMYFUNCTION("GOOGLETRANSLATE(B2331,""en"",""de"")"),"ziehen")</f>
        <v>ziehen</v>
      </c>
      <c r="H2331" s="2" t="str">
        <f ca="1">IFERROR(__xludf.DUMMYFUNCTION("GOOGLETRANSLATE(B2331,""en"",""zh"")"),"拖")</f>
        <v>拖</v>
      </c>
      <c r="I2331" s="2" t="str">
        <f ca="1">IFERROR(__xludf.DUMMYFUNCTION("GOOGLETRANSLATE(B2331,""en"",""gd"")"),"Slaod")</f>
        <v>Slaod</v>
      </c>
    </row>
    <row r="2332" spans="1:9" ht="14.25" customHeight="1" x14ac:dyDescent="0.3">
      <c r="A2332" s="2">
        <v>2331</v>
      </c>
      <c r="B2332" s="3" t="s">
        <v>2339</v>
      </c>
      <c r="C2332" s="2" t="str">
        <f ca="1">IFERROR(__xludf.DUMMYFUNCTION("GOOGLETRANSLATE(B2332, ""en"",""es"")"),"montar")</f>
        <v>montar</v>
      </c>
      <c r="D2332" s="2" t="str">
        <f ca="1">IFERROR(__xludf.DUMMYFUNCTION("GOOGLETRANSLATE(B2332,""en"",""ig"")"),"ugwu")</f>
        <v>ugwu</v>
      </c>
      <c r="E2332" s="2" t="str">
        <f ca="1">IFERROR(__xludf.DUMMYFUNCTION("GOOGLETRANSLATE(B2332,""en"",""fr"")"),"monter")</f>
        <v>monter</v>
      </c>
      <c r="F2332" s="2" t="str">
        <f ca="1">IFERROR(__xludf.DUMMYFUNCTION("GOOGLETRANSLATE(B2332,""en"",""it"")"),"montare")</f>
        <v>montare</v>
      </c>
      <c r="G2332" s="2" t="str">
        <f ca="1">IFERROR(__xludf.DUMMYFUNCTION("GOOGLETRANSLATE(B2332,""en"",""de"")"),"montieren")</f>
        <v>montieren</v>
      </c>
      <c r="H2332" s="2" t="str">
        <f ca="1">IFERROR(__xludf.DUMMYFUNCTION("GOOGLETRANSLATE(B2332,""en"",""zh"")"),"山")</f>
        <v>山</v>
      </c>
      <c r="I2332" s="2" t="str">
        <f ca="1">IFERROR(__xludf.DUMMYFUNCTION("GOOGLETRANSLATE(B2332,""en"",""gd"")"),"Mount")</f>
        <v>Mount</v>
      </c>
    </row>
    <row r="2333" spans="1:9" ht="14.25" customHeight="1" x14ac:dyDescent="0.3">
      <c r="A2333" s="2">
        <v>2332</v>
      </c>
      <c r="B2333" s="3" t="s">
        <v>2340</v>
      </c>
      <c r="C2333" s="2" t="str">
        <f ca="1">IFERROR(__xludf.DUMMYFUNCTION("GOOGLETRANSLATE(B2333, ""en"",""es"")"),"envoltura")</f>
        <v>envoltura</v>
      </c>
      <c r="D2333" s="2" t="str">
        <f ca="1">IFERROR(__xludf.DUMMYFUNCTION("GOOGLETRANSLATE(B2333,""en"",""ig"")"),"kechie")</f>
        <v>kechie</v>
      </c>
      <c r="E2333" s="2" t="str">
        <f ca="1">IFERROR(__xludf.DUMMYFUNCTION("GOOGLETRANSLATE(B2333,""en"",""fr"")"),"envelopper")</f>
        <v>envelopper</v>
      </c>
      <c r="F2333" s="2" t="str">
        <f ca="1">IFERROR(__xludf.DUMMYFUNCTION("GOOGLETRANSLATE(B2333,""en"",""it"")"),"avvolgere")</f>
        <v>avvolgere</v>
      </c>
      <c r="G2333" s="2" t="str">
        <f ca="1">IFERROR(__xludf.DUMMYFUNCTION("GOOGLETRANSLATE(B2333,""en"",""de"")"),"wickeln")</f>
        <v>wickeln</v>
      </c>
      <c r="H2333" s="2" t="str">
        <f ca="1">IFERROR(__xludf.DUMMYFUNCTION("GOOGLETRANSLATE(B2333,""en"",""zh"")"),"裹")</f>
        <v>裹</v>
      </c>
      <c r="I2333" s="2" t="str">
        <f ca="1">IFERROR(__xludf.DUMMYFUNCTION("GOOGLETRANSLATE(B2333,""en"",""gd"")"),"Paisg")</f>
        <v>Paisg</v>
      </c>
    </row>
    <row r="2334" spans="1:9" ht="14.25" customHeight="1" x14ac:dyDescent="0.3">
      <c r="A2334" s="2">
        <v>2333</v>
      </c>
      <c r="B2334" s="3" t="s">
        <v>2341</v>
      </c>
      <c r="C2334" s="2" t="str">
        <f ca="1">IFERROR(__xludf.DUMMYFUNCTION("GOOGLETRANSLATE(B2334, ""en"",""es"")"),"anticipar")</f>
        <v>anticipar</v>
      </c>
      <c r="D2334" s="2" t="str">
        <f ca="1">IFERROR(__xludf.DUMMYFUNCTION("GOOGLETRANSLATE(B2334,""en"",""ig"")"),"itu anya")</f>
        <v>itu anya</v>
      </c>
      <c r="E2334" s="2" t="str">
        <f ca="1">IFERROR(__xludf.DUMMYFUNCTION("GOOGLETRANSLATE(B2334,""en"",""fr"")"),"anticiper")</f>
        <v>anticiper</v>
      </c>
      <c r="F2334" s="2" t="str">
        <f ca="1">IFERROR(__xludf.DUMMYFUNCTION("GOOGLETRANSLATE(B2334,""en"",""it"")"),"anticipare")</f>
        <v>anticipare</v>
      </c>
      <c r="G2334" s="2" t="str">
        <f ca="1">IFERROR(__xludf.DUMMYFUNCTION("GOOGLETRANSLATE(B2334,""en"",""de"")"),"antizipieren")</f>
        <v>antizipieren</v>
      </c>
      <c r="H2334" s="2" t="str">
        <f ca="1">IFERROR(__xludf.DUMMYFUNCTION("GOOGLETRANSLATE(B2334,""en"",""zh"")"),"预料")</f>
        <v>预料</v>
      </c>
      <c r="I2334" s="2" t="str">
        <f ca="1">IFERROR(__xludf.DUMMYFUNCTION("GOOGLETRANSLATE(B2334,""en"",""gd"")"),"SUBIPATE")</f>
        <v>SUBIPATE</v>
      </c>
    </row>
    <row r="2335" spans="1:9" ht="14.25" customHeight="1" x14ac:dyDescent="0.3">
      <c r="A2335" s="2">
        <v>2334</v>
      </c>
      <c r="B2335" s="3" t="s">
        <v>2342</v>
      </c>
      <c r="C2335" s="2" t="str">
        <f ca="1">IFERROR(__xludf.DUMMYFUNCTION("GOOGLETRANSLATE(B2335, ""en"",""es"")"),"dependiente")</f>
        <v>dependiente</v>
      </c>
      <c r="D2335" s="2" t="str">
        <f ca="1">IFERROR(__xludf.DUMMYFUNCTION("GOOGLETRANSLATE(B2335,""en"",""ig"")"),"ndabere")</f>
        <v>ndabere</v>
      </c>
      <c r="E2335" s="2" t="str">
        <f ca="1">IFERROR(__xludf.DUMMYFUNCTION("GOOGLETRANSLATE(B2335,""en"",""fr"")"),"dépendant")</f>
        <v>dépendant</v>
      </c>
      <c r="F2335" s="2" t="str">
        <f ca="1">IFERROR(__xludf.DUMMYFUNCTION("GOOGLETRANSLATE(B2335,""en"",""it"")"),"dipendente")</f>
        <v>dipendente</v>
      </c>
      <c r="G2335" s="2" t="str">
        <f ca="1">IFERROR(__xludf.DUMMYFUNCTION("GOOGLETRANSLATE(B2335,""en"",""de"")"),"abhängig")</f>
        <v>abhängig</v>
      </c>
      <c r="H2335" s="2" t="str">
        <f ca="1">IFERROR(__xludf.DUMMYFUNCTION("GOOGLETRANSLATE(B2335,""en"",""zh"")"),"依赖")</f>
        <v>依赖</v>
      </c>
      <c r="I2335" s="2" t="str">
        <f ca="1">IFERROR(__xludf.DUMMYFUNCTION("GOOGLETRANSLATE(B2335,""en"",""gd"")"),"an urra")</f>
        <v>an urra</v>
      </c>
    </row>
    <row r="2336" spans="1:9" ht="14.25" customHeight="1" x14ac:dyDescent="0.3">
      <c r="A2336" s="2">
        <v>2335</v>
      </c>
      <c r="B2336" s="3" t="s">
        <v>2343</v>
      </c>
      <c r="C2336" s="2" t="str">
        <f ca="1">IFERROR(__xludf.DUMMYFUNCTION("GOOGLETRANSLATE(B2336, ""en"",""es"")"),"especializarse")</f>
        <v>especializarse</v>
      </c>
      <c r="D2336" s="2" t="str">
        <f ca="1">IFERROR(__xludf.DUMMYFUNCTION("GOOGLETRANSLATE(B2336,""en"",""ig"")"),"puoiche")</f>
        <v>puoiche</v>
      </c>
      <c r="E2336" s="2" t="str">
        <f ca="1">IFERROR(__xludf.DUMMYFUNCTION("GOOGLETRANSLATE(B2336,""en"",""fr"")"),"spécialiser")</f>
        <v>spécialiser</v>
      </c>
      <c r="F2336" s="2" t="str">
        <f ca="1">IFERROR(__xludf.DUMMYFUNCTION("GOOGLETRANSLATE(B2336,""en"",""it"")"),"specializzarsi")</f>
        <v>specializzarsi</v>
      </c>
      <c r="G2336" s="2" t="str">
        <f ca="1">IFERROR(__xludf.DUMMYFUNCTION("GOOGLETRANSLATE(B2336,""en"",""de"")"),"spezialisiert")</f>
        <v>spezialisiert</v>
      </c>
      <c r="H2336" s="2" t="str">
        <f ca="1">IFERROR(__xludf.DUMMYFUNCTION("GOOGLETRANSLATE(B2336,""en"",""zh"")"),"专门")</f>
        <v>专门</v>
      </c>
      <c r="I2336" s="2" t="str">
        <f ca="1">IFERROR(__xludf.DUMMYFUNCTION("GOOGLETRANSLATE(B2336,""en"",""gd"")"),"speisealachadh")</f>
        <v>speisealachadh</v>
      </c>
    </row>
    <row r="2337" spans="1:9" ht="14.25" customHeight="1" x14ac:dyDescent="0.3">
      <c r="A2337" s="2">
        <v>2336</v>
      </c>
      <c r="B2337" s="3" t="s">
        <v>2344</v>
      </c>
      <c r="C2337" s="2" t="str">
        <f ca="1">IFERROR(__xludf.DUMMYFUNCTION("GOOGLETRANSLATE(B2337, ""en"",""es"")"),"ángulo")</f>
        <v>ángulo</v>
      </c>
      <c r="D2337" s="2" t="str">
        <f ca="1">IFERROR(__xludf.DUMMYFUNCTION("GOOGLETRANSLATE(B2337,""en"",""ig"")"),"n'akuku")</f>
        <v>n'akuku</v>
      </c>
      <c r="E2337" s="2" t="str">
        <f ca="1">IFERROR(__xludf.DUMMYFUNCTION("GOOGLETRANSLATE(B2337,""en"",""fr"")"),"angle")</f>
        <v>angle</v>
      </c>
      <c r="F2337" s="2" t="str">
        <f ca="1">IFERROR(__xludf.DUMMYFUNCTION("GOOGLETRANSLATE(B2337,""en"",""it"")"),"angolo")</f>
        <v>angolo</v>
      </c>
      <c r="G2337" s="2" t="str">
        <f ca="1">IFERROR(__xludf.DUMMYFUNCTION("GOOGLETRANSLATE(B2337,""en"",""de"")"),"Winkel")</f>
        <v>Winkel</v>
      </c>
      <c r="H2337" s="2" t="str">
        <f ca="1">IFERROR(__xludf.DUMMYFUNCTION("GOOGLETRANSLATE(B2337,""en"",""zh"")"),"角度")</f>
        <v>角度</v>
      </c>
      <c r="I2337" s="2" t="str">
        <f ca="1">IFERROR(__xludf.DUMMYFUNCTION("GOOGLETRANSLATE(B2337,""en"",""gd"")"),"Ceàrn")</f>
        <v>Ceàrn</v>
      </c>
    </row>
    <row r="2338" spans="1:9" ht="14.25" customHeight="1" x14ac:dyDescent="0.3">
      <c r="A2338" s="2">
        <v>2337</v>
      </c>
      <c r="B2338" s="3" t="s">
        <v>2345</v>
      </c>
      <c r="C2338" s="2" t="str">
        <f ca="1">IFERROR(__xludf.DUMMYFUNCTION("GOOGLETRANSLATE(B2338, ""en"",""es"")"),"pollo")</f>
        <v>pollo</v>
      </c>
      <c r="D2338" s="2" t="str">
        <f ca="1">IFERROR(__xludf.DUMMYFUNCTION("GOOGLETRANSLATE(B2338,""en"",""ig"")"),"ọkụkọ")</f>
        <v>ọkụkọ</v>
      </c>
      <c r="E2338" s="2" t="str">
        <f ca="1">IFERROR(__xludf.DUMMYFUNCTION("GOOGLETRANSLATE(B2338,""en"",""fr"")"),"poulet")</f>
        <v>poulet</v>
      </c>
      <c r="F2338" s="2" t="str">
        <f ca="1">IFERROR(__xludf.DUMMYFUNCTION("GOOGLETRANSLATE(B2338,""en"",""it"")"),"pollo")</f>
        <v>pollo</v>
      </c>
      <c r="G2338" s="2" t="str">
        <f ca="1">IFERROR(__xludf.DUMMYFUNCTION("GOOGLETRANSLATE(B2338,""en"",""de"")"),"Huhn")</f>
        <v>Huhn</v>
      </c>
      <c r="H2338" s="2" t="str">
        <f ca="1">IFERROR(__xludf.DUMMYFUNCTION("GOOGLETRANSLATE(B2338,""en"",""zh"")"),"鸡")</f>
        <v>鸡</v>
      </c>
      <c r="I2338" s="2" t="str">
        <f ca="1">IFERROR(__xludf.DUMMYFUNCTION("GOOGLETRANSLATE(B2338,""en"",""gd"")"),"cearc")</f>
        <v>cearc</v>
      </c>
    </row>
    <row r="2339" spans="1:9" ht="14.25" customHeight="1" x14ac:dyDescent="0.3">
      <c r="A2339" s="2">
        <v>2338</v>
      </c>
      <c r="B2339" s="3" t="s">
        <v>2346</v>
      </c>
      <c r="C2339" s="2" t="str">
        <f ca="1">IFERROR(__xludf.DUMMYFUNCTION("GOOGLETRANSLATE(B2339, ""en"",""es"")"),"ansiedad")</f>
        <v>ansiedad</v>
      </c>
      <c r="D2339" s="2" t="str">
        <f ca="1">IFERROR(__xludf.DUMMYFUNCTION("GOOGLETRANSLATE(B2339,""en"",""ig"")"),"ume mmapu")</f>
        <v>ume mmapu</v>
      </c>
      <c r="E2339" s="2" t="str">
        <f ca="1">IFERROR(__xludf.DUMMYFUNCTION("GOOGLETRANSLATE(B2339,""en"",""fr"")"),"anxiété")</f>
        <v>anxiété</v>
      </c>
      <c r="F2339" s="2" t="str">
        <f ca="1">IFERROR(__xludf.DUMMYFUNCTION("GOOGLETRANSLATE(B2339,""en"",""it"")"),"ansia")</f>
        <v>ansia</v>
      </c>
      <c r="G2339" s="2" t="str">
        <f ca="1">IFERROR(__xludf.DUMMYFUNCTION("GOOGLETRANSLATE(B2339,""en"",""de"")"),"Angst")</f>
        <v>Angst</v>
      </c>
      <c r="H2339" s="2" t="str">
        <f ca="1">IFERROR(__xludf.DUMMYFUNCTION("GOOGLETRANSLATE(B2339,""en"",""zh"")"),"焦虑")</f>
        <v>焦虑</v>
      </c>
      <c r="I2339" s="2" t="str">
        <f ca="1">IFERROR(__xludf.DUMMYFUNCTION("GOOGLETRANSLATE(B2339,""en"",""gd"")"),"iomagain")</f>
        <v>iomagain</v>
      </c>
    </row>
    <row r="2340" spans="1:9" ht="14.25" customHeight="1" x14ac:dyDescent="0.3">
      <c r="A2340" s="2">
        <v>2339</v>
      </c>
      <c r="B2340" s="3" t="s">
        <v>2347</v>
      </c>
      <c r="C2340" s="2" t="str">
        <f ca="1">IFERROR(__xludf.DUMMYFUNCTION("GOOGLETRANSLATE(B2340, ""en"",""es"")"),"virus")</f>
        <v>virus</v>
      </c>
      <c r="D2340" s="2" t="str">
        <f ca="1">IFERROR(__xludf.DUMMYFUNCTION("GOOGLETRANSLATE(B2340,""en"",""ig"")"),"nje")</f>
        <v>nje</v>
      </c>
      <c r="E2340" s="2" t="str">
        <f ca="1">IFERROR(__xludf.DUMMYFUNCTION("GOOGLETRANSLATE(B2340,""en"",""fr"")"),"virus")</f>
        <v>virus</v>
      </c>
      <c r="F2340" s="2" t="str">
        <f ca="1">IFERROR(__xludf.DUMMYFUNCTION("GOOGLETRANSLATE(B2340,""en"",""it"")"),"virus")</f>
        <v>virus</v>
      </c>
      <c r="G2340" s="2" t="str">
        <f ca="1">IFERROR(__xludf.DUMMYFUNCTION("GOOGLETRANSLATE(B2340,""en"",""de"")"),"Virus")</f>
        <v>Virus</v>
      </c>
      <c r="H2340" s="2" t="str">
        <f ca="1">IFERROR(__xludf.DUMMYFUNCTION("GOOGLETRANSLATE(B2340,""en"",""zh"")"),"病毒")</f>
        <v>病毒</v>
      </c>
      <c r="I2340" s="2" t="str">
        <f ca="1">IFERROR(__xludf.DUMMYFUNCTION("GOOGLETRANSLATE(B2340,""en"",""gd"")"),"bhìoras")</f>
        <v>bhìoras</v>
      </c>
    </row>
    <row r="2341" spans="1:9" ht="14.25" customHeight="1" x14ac:dyDescent="0.3">
      <c r="A2341" s="2">
        <v>2340</v>
      </c>
      <c r="B2341" s="3" t="s">
        <v>2348</v>
      </c>
      <c r="C2341" s="2" t="str">
        <f ca="1">IFERROR(__xludf.DUMMYFUNCTION("GOOGLETRANSLATE(B2341, ""en"",""es"")"),"precisamente")</f>
        <v>precisamente</v>
      </c>
      <c r="D2341" s="2" t="str">
        <f ca="1">IFERROR(__xludf.DUMMYFUNCTION("GOOGLETRANSLATE(B2341,""en"",""ig"")"),"udidi")</f>
        <v>udidi</v>
      </c>
      <c r="E2341" s="2" t="str">
        <f ca="1">IFERROR(__xludf.DUMMYFUNCTION("GOOGLETRANSLATE(B2341,""en"",""fr"")"),"précisément")</f>
        <v>précisément</v>
      </c>
      <c r="F2341" s="2" t="str">
        <f ca="1">IFERROR(__xludf.DUMMYFUNCTION("GOOGLETRANSLATE(B2341,""en"",""it"")"),"precisamente")</f>
        <v>precisamente</v>
      </c>
      <c r="G2341" s="2" t="str">
        <f ca="1">IFERROR(__xludf.DUMMYFUNCTION("GOOGLETRANSLATE(B2341,""en"",""de"")"),"genau")</f>
        <v>genau</v>
      </c>
      <c r="H2341" s="2" t="str">
        <f ca="1">IFERROR(__xludf.DUMMYFUNCTION("GOOGLETRANSLATE(B2341,""en"",""zh"")"),"恰恰")</f>
        <v>恰恰</v>
      </c>
      <c r="I2341" s="2" t="str">
        <f ca="1">IFERROR(__xludf.DUMMYFUNCTION("GOOGLETRANSLATE(B2341,""en"",""gd"")"),"gu mionaideach")</f>
        <v>gu mionaideach</v>
      </c>
    </row>
    <row r="2342" spans="1:9" ht="14.25" customHeight="1" x14ac:dyDescent="0.3">
      <c r="A2342" s="2">
        <v>2341</v>
      </c>
      <c r="B2342" s="3" t="s">
        <v>2349</v>
      </c>
      <c r="C2342" s="2" t="str">
        <f ca="1">IFERROR(__xludf.DUMMYFUNCTION("GOOGLETRANSLATE(B2342, ""en"",""es"")"),"rival")</f>
        <v>rival</v>
      </c>
      <c r="D2342" s="2" t="str">
        <f ca="1">IFERROR(__xludf.DUMMYFUNCTION("GOOGLETRANSLATE(B2342,""en"",""ig"")"),"nke ndorodoro")</f>
        <v>nke ndorodoro</v>
      </c>
      <c r="E2342" s="2" t="str">
        <f ca="1">IFERROR(__xludf.DUMMYFUNCTION("GOOGLETRANSLATE(B2342,""en"",""fr"")"),"rival")</f>
        <v>rival</v>
      </c>
      <c r="F2342" s="2" t="str">
        <f ca="1">IFERROR(__xludf.DUMMYFUNCTION("GOOGLETRANSLATE(B2342,""en"",""it"")"),"rivale")</f>
        <v>rivale</v>
      </c>
      <c r="G2342" s="2" t="str">
        <f ca="1">IFERROR(__xludf.DUMMYFUNCTION("GOOGLETRANSLATE(B2342,""en"",""de"")"),"Rivale")</f>
        <v>Rivale</v>
      </c>
      <c r="H2342" s="2" t="str">
        <f ca="1">IFERROR(__xludf.DUMMYFUNCTION("GOOGLETRANSLATE(B2342,""en"",""zh"")"),"竞争对手")</f>
        <v>竞争对手</v>
      </c>
      <c r="I2342" s="2" t="str">
        <f ca="1">IFERROR(__xludf.DUMMYFUNCTION("GOOGLETRANSLATE(B2342,""en"",""gd"")"),"farpaiseach")</f>
        <v>farpaiseach</v>
      </c>
    </row>
    <row r="2343" spans="1:9" ht="14.25" customHeight="1" x14ac:dyDescent="0.3">
      <c r="A2343" s="2">
        <v>2342</v>
      </c>
      <c r="B2343" s="3" t="s">
        <v>2350</v>
      </c>
      <c r="C2343" s="2" t="str">
        <f ca="1">IFERROR(__xludf.DUMMYFUNCTION("GOOGLETRANSLATE(B2343, ""en"",""es"")"),"ofensa")</f>
        <v>ofensa</v>
      </c>
      <c r="D2343" s="2" t="str">
        <f ca="1">IFERROR(__xludf.DUMMYFUNCTION("GOOGLETRANSLATE(B2343,""en"",""ig"")"),"njo")</f>
        <v>njo</v>
      </c>
      <c r="E2343" s="2" t="str">
        <f ca="1">IFERROR(__xludf.DUMMYFUNCTION("GOOGLETRANSLATE(B2343,""en"",""fr"")"),"infraction")</f>
        <v>infraction</v>
      </c>
      <c r="F2343" s="2" t="str">
        <f ca="1">IFERROR(__xludf.DUMMYFUNCTION("GOOGLETRANSLATE(B2343,""en"",""it"")"),"offesa")</f>
        <v>offesa</v>
      </c>
      <c r="G2343" s="2" t="str">
        <f ca="1">IFERROR(__xludf.DUMMYFUNCTION("GOOGLETRANSLATE(B2343,""en"",""de"")"),"Delikt")</f>
        <v>Delikt</v>
      </c>
      <c r="H2343" s="2" t="str">
        <f ca="1">IFERROR(__xludf.DUMMYFUNCTION("GOOGLETRANSLATE(B2343,""en"",""zh"")"),"罪行")</f>
        <v>罪行</v>
      </c>
      <c r="I2343" s="2" t="str">
        <f ca="1">IFERROR(__xludf.DUMMYFUNCTION("GOOGLETRANSLATE(B2343,""en"",""gd"")"),"eucoir")</f>
        <v>eucoir</v>
      </c>
    </row>
    <row r="2344" spans="1:9" ht="14.25" customHeight="1" x14ac:dyDescent="0.3">
      <c r="A2344" s="2">
        <v>2343</v>
      </c>
      <c r="B2344" s="3" t="s">
        <v>2351</v>
      </c>
      <c r="C2344" s="2" t="str">
        <f ca="1">IFERROR(__xludf.DUMMYFUNCTION("GOOGLETRANSLATE(B2344, ""en"",""es"")"),"detectar")</f>
        <v>detectar</v>
      </c>
      <c r="D2344" s="2" t="str">
        <f ca="1">IFERROR(__xludf.DUMMYFUNCTION("GOOGLETRANSLATE(B2344,""en"",""ig"")"),"itu ntu")</f>
        <v>itu ntu</v>
      </c>
      <c r="E2344" s="2" t="str">
        <f ca="1">IFERROR(__xludf.DUMMYFUNCTION("GOOGLETRANSLATE(B2344,""en"",""fr"")"),"détecter")</f>
        <v>détecter</v>
      </c>
      <c r="F2344" s="2" t="str">
        <f ca="1">IFERROR(__xludf.DUMMYFUNCTION("GOOGLETRANSLATE(B2344,""en"",""it"")"),"rilevare")</f>
        <v>rilevare</v>
      </c>
      <c r="G2344" s="2" t="str">
        <f ca="1">IFERROR(__xludf.DUMMYFUNCTION("GOOGLETRANSLATE(B2344,""en"",""de"")"),"erkennen")</f>
        <v>erkennen</v>
      </c>
      <c r="H2344" s="2" t="str">
        <f ca="1">IFERROR(__xludf.DUMMYFUNCTION("GOOGLETRANSLATE(B2344,""en"",""zh"")"),"探测")</f>
        <v>探测</v>
      </c>
      <c r="I2344" s="2" t="str">
        <f ca="1">IFERROR(__xludf.DUMMYFUNCTION("GOOGLETRANSLATE(B2344,""en"",""gd"")"),"lorg")</f>
        <v>lorg</v>
      </c>
    </row>
    <row r="2345" spans="1:9" ht="14.25" customHeight="1" x14ac:dyDescent="0.3">
      <c r="A2345" s="2">
        <v>2344</v>
      </c>
      <c r="B2345" s="3" t="s">
        <v>2352</v>
      </c>
      <c r="C2345" s="2" t="str">
        <f ca="1">IFERROR(__xludf.DUMMYFUNCTION("GOOGLETRANSLATE(B2345, ""en"",""es"")"),"adolescente")</f>
        <v>adolescente</v>
      </c>
      <c r="D2345" s="2" t="str">
        <f ca="1">IFERROR(__xludf.DUMMYFUNCTION("GOOGLETRANSLATE(B2345,""en"",""ig"")"),"nwaokorobia")</f>
        <v>nwaokorobia</v>
      </c>
      <c r="E2345" s="2" t="str">
        <f ca="1">IFERROR(__xludf.DUMMYFUNCTION("GOOGLETRANSLATE(B2345,""en"",""fr"")"),"adolescent")</f>
        <v>adolescent</v>
      </c>
      <c r="F2345" s="2" t="str">
        <f ca="1">IFERROR(__xludf.DUMMYFUNCTION("GOOGLETRANSLATE(B2345,""en"",""it"")"),"adolescente")</f>
        <v>adolescente</v>
      </c>
      <c r="G2345" s="2" t="str">
        <f ca="1">IFERROR(__xludf.DUMMYFUNCTION("GOOGLETRANSLATE(B2345,""en"",""de"")"),"Teenager")</f>
        <v>Teenager</v>
      </c>
      <c r="H2345" s="2" t="str">
        <f ca="1">IFERROR(__xludf.DUMMYFUNCTION("GOOGLETRANSLATE(B2345,""en"",""zh"")"),"青少年")</f>
        <v>青少年</v>
      </c>
      <c r="I2345" s="2" t="str">
        <f ca="1">IFERROR(__xludf.DUMMYFUNCTION("GOOGLETRANSLATE(B2345,""en"",""gd"")"),"Deugaire")</f>
        <v>Deugaire</v>
      </c>
    </row>
    <row r="2346" spans="1:9" ht="14.25" customHeight="1" x14ac:dyDescent="0.3">
      <c r="A2346" s="2">
        <v>2345</v>
      </c>
      <c r="B2346" s="3" t="s">
        <v>2353</v>
      </c>
      <c r="C2346" s="2" t="str">
        <f ca="1">IFERROR(__xludf.DUMMYFUNCTION("GOOGLETRANSLATE(B2346, ""en"",""es"")"),"admirar")</f>
        <v>admirar</v>
      </c>
      <c r="D2346" s="2" t="str">
        <f ca="1">IFERROR(__xludf.DUMMYFUNCTION("GOOGLETRANSLATE(B2346,""en"",""ig"")"),"imasi")</f>
        <v>imasi</v>
      </c>
      <c r="E2346" s="2" t="str">
        <f ca="1">IFERROR(__xludf.DUMMYFUNCTION("GOOGLETRANSLATE(B2346,""en"",""fr"")"),"admirer")</f>
        <v>admirer</v>
      </c>
      <c r="F2346" s="2" t="str">
        <f ca="1">IFERROR(__xludf.DUMMYFUNCTION("GOOGLETRANSLATE(B2346,""en"",""it"")"),"ammirare")</f>
        <v>ammirare</v>
      </c>
      <c r="G2346" s="2" t="str">
        <f ca="1">IFERROR(__xludf.DUMMYFUNCTION("GOOGLETRANSLATE(B2346,""en"",""de"")"),"bewundern")</f>
        <v>bewundern</v>
      </c>
      <c r="H2346" s="2" t="str">
        <f ca="1">IFERROR(__xludf.DUMMYFUNCTION("GOOGLETRANSLATE(B2346,""en"",""zh"")"),"钦佩")</f>
        <v>钦佩</v>
      </c>
      <c r="I2346" s="2" t="str">
        <f ca="1">IFERROR(__xludf.DUMMYFUNCTION("GOOGLETRANSLATE(B2346,""en"",""gd"")"),"admire")</f>
        <v>admire</v>
      </c>
    </row>
    <row r="2347" spans="1:9" ht="14.25" customHeight="1" x14ac:dyDescent="0.3">
      <c r="A2347" s="2">
        <v>2346</v>
      </c>
      <c r="B2347" s="3" t="s">
        <v>2354</v>
      </c>
      <c r="C2347" s="2" t="str">
        <f ca="1">IFERROR(__xludf.DUMMYFUNCTION("GOOGLETRANSLATE(B2347, ""en"",""es"")"),"moderado")</f>
        <v>moderado</v>
      </c>
      <c r="D2347" s="2" t="str">
        <f ca="1">IFERROR(__xludf.DUMMYFUNCTION("GOOGLETRANSLATE(B2347,""en"",""ig"")"),"imeihenokara")</f>
        <v>imeihenokara</v>
      </c>
      <c r="E2347" s="2" t="str">
        <f ca="1">IFERROR(__xludf.DUMMYFUNCTION("GOOGLETRANSLATE(B2347,""en"",""fr"")"),"modéré")</f>
        <v>modéré</v>
      </c>
      <c r="F2347" s="2" t="str">
        <f ca="1">IFERROR(__xludf.DUMMYFUNCTION("GOOGLETRANSLATE(B2347,""en"",""it"")"),"moderare")</f>
        <v>moderare</v>
      </c>
      <c r="G2347" s="2" t="str">
        <f ca="1">IFERROR(__xludf.DUMMYFUNCTION("GOOGLETRANSLATE(B2347,""en"",""de"")"),"mäßig")</f>
        <v>mäßig</v>
      </c>
      <c r="H2347" s="2" t="str">
        <f ca="1">IFERROR(__xludf.DUMMYFUNCTION("GOOGLETRANSLATE(B2347,""en"",""zh"")"),"缓和")</f>
        <v>缓和</v>
      </c>
      <c r="I2347" s="2" t="str">
        <f ca="1">IFERROR(__xludf.DUMMYFUNCTION("GOOGLETRANSLATE(B2347,""en"",""gd"")"),"meadhanach")</f>
        <v>meadhanach</v>
      </c>
    </row>
    <row r="2348" spans="1:9" ht="14.25" customHeight="1" x14ac:dyDescent="0.3">
      <c r="A2348" s="2">
        <v>2347</v>
      </c>
      <c r="B2348" s="3" t="s">
        <v>2355</v>
      </c>
      <c r="C2348" s="2" t="str">
        <f ca="1">IFERROR(__xludf.DUMMYFUNCTION("GOOGLETRANSLATE(B2348, ""en"",""es"")"),"cirugía")</f>
        <v>cirugía</v>
      </c>
      <c r="D2348" s="2" t="str">
        <f ca="1">IFERROR(__xludf.DUMMYFUNCTION("GOOGLETRANSLATE(B2348,""en"",""ig"")"),"ogwugwo")</f>
        <v>ogwugwo</v>
      </c>
      <c r="E2348" s="2" t="str">
        <f ca="1">IFERROR(__xludf.DUMMYFUNCTION("GOOGLETRANSLATE(B2348,""en"",""fr"")"),"chirurgie")</f>
        <v>chirurgie</v>
      </c>
      <c r="F2348" s="2" t="str">
        <f ca="1">IFERROR(__xludf.DUMMYFUNCTION("GOOGLETRANSLATE(B2348,""en"",""it"")"),"chirurgia")</f>
        <v>chirurgia</v>
      </c>
      <c r="G2348" s="2" t="str">
        <f ca="1">IFERROR(__xludf.DUMMYFUNCTION("GOOGLETRANSLATE(B2348,""en"",""de"")"),"Operation")</f>
        <v>Operation</v>
      </c>
      <c r="H2348" s="2" t="str">
        <f ca="1">IFERROR(__xludf.DUMMYFUNCTION("GOOGLETRANSLATE(B2348,""en"",""zh"")"),"外科手术")</f>
        <v>外科手术</v>
      </c>
      <c r="I2348" s="2" t="str">
        <f ca="1">IFERROR(__xludf.DUMMYFUNCTION("GOOGLETRANSLATE(B2348,""en"",""gd"")"),"Lèigh-lann")</f>
        <v>Lèigh-lann</v>
      </c>
    </row>
    <row r="2349" spans="1:9" ht="14.25" customHeight="1" x14ac:dyDescent="0.3">
      <c r="A2349" s="2">
        <v>2348</v>
      </c>
      <c r="B2349" s="3" t="s">
        <v>2356</v>
      </c>
      <c r="C2349" s="2" t="str">
        <f ca="1">IFERROR(__xludf.DUMMYFUNCTION("GOOGLETRANSLATE(B2349, ""en"",""es"")"),"músico")</f>
        <v>músico</v>
      </c>
      <c r="D2349" s="2" t="str">
        <f ca="1">IFERROR(__xludf.DUMMYFUNCTION("GOOGLETRANSLATE(B2349,""en"",""ig"")"),"onyeegwu")</f>
        <v>onyeegwu</v>
      </c>
      <c r="E2349" s="2" t="str">
        <f ca="1">IFERROR(__xludf.DUMMYFUNCTION("GOOGLETRANSLATE(B2349,""en"",""fr"")"),"musicien")</f>
        <v>musicien</v>
      </c>
      <c r="F2349" s="2" t="str">
        <f ca="1">IFERROR(__xludf.DUMMYFUNCTION("GOOGLETRANSLATE(B2349,""en"",""it"")"),"musicista")</f>
        <v>musicista</v>
      </c>
      <c r="G2349" s="2" t="str">
        <f ca="1">IFERROR(__xludf.DUMMYFUNCTION("GOOGLETRANSLATE(B2349,""en"",""de"")"),"Musiker")</f>
        <v>Musiker</v>
      </c>
      <c r="H2349" s="2" t="str">
        <f ca="1">IFERROR(__xludf.DUMMYFUNCTION("GOOGLETRANSLATE(B2349,""en"",""zh"")"),"音乐家")</f>
        <v>音乐家</v>
      </c>
      <c r="I2349" s="2" t="str">
        <f ca="1">IFERROR(__xludf.DUMMYFUNCTION("GOOGLETRANSLATE(B2349,""en"",""gd"")"),"neach-ciùil")</f>
        <v>neach-ciùil</v>
      </c>
    </row>
    <row r="2350" spans="1:9" ht="14.25" customHeight="1" x14ac:dyDescent="0.3">
      <c r="A2350" s="2">
        <v>2349</v>
      </c>
      <c r="B2350" s="3" t="s">
        <v>2357</v>
      </c>
      <c r="C2350" s="2" t="str">
        <f ca="1">IFERROR(__xludf.DUMMYFUNCTION("GOOGLETRANSLATE(B2350, ""en"",""es"")"),"significado")</f>
        <v>significado</v>
      </c>
      <c r="D2350" s="2" t="str">
        <f ca="1">IFERROR(__xludf.DUMMYFUNCTION("GOOGLETRANSLATE(B2350,""en"",""ig"")"),"mpka")</f>
        <v>mpka</v>
      </c>
      <c r="E2350" s="2" t="str">
        <f ca="1">IFERROR(__xludf.DUMMYFUNCTION("GOOGLETRANSLATE(B2350,""en"",""fr"")"),"importance")</f>
        <v>importance</v>
      </c>
      <c r="F2350" s="2" t="str">
        <f ca="1">IFERROR(__xludf.DUMMYFUNCTION("GOOGLETRANSLATE(B2350,""en"",""it"")"),"significato")</f>
        <v>significato</v>
      </c>
      <c r="G2350" s="2" t="str">
        <f ca="1">IFERROR(__xludf.DUMMYFUNCTION("GOOGLETRANSLATE(B2350,""en"",""de"")"),"Bedeutung")</f>
        <v>Bedeutung</v>
      </c>
      <c r="H2350" s="2" t="str">
        <f ca="1">IFERROR(__xludf.DUMMYFUNCTION("GOOGLETRANSLATE(B2350,""en"",""zh"")"),"意义")</f>
        <v>意义</v>
      </c>
      <c r="I2350" s="2" t="str">
        <f ca="1">IFERROR(__xludf.DUMMYFUNCTION("GOOGLETRANSLATE(B2350,""en"",""gd"")"),"brìgh")</f>
        <v>brìgh</v>
      </c>
    </row>
    <row r="2351" spans="1:9" ht="14.25" customHeight="1" x14ac:dyDescent="0.3">
      <c r="A2351" s="2">
        <v>2350</v>
      </c>
      <c r="B2351" s="3" t="s">
        <v>2358</v>
      </c>
      <c r="C2351" s="2" t="str">
        <f ca="1">IFERROR(__xludf.DUMMYFUNCTION("GOOGLETRANSLATE(B2351, ""en"",""es"")"),"ducha")</f>
        <v>ducha</v>
      </c>
      <c r="D2351" s="2" t="str">
        <f ca="1">IFERROR(__xludf.DUMMYFUNCTION("GOOGLETRANSLATE(B2351,""en"",""ig"")"),"mmiriozuzo")</f>
        <v>mmiriozuzo</v>
      </c>
      <c r="E2351" s="2" t="str">
        <f ca="1">IFERROR(__xludf.DUMMYFUNCTION("GOOGLETRANSLATE(B2351,""en"",""fr"")"),"douche")</f>
        <v>douche</v>
      </c>
      <c r="F2351" s="2" t="str">
        <f ca="1">IFERROR(__xludf.DUMMYFUNCTION("GOOGLETRANSLATE(B2351,""en"",""it"")"),"doccia")</f>
        <v>doccia</v>
      </c>
      <c r="G2351" s="2" t="str">
        <f ca="1">IFERROR(__xludf.DUMMYFUNCTION("GOOGLETRANSLATE(B2351,""en"",""de"")"),"Dusche")</f>
        <v>Dusche</v>
      </c>
      <c r="H2351" s="2" t="str">
        <f ca="1">IFERROR(__xludf.DUMMYFUNCTION("GOOGLETRANSLATE(B2351,""en"",""zh"")"),"淋浴")</f>
        <v>淋浴</v>
      </c>
      <c r="I2351" s="2" t="str">
        <f ca="1">IFERROR(__xludf.DUMMYFUNCTION("GOOGLETRANSLATE(B2351,""en"",""gd"")"),"fras")</f>
        <v>fras</v>
      </c>
    </row>
    <row r="2352" spans="1:9" ht="14.25" customHeight="1" x14ac:dyDescent="0.3">
      <c r="A2352" s="2">
        <v>2351</v>
      </c>
      <c r="B2352" s="3" t="s">
        <v>2359</v>
      </c>
      <c r="C2352" s="2" t="str">
        <f ca="1">IFERROR(__xludf.DUMMYFUNCTION("GOOGLETRANSLATE(B2352, ""en"",""es"")"),"ilegal")</f>
        <v>ilegal</v>
      </c>
      <c r="D2352" s="2" t="str">
        <f ca="1">IFERROR(__xludf.DUMMYFUNCTION("GOOGLETRANSLATE(B2352,""en"",""ig"")"),"kemegidere iwu")</f>
        <v>kemegidere iwu</v>
      </c>
      <c r="E2352" s="2" t="str">
        <f ca="1">IFERROR(__xludf.DUMMYFUNCTION("GOOGLETRANSLATE(B2352,""en"",""fr"")"),"illégal")</f>
        <v>illégal</v>
      </c>
      <c r="F2352" s="2" t="str">
        <f ca="1">IFERROR(__xludf.DUMMYFUNCTION("GOOGLETRANSLATE(B2352,""en"",""it"")"),"illegale")</f>
        <v>illegale</v>
      </c>
      <c r="G2352" s="2" t="str">
        <f ca="1">IFERROR(__xludf.DUMMYFUNCTION("GOOGLETRANSLATE(B2352,""en"",""de"")"),"illegal")</f>
        <v>illegal</v>
      </c>
      <c r="H2352" s="2" t="str">
        <f ca="1">IFERROR(__xludf.DUMMYFUNCTION("GOOGLETRANSLATE(B2352,""en"",""zh"")"),"非法的")</f>
        <v>非法的</v>
      </c>
      <c r="I2352" s="2" t="str">
        <f ca="1">IFERROR(__xludf.DUMMYFUNCTION("GOOGLETRANSLATE(B2352,""en"",""gd"")"),"mì-laghail")</f>
        <v>mì-laghail</v>
      </c>
    </row>
    <row r="2353" spans="1:9" ht="14.25" customHeight="1" x14ac:dyDescent="0.3">
      <c r="A2353" s="2">
        <v>2352</v>
      </c>
      <c r="B2353" s="3" t="s">
        <v>2360</v>
      </c>
      <c r="C2353" s="2" t="str">
        <f ca="1">IFERROR(__xludf.DUMMYFUNCTION("GOOGLETRANSLATE(B2353, ""en"",""es"")"),"caridad")</f>
        <v>caridad</v>
      </c>
      <c r="D2353" s="2" t="str">
        <f ca="1">IFERROR(__xludf.DUMMYFUNCTION("GOOGLETRANSLATE(B2353,""en"",""ig"")"),"ebere")</f>
        <v>ebere</v>
      </c>
      <c r="E2353" s="2" t="str">
        <f ca="1">IFERROR(__xludf.DUMMYFUNCTION("GOOGLETRANSLATE(B2353,""en"",""fr"")"),"charité")</f>
        <v>charité</v>
      </c>
      <c r="F2353" s="2" t="str">
        <f ca="1">IFERROR(__xludf.DUMMYFUNCTION("GOOGLETRANSLATE(B2353,""en"",""it"")"),"beneficenza")</f>
        <v>beneficenza</v>
      </c>
      <c r="G2353" s="2" t="str">
        <f ca="1">IFERROR(__xludf.DUMMYFUNCTION("GOOGLETRANSLATE(B2353,""en"",""de"")"),"Wohltätigkeit")</f>
        <v>Wohltätigkeit</v>
      </c>
      <c r="H2353" s="2" t="str">
        <f ca="1">IFERROR(__xludf.DUMMYFUNCTION("GOOGLETRANSLATE(B2353,""en"",""zh"")"),"慈善机构")</f>
        <v>慈善机构</v>
      </c>
      <c r="I2353" s="2" t="str">
        <f ca="1">IFERROR(__xludf.DUMMYFUNCTION("GOOGLETRANSLATE(B2353,""en"",""gd"")"),"carthannas")</f>
        <v>carthannas</v>
      </c>
    </row>
    <row r="2354" spans="1:9" ht="14.25" customHeight="1" x14ac:dyDescent="0.3">
      <c r="A2354" s="2">
        <v>2353</v>
      </c>
      <c r="B2354" s="3" t="s">
        <v>2361</v>
      </c>
      <c r="C2354" s="2" t="str">
        <f ca="1">IFERROR(__xludf.DUMMYFUNCTION("GOOGLETRANSLATE(B2354, ""en"",""es"")"),"universal")</f>
        <v>universal</v>
      </c>
      <c r="D2354" s="2" t="str">
        <f ca="1">IFERROR(__xludf.DUMMYFUNCTION("GOOGLETRANSLATE(B2354,""en"",""ig"")"),"kezuruoha")</f>
        <v>kezuruoha</v>
      </c>
      <c r="E2354" s="2" t="str">
        <f ca="1">IFERROR(__xludf.DUMMYFUNCTION("GOOGLETRANSLATE(B2354,""en"",""fr"")"),"universel")</f>
        <v>universel</v>
      </c>
      <c r="F2354" s="2" t="str">
        <f ca="1">IFERROR(__xludf.DUMMYFUNCTION("GOOGLETRANSLATE(B2354,""en"",""it"")"),"universale")</f>
        <v>universale</v>
      </c>
      <c r="G2354" s="2" t="str">
        <f ca="1">IFERROR(__xludf.DUMMYFUNCTION("GOOGLETRANSLATE(B2354,""en"",""de"")"),"Universal-")</f>
        <v>Universal-</v>
      </c>
      <c r="H2354" s="2" t="str">
        <f ca="1">IFERROR(__xludf.DUMMYFUNCTION("GOOGLETRANSLATE(B2354,""en"",""zh"")"),"普遍的")</f>
        <v>普遍的</v>
      </c>
      <c r="I2354" s="2" t="str">
        <f ca="1">IFERROR(__xludf.DUMMYFUNCTION("GOOGLETRANSLATE(B2354,""en"",""gd"")"),"Uile-choitcheann")</f>
        <v>Uile-choitcheann</v>
      </c>
    </row>
    <row r="2355" spans="1:9" ht="14.25" customHeight="1" x14ac:dyDescent="0.3">
      <c r="A2355" s="2">
        <v>2354</v>
      </c>
      <c r="B2355" s="3" t="s">
        <v>2362</v>
      </c>
      <c r="C2355" s="2" t="str">
        <f ca="1">IFERROR(__xludf.DUMMYFUNCTION("GOOGLETRANSLATE(B2355, ""en"",""es"")"),"cigarrillo")</f>
        <v>cigarrillo</v>
      </c>
      <c r="D2355" s="2" t="str">
        <f ca="1">IFERROR(__xludf.DUMMYFUNCTION("GOOGLETRANSLATE(B2355,""en"",""ig"")"),"sigareeti")</f>
        <v>sigareeti</v>
      </c>
      <c r="E2355" s="2" t="str">
        <f ca="1">IFERROR(__xludf.DUMMYFUNCTION("GOOGLETRANSLATE(B2355,""en"",""fr"")"),"cigarette")</f>
        <v>cigarette</v>
      </c>
      <c r="F2355" s="2" t="str">
        <f ca="1">IFERROR(__xludf.DUMMYFUNCTION("GOOGLETRANSLATE(B2355,""en"",""it"")"),"sigaretta")</f>
        <v>sigaretta</v>
      </c>
      <c r="G2355" s="2" t="str">
        <f ca="1">IFERROR(__xludf.DUMMYFUNCTION("GOOGLETRANSLATE(B2355,""en"",""de"")"),"Zigarette")</f>
        <v>Zigarette</v>
      </c>
      <c r="H2355" s="2" t="str">
        <f ca="1">IFERROR(__xludf.DUMMYFUNCTION("GOOGLETRANSLATE(B2355,""en"",""zh"")"),"香烟")</f>
        <v>香烟</v>
      </c>
      <c r="I2355" s="2" t="str">
        <f ca="1">IFERROR(__xludf.DUMMYFUNCTION("GOOGLETRANSLATE(B2355,""en"",""gd"")"),"toitean")</f>
        <v>toitean</v>
      </c>
    </row>
    <row r="2356" spans="1:9" ht="14.25" customHeight="1" x14ac:dyDescent="0.3">
      <c r="A2356" s="2">
        <v>2355</v>
      </c>
      <c r="B2356" s="3" t="s">
        <v>2363</v>
      </c>
      <c r="C2356" s="2" t="str">
        <f ca="1">IFERROR(__xludf.DUMMYFUNCTION("GOOGLETRANSLATE(B2356, ""en"",""es"")"),"constituir")</f>
        <v>constituir</v>
      </c>
      <c r="D2356" s="2" t="str">
        <f ca="1">IFERROR(__xludf.DUMMYFUNCTION("GOOGLETRANSLATE(B2356,""en"",""ig"")"),"keeisi")</f>
        <v>keeisi</v>
      </c>
      <c r="E2356" s="2" t="str">
        <f ca="1">IFERROR(__xludf.DUMMYFUNCTION("GOOGLETRANSLATE(B2356,""en"",""fr"")"),"constituer")</f>
        <v>constituer</v>
      </c>
      <c r="F2356" s="2" t="str">
        <f ca="1">IFERROR(__xludf.DUMMYFUNCTION("GOOGLETRANSLATE(B2356,""en"",""it"")"),"costituire")</f>
        <v>costituire</v>
      </c>
      <c r="G2356" s="2" t="str">
        <f ca="1">IFERROR(__xludf.DUMMYFUNCTION("GOOGLETRANSLATE(B2356,""en"",""de"")"),"bilden")</f>
        <v>bilden</v>
      </c>
      <c r="H2356" s="2" t="str">
        <f ca="1">IFERROR(__xludf.DUMMYFUNCTION("GOOGLETRANSLATE(B2356,""en"",""zh"")"),"构成")</f>
        <v>构成</v>
      </c>
      <c r="I2356" s="2" t="str">
        <f ca="1">IFERROR(__xludf.DUMMYFUNCTION("GOOGLETRANSLATE(B2356,""en"",""gd"")"),"a 'dèanamh suas")</f>
        <v>a 'dèanamh suas</v>
      </c>
    </row>
    <row r="2357" spans="1:9" ht="14.25" customHeight="1" x14ac:dyDescent="0.3">
      <c r="A2357" s="2">
        <v>2356</v>
      </c>
      <c r="B2357" s="3" t="s">
        <v>2364</v>
      </c>
      <c r="C2357" s="2" t="str">
        <f ca="1">IFERROR(__xludf.DUMMYFUNCTION("GOOGLETRANSLATE(B2357, ""en"",""es"")"),"adecuado")</f>
        <v>adecuado</v>
      </c>
      <c r="D2357" s="2" t="str">
        <f ca="1">IFERROR(__xludf.DUMMYFUNCTION("GOOGLETRANSLATE(B2357,""en"",""ig"")"),"kezuru oke")</f>
        <v>kezuru oke</v>
      </c>
      <c r="E2357" s="2" t="str">
        <f ca="1">IFERROR(__xludf.DUMMYFUNCTION("GOOGLETRANSLATE(B2357,""en"",""fr"")"),"adéquat")</f>
        <v>adéquat</v>
      </c>
      <c r="F2357" s="2" t="str">
        <f ca="1">IFERROR(__xludf.DUMMYFUNCTION("GOOGLETRANSLATE(B2357,""en"",""it"")"),"adeguato")</f>
        <v>adeguato</v>
      </c>
      <c r="G2357" s="2" t="str">
        <f ca="1">IFERROR(__xludf.DUMMYFUNCTION("GOOGLETRANSLATE(B2357,""en"",""de"")"),"angemessen")</f>
        <v>angemessen</v>
      </c>
      <c r="H2357" s="2" t="str">
        <f ca="1">IFERROR(__xludf.DUMMYFUNCTION("GOOGLETRANSLATE(B2357,""en"",""zh"")"),"足够的")</f>
        <v>足够的</v>
      </c>
      <c r="I2357" s="2" t="str">
        <f ca="1">IFERROR(__xludf.DUMMYFUNCTION("GOOGLETRANSLATE(B2357,""en"",""gd"")"),"iomchaidh")</f>
        <v>iomchaidh</v>
      </c>
    </row>
    <row r="2358" spans="1:9" ht="14.25" customHeight="1" x14ac:dyDescent="0.3">
      <c r="A2358" s="2">
        <v>2357</v>
      </c>
      <c r="B2358" s="3" t="s">
        <v>2365</v>
      </c>
      <c r="C2358" s="2" t="str">
        <f ca="1">IFERROR(__xludf.DUMMYFUNCTION("GOOGLETRANSLATE(B2358, ""en"",""es"")"),"consultor")</f>
        <v>consultor</v>
      </c>
      <c r="D2358" s="2" t="str">
        <f ca="1">IFERROR(__xludf.DUMMYFUNCTION("GOOGLETRANSLATE(B2358,""en"",""ig"")"),"onye njuta")</f>
        <v>onye njuta</v>
      </c>
      <c r="E2358" s="2" t="str">
        <f ca="1">IFERROR(__xludf.DUMMYFUNCTION("GOOGLETRANSLATE(B2358,""en"",""fr"")"),"consultant")</f>
        <v>consultant</v>
      </c>
      <c r="F2358" s="2" t="str">
        <f ca="1">IFERROR(__xludf.DUMMYFUNCTION("GOOGLETRANSLATE(B2358,""en"",""it"")"),"consulente")</f>
        <v>consulente</v>
      </c>
      <c r="G2358" s="2" t="str">
        <f ca="1">IFERROR(__xludf.DUMMYFUNCTION("GOOGLETRANSLATE(B2358,""en"",""de"")"),"Berater")</f>
        <v>Berater</v>
      </c>
      <c r="H2358" s="2" t="str">
        <f ca="1">IFERROR(__xludf.DUMMYFUNCTION("GOOGLETRANSLATE(B2358,""en"",""zh"")"),"顾问")</f>
        <v>顾问</v>
      </c>
      <c r="I2358" s="2" t="str">
        <f ca="1">IFERROR(__xludf.DUMMYFUNCTION("GOOGLETRANSLATE(B2358,""en"",""gd"")"),"Comhairliche")</f>
        <v>Comhairliche</v>
      </c>
    </row>
    <row r="2359" spans="1:9" ht="14.25" customHeight="1" x14ac:dyDescent="0.3">
      <c r="A2359" s="2">
        <v>2358</v>
      </c>
      <c r="B2359" s="3" t="s">
        <v>2366</v>
      </c>
      <c r="C2359" s="2" t="str">
        <f ca="1">IFERROR(__xludf.DUMMYFUNCTION("GOOGLETRANSLATE(B2359, ""en"",""es"")"),"historiador")</f>
        <v>historiador</v>
      </c>
      <c r="D2359" s="2" t="str">
        <f ca="1">IFERROR(__xludf.DUMMYFUNCTION("GOOGLETRANSLATE(B2359,""en"",""ig"")"),"onye akukoala")</f>
        <v>onye akukoala</v>
      </c>
      <c r="E2359" s="2" t="str">
        <f ca="1">IFERROR(__xludf.DUMMYFUNCTION("GOOGLETRANSLATE(B2359,""en"",""fr"")"),"historien")</f>
        <v>historien</v>
      </c>
      <c r="F2359" s="2" t="str">
        <f ca="1">IFERROR(__xludf.DUMMYFUNCTION("GOOGLETRANSLATE(B2359,""en"",""it"")"),"storico")</f>
        <v>storico</v>
      </c>
      <c r="G2359" s="2" t="str">
        <f ca="1">IFERROR(__xludf.DUMMYFUNCTION("GOOGLETRANSLATE(B2359,""en"",""de"")"),"Historiker")</f>
        <v>Historiker</v>
      </c>
      <c r="H2359" s="2" t="str">
        <f ca="1">IFERROR(__xludf.DUMMYFUNCTION("GOOGLETRANSLATE(B2359,""en"",""zh"")"),"历史学家")</f>
        <v>历史学家</v>
      </c>
      <c r="I2359" s="2" t="str">
        <f ca="1">IFERROR(__xludf.DUMMYFUNCTION("GOOGLETRANSLATE(B2359,""en"",""gd"")"),"eachdraiche-eachdraidh")</f>
        <v>eachdraiche-eachdraidh</v>
      </c>
    </row>
    <row r="2360" spans="1:9" ht="14.25" customHeight="1" x14ac:dyDescent="0.3">
      <c r="A2360" s="2">
        <v>2359</v>
      </c>
      <c r="B2360" s="3" t="s">
        <v>2367</v>
      </c>
      <c r="C2360" s="2" t="str">
        <f ca="1">IFERROR(__xludf.DUMMYFUNCTION("GOOGLETRANSLATE(B2360, ""en"",""es"")"),"primo")</f>
        <v>primo</v>
      </c>
      <c r="D2360" s="2" t="str">
        <f ca="1">IFERROR(__xludf.DUMMYFUNCTION("GOOGLETRANSLATE(B2360,""en"",""ig"")"),"nwa nwanne nna")</f>
        <v>nwa nwanne nna</v>
      </c>
      <c r="E2360" s="2" t="str">
        <f ca="1">IFERROR(__xludf.DUMMYFUNCTION("GOOGLETRANSLATE(B2360,""en"",""fr"")"),"cousin")</f>
        <v>cousin</v>
      </c>
      <c r="F2360" s="2" t="str">
        <f ca="1">IFERROR(__xludf.DUMMYFUNCTION("GOOGLETRANSLATE(B2360,""en"",""it"")"),"cugino")</f>
        <v>cugino</v>
      </c>
      <c r="G2360" s="2" t="str">
        <f ca="1">IFERROR(__xludf.DUMMYFUNCTION("GOOGLETRANSLATE(B2360,""en"",""de"")"),"Cousin")</f>
        <v>Cousin</v>
      </c>
      <c r="H2360" s="2" t="str">
        <f ca="1">IFERROR(__xludf.DUMMYFUNCTION("GOOGLETRANSLATE(B2360,""en"",""zh"")"),"表哥")</f>
        <v>表哥</v>
      </c>
      <c r="I2360" s="2" t="str">
        <f ca="1">IFERROR(__xludf.DUMMYFUNCTION("GOOGLETRANSLATE(B2360,""en"",""gd"")"),"co-ogha")</f>
        <v>co-ogha</v>
      </c>
    </row>
    <row r="2361" spans="1:9" ht="14.25" customHeight="1" x14ac:dyDescent="0.3">
      <c r="A2361" s="2">
        <v>2360</v>
      </c>
      <c r="B2361" s="3" t="s">
        <v>2368</v>
      </c>
      <c r="C2361" s="2" t="str">
        <f ca="1">IFERROR(__xludf.DUMMYFUNCTION("GOOGLETRANSLATE(B2361, ""en"",""es"")"),"visual")</f>
        <v>visual</v>
      </c>
      <c r="D2361" s="2" t="str">
        <f ca="1">IFERROR(__xludf.DUMMYFUNCTION("GOOGLETRANSLATE(B2361,""en"",""ig"")"),"kenlere")</f>
        <v>kenlere</v>
      </c>
      <c r="E2361" s="2" t="str">
        <f ca="1">IFERROR(__xludf.DUMMYFUNCTION("GOOGLETRANSLATE(B2361,""en"",""fr"")"),"visuel")</f>
        <v>visuel</v>
      </c>
      <c r="F2361" s="2" t="str">
        <f ca="1">IFERROR(__xludf.DUMMYFUNCTION("GOOGLETRANSLATE(B2361,""en"",""it"")"),"visivo")</f>
        <v>visivo</v>
      </c>
      <c r="G2361" s="2" t="str">
        <f ca="1">IFERROR(__xludf.DUMMYFUNCTION("GOOGLETRANSLATE(B2361,""en"",""de"")"),"visuell")</f>
        <v>visuell</v>
      </c>
      <c r="H2361" s="2" t="str">
        <f ca="1">IFERROR(__xludf.DUMMYFUNCTION("GOOGLETRANSLATE(B2361,""en"",""zh"")"),"视觉的")</f>
        <v>视觉的</v>
      </c>
      <c r="I2361" s="2" t="str">
        <f ca="1">IFERROR(__xludf.DUMMYFUNCTION("GOOGLETRANSLATE(B2361,""en"",""gd"")"),"Lèirsinneach")</f>
        <v>Lèirsinneach</v>
      </c>
    </row>
    <row r="2362" spans="1:9" ht="14.25" customHeight="1" x14ac:dyDescent="0.3">
      <c r="A2362" s="2">
        <v>2361</v>
      </c>
      <c r="B2362" s="3" t="s">
        <v>2369</v>
      </c>
      <c r="C2362" s="2" t="str">
        <f ca="1">IFERROR(__xludf.DUMMYFUNCTION("GOOGLETRANSLATE(B2362, ""en"",""es"")"),"estúpido")</f>
        <v>estúpido</v>
      </c>
      <c r="D2362" s="2" t="str">
        <f ca="1">IFERROR(__xludf.DUMMYFUNCTION("GOOGLETRANSLATE(B2362,""en"",""ig"")"),"nkeiberibe")</f>
        <v>nkeiberibe</v>
      </c>
      <c r="E2362" s="2" t="str">
        <f ca="1">IFERROR(__xludf.DUMMYFUNCTION("GOOGLETRANSLATE(B2362,""en"",""fr"")"),"stupide")</f>
        <v>stupide</v>
      </c>
      <c r="F2362" s="2" t="str">
        <f ca="1">IFERROR(__xludf.DUMMYFUNCTION("GOOGLETRANSLATE(B2362,""en"",""it"")"),"stupido")</f>
        <v>stupido</v>
      </c>
      <c r="G2362" s="2" t="str">
        <f ca="1">IFERROR(__xludf.DUMMYFUNCTION("GOOGLETRANSLATE(B2362,""en"",""de"")"),"dumm")</f>
        <v>dumm</v>
      </c>
      <c r="H2362" s="2" t="str">
        <f ca="1">IFERROR(__xludf.DUMMYFUNCTION("GOOGLETRANSLATE(B2362,""en"",""zh"")"),"愚蠢的")</f>
        <v>愚蠢的</v>
      </c>
      <c r="I2362" s="2" t="str">
        <f ca="1">IFERROR(__xludf.DUMMYFUNCTION("GOOGLETRANSLATE(B2362,""en"",""gd"")"),"gòrach")</f>
        <v>gòrach</v>
      </c>
    </row>
    <row r="2363" spans="1:9" ht="14.25" customHeight="1" x14ac:dyDescent="0.3">
      <c r="A2363" s="2">
        <v>2362</v>
      </c>
      <c r="B2363" s="3" t="s">
        <v>2370</v>
      </c>
      <c r="C2363" s="2" t="str">
        <f ca="1">IFERROR(__xludf.DUMMYFUNCTION("GOOGLETRANSLATE(B2363, ""en"",""es"")"),"afecto")</f>
        <v>afecto</v>
      </c>
      <c r="D2363" s="2" t="str">
        <f ca="1">IFERROR(__xludf.DUMMYFUNCTION("GOOGLETRANSLATE(B2363,""en"",""ig"")"),"keite")</f>
        <v>keite</v>
      </c>
      <c r="E2363" s="2" t="str">
        <f ca="1">IFERROR(__xludf.DUMMYFUNCTION("GOOGLETRANSLATE(B2363,""en"",""fr"")"),"passionné")</f>
        <v>passionné</v>
      </c>
      <c r="F2363" s="2" t="str">
        <f ca="1">IFERROR(__xludf.DUMMYFUNCTION("GOOGLETRANSLATE(B2363,""en"",""it"")"),"appassionato")</f>
        <v>appassionato</v>
      </c>
      <c r="G2363" s="2" t="str">
        <f ca="1">IFERROR(__xludf.DUMMYFUNCTION("GOOGLETRANSLATE(B2363,""en"",""de"")"),"erpicht")</f>
        <v>erpicht</v>
      </c>
      <c r="H2363" s="2" t="str">
        <f ca="1">IFERROR(__xludf.DUMMYFUNCTION("GOOGLETRANSLATE(B2363,""en"",""zh"")"),"敏锐的")</f>
        <v>敏锐的</v>
      </c>
      <c r="I2363" s="2" t="str">
        <f ca="1">IFERROR(__xludf.DUMMYFUNCTION("GOOGLETRANSLATE(B2363,""en"",""gd"")"),"Keen")</f>
        <v>Keen</v>
      </c>
    </row>
    <row r="2364" spans="1:9" ht="14.25" customHeight="1" x14ac:dyDescent="0.3">
      <c r="A2364" s="2">
        <v>2363</v>
      </c>
      <c r="B2364" s="3" t="s">
        <v>2371</v>
      </c>
      <c r="C2364" s="2" t="str">
        <f ca="1">IFERROR(__xludf.DUMMYFUNCTION("GOOGLETRANSLATE(B2364, ""en"",""es"")"),"étnico")</f>
        <v>étnico</v>
      </c>
      <c r="D2364" s="2" t="str">
        <f ca="1">IFERROR(__xludf.DUMMYFUNCTION("GOOGLETRANSLATE(B2364,""en"",""ig"")"),"agbụrụ")</f>
        <v>agbụrụ</v>
      </c>
      <c r="E2364" s="2" t="str">
        <f ca="1">IFERROR(__xludf.DUMMYFUNCTION("GOOGLETRANSLATE(B2364,""en"",""fr"")"),"ethnique")</f>
        <v>ethnique</v>
      </c>
      <c r="F2364" s="2" t="str">
        <f ca="1">IFERROR(__xludf.DUMMYFUNCTION("GOOGLETRANSLATE(B2364,""en"",""it"")"),"etnico")</f>
        <v>etnico</v>
      </c>
      <c r="G2364" s="2" t="str">
        <f ca="1">IFERROR(__xludf.DUMMYFUNCTION("GOOGLETRANSLATE(B2364,""en"",""de"")"),"ethnisch")</f>
        <v>ethnisch</v>
      </c>
      <c r="H2364" s="2" t="str">
        <f ca="1">IFERROR(__xludf.DUMMYFUNCTION("GOOGLETRANSLATE(B2364,""en"",""zh"")"),"种族的")</f>
        <v>种族的</v>
      </c>
      <c r="I2364" s="2" t="str">
        <f ca="1">IFERROR(__xludf.DUMMYFUNCTION("GOOGLETRANSLATE(B2364,""en"",""gd"")"),"cinnidheach")</f>
        <v>cinnidheach</v>
      </c>
    </row>
    <row r="2365" spans="1:9" ht="14.25" customHeight="1" x14ac:dyDescent="0.3">
      <c r="A2365" s="2">
        <v>2364</v>
      </c>
      <c r="B2365" s="3" t="s">
        <v>2372</v>
      </c>
      <c r="C2365" s="2" t="str">
        <f ca="1">IFERROR(__xludf.DUMMYFUNCTION("GOOGLETRANSLATE(B2365, ""en"",""es"")"),"mellizo")</f>
        <v>mellizo</v>
      </c>
      <c r="D2365" s="2" t="str">
        <f ca="1">IFERROR(__xludf.DUMMYFUNCTION("GOOGLETRANSLATE(B2365,""en"",""ig"")"),"ejima")</f>
        <v>ejima</v>
      </c>
      <c r="E2365" s="2" t="str">
        <f ca="1">IFERROR(__xludf.DUMMYFUNCTION("GOOGLETRANSLATE(B2365,""en"",""fr"")"),"double")</f>
        <v>double</v>
      </c>
      <c r="F2365" s="2" t="str">
        <f ca="1">IFERROR(__xludf.DUMMYFUNCTION("GOOGLETRANSLATE(B2365,""en"",""it"")"),"gemello")</f>
        <v>gemello</v>
      </c>
      <c r="G2365" s="2" t="str">
        <f ca="1">IFERROR(__xludf.DUMMYFUNCTION("GOOGLETRANSLATE(B2365,""en"",""de"")"),"Zwilling")</f>
        <v>Zwilling</v>
      </c>
      <c r="H2365" s="2" t="str">
        <f ca="1">IFERROR(__xludf.DUMMYFUNCTION("GOOGLETRANSLATE(B2365,""en"",""zh"")"),"双胞胎")</f>
        <v>双胞胎</v>
      </c>
      <c r="I2365" s="2" t="str">
        <f ca="1">IFERROR(__xludf.DUMMYFUNCTION("GOOGLETRANSLATE(B2365,""en"",""gd"")"),"Twin")</f>
        <v>Twin</v>
      </c>
    </row>
    <row r="2366" spans="1:9" ht="14.25" customHeight="1" x14ac:dyDescent="0.3">
      <c r="A2366" s="2">
        <v>2365</v>
      </c>
      <c r="B2366" s="3" t="s">
        <v>2373</v>
      </c>
      <c r="C2366" s="2" t="str">
        <f ca="1">IFERROR(__xludf.DUMMYFUNCTION("GOOGLETRANSLATE(B2366, ""en"",""es"")"),"clínico")</f>
        <v>clínico</v>
      </c>
      <c r="D2366" s="2" t="str">
        <f ca="1">IFERROR(__xludf.DUMMYFUNCTION("GOOGLETRANSLATE(B2366,""en"",""ig"")"),"klinikal")</f>
        <v>klinikal</v>
      </c>
      <c r="E2366" s="2" t="str">
        <f ca="1">IFERROR(__xludf.DUMMYFUNCTION("GOOGLETRANSLATE(B2366,""en"",""fr"")"),"clinique")</f>
        <v>clinique</v>
      </c>
      <c r="F2366" s="2" t="str">
        <f ca="1">IFERROR(__xludf.DUMMYFUNCTION("GOOGLETRANSLATE(B2366,""en"",""it"")"),"clinico")</f>
        <v>clinico</v>
      </c>
      <c r="G2366" s="2" t="str">
        <f ca="1">IFERROR(__xludf.DUMMYFUNCTION("GOOGLETRANSLATE(B2366,""en"",""de"")"),"klinisch")</f>
        <v>klinisch</v>
      </c>
      <c r="H2366" s="2" t="str">
        <f ca="1">IFERROR(__xludf.DUMMYFUNCTION("GOOGLETRANSLATE(B2366,""en"",""zh"")"),"临床")</f>
        <v>临床</v>
      </c>
      <c r="I2366" s="2" t="str">
        <f ca="1">IFERROR(__xludf.DUMMYFUNCTION("GOOGLETRANSLATE(B2366,""en"",""gd"")"),"Clionaigeach")</f>
        <v>Clionaigeach</v>
      </c>
    </row>
    <row r="2367" spans="1:9" ht="14.25" customHeight="1" x14ac:dyDescent="0.3">
      <c r="A2367" s="2">
        <v>2366</v>
      </c>
      <c r="B2367" s="3" t="s">
        <v>2374</v>
      </c>
      <c r="C2367" s="2" t="str">
        <f ca="1">IFERROR(__xludf.DUMMYFUNCTION("GOOGLETRANSLATE(B2367, ""en"",""es"")"),"oriental")</f>
        <v>oriental</v>
      </c>
      <c r="D2367" s="2" t="str">
        <f ca="1">IFERROR(__xludf.DUMMYFUNCTION("GOOGLETRANSLATE(B2367,""en"",""ig"")"),"ke owuwa anyanwu")</f>
        <v>ke owuwa anyanwu</v>
      </c>
      <c r="E2367" s="2" t="str">
        <f ca="1">IFERROR(__xludf.DUMMYFUNCTION("GOOGLETRANSLATE(B2367,""en"",""fr"")"),"est")</f>
        <v>est</v>
      </c>
      <c r="F2367" s="2" t="str">
        <f ca="1">IFERROR(__xludf.DUMMYFUNCTION("GOOGLETRANSLATE(B2367,""en"",""it"")"),"orientale")</f>
        <v>orientale</v>
      </c>
      <c r="G2367" s="2" t="str">
        <f ca="1">IFERROR(__xludf.DUMMYFUNCTION("GOOGLETRANSLATE(B2367,""en"",""de"")"),"Ost")</f>
        <v>Ost</v>
      </c>
      <c r="H2367" s="2" t="str">
        <f ca="1">IFERROR(__xludf.DUMMYFUNCTION("GOOGLETRANSLATE(B2367,""en"",""zh"")"),"东")</f>
        <v>东</v>
      </c>
      <c r="I2367" s="2" t="str">
        <f ca="1">IFERROR(__xludf.DUMMYFUNCTION("GOOGLETRANSLATE(B2367,""en"",""gd"")"),"taobh an ear")</f>
        <v>taobh an ear</v>
      </c>
    </row>
    <row r="2368" spans="1:9" ht="14.25" customHeight="1" x14ac:dyDescent="0.3">
      <c r="A2368" s="2">
        <v>2367</v>
      </c>
      <c r="B2368" s="3" t="s">
        <v>2375</v>
      </c>
      <c r="C2368" s="2" t="str">
        <f ca="1">IFERROR(__xludf.DUMMYFUNCTION("GOOGLETRANSLATE(B2368, ""en"",""es"")"),"pronóstico")</f>
        <v>pronóstico</v>
      </c>
      <c r="D2368" s="2" t="str">
        <f ca="1">IFERROR(__xludf.DUMMYFUNCTION("GOOGLETRANSLATE(B2368,""en"",""ig"")"),"amuma")</f>
        <v>amuma</v>
      </c>
      <c r="E2368" s="2" t="str">
        <f ca="1">IFERROR(__xludf.DUMMYFUNCTION("GOOGLETRANSLATE(B2368,""en"",""fr"")"),"prévision")</f>
        <v>prévision</v>
      </c>
      <c r="F2368" s="2" t="str">
        <f ca="1">IFERROR(__xludf.DUMMYFUNCTION("GOOGLETRANSLATE(B2368,""en"",""it"")"),"previsione")</f>
        <v>previsione</v>
      </c>
      <c r="G2368" s="2" t="str">
        <f ca="1">IFERROR(__xludf.DUMMYFUNCTION("GOOGLETRANSLATE(B2368,""en"",""de"")"),"Vorhersage")</f>
        <v>Vorhersage</v>
      </c>
      <c r="H2368" s="2" t="str">
        <f ca="1">IFERROR(__xludf.DUMMYFUNCTION("GOOGLETRANSLATE(B2368,""en"",""zh"")"),"预报")</f>
        <v>预报</v>
      </c>
      <c r="I2368" s="2" t="str">
        <f ca="1">IFERROR(__xludf.DUMMYFUNCTION("GOOGLETRANSLATE(B2368,""en"",""gd"")"),"Tuairmse")</f>
        <v>Tuairmse</v>
      </c>
    </row>
    <row r="2369" spans="1:9" ht="14.25" customHeight="1" x14ac:dyDescent="0.3">
      <c r="A2369" s="2">
        <v>2368</v>
      </c>
      <c r="B2369" s="3" t="s">
        <v>2376</v>
      </c>
      <c r="C2369" s="2" t="str">
        <f ca="1">IFERROR(__xludf.DUMMYFUNCTION("GOOGLETRANSLATE(B2369, ""en"",""es"")"),"segmento")</f>
        <v>segmento</v>
      </c>
      <c r="D2369" s="2" t="str">
        <f ca="1">IFERROR(__xludf.DUMMYFUNCTION("GOOGLETRANSLATE(B2369,""en"",""ig"")"),"nke")</f>
        <v>nke</v>
      </c>
      <c r="E2369" s="2" t="str">
        <f ca="1">IFERROR(__xludf.DUMMYFUNCTION("GOOGLETRANSLATE(B2369,""en"",""fr"")"),"segment")</f>
        <v>segment</v>
      </c>
      <c r="F2369" s="2" t="str">
        <f ca="1">IFERROR(__xludf.DUMMYFUNCTION("GOOGLETRANSLATE(B2369,""en"",""it"")"),"segmento")</f>
        <v>segmento</v>
      </c>
      <c r="G2369" s="2" t="str">
        <f ca="1">IFERROR(__xludf.DUMMYFUNCTION("GOOGLETRANSLATE(B2369,""en"",""de"")"),"Segment")</f>
        <v>Segment</v>
      </c>
      <c r="H2369" s="2" t="str">
        <f ca="1">IFERROR(__xludf.DUMMYFUNCTION("GOOGLETRANSLATE(B2369,""en"",""zh"")"),"部分")</f>
        <v>部分</v>
      </c>
      <c r="I2369" s="2" t="str">
        <f ca="1">IFERROR(__xludf.DUMMYFUNCTION("GOOGLETRANSLATE(B2369,""en"",""gd"")"),"earrann")</f>
        <v>earrann</v>
      </c>
    </row>
    <row r="2370" spans="1:9" ht="14.25" customHeight="1" x14ac:dyDescent="0.3">
      <c r="A2370" s="2">
        <v>2369</v>
      </c>
      <c r="B2370" s="3" t="s">
        <v>2377</v>
      </c>
      <c r="C2370" s="2" t="str">
        <f ca="1">IFERROR(__xludf.DUMMYFUNCTION("GOOGLETRANSLATE(B2370, ""en"",""es"")"),"costumbre")</f>
        <v>costumbre</v>
      </c>
      <c r="D2370" s="2" t="str">
        <f ca="1">IFERROR(__xludf.DUMMYFUNCTION("GOOGLETRANSLATE(B2370,""en"",""ig"")"),"omenaala")</f>
        <v>omenaala</v>
      </c>
      <c r="E2370" s="2" t="str">
        <f ca="1">IFERROR(__xludf.DUMMYFUNCTION("GOOGLETRANSLATE(B2370,""en"",""fr"")"),"coutume")</f>
        <v>coutume</v>
      </c>
      <c r="F2370" s="2" t="str">
        <f ca="1">IFERROR(__xludf.DUMMYFUNCTION("GOOGLETRANSLATE(B2370,""en"",""it"")"),"costume")</f>
        <v>costume</v>
      </c>
      <c r="G2370" s="2" t="str">
        <f ca="1">IFERROR(__xludf.DUMMYFUNCTION("GOOGLETRANSLATE(B2370,""en"",""de"")"),"Brauch")</f>
        <v>Brauch</v>
      </c>
      <c r="H2370" s="2" t="str">
        <f ca="1">IFERROR(__xludf.DUMMYFUNCTION("GOOGLETRANSLATE(B2370,""en"",""zh"")"),"风俗")</f>
        <v>风俗</v>
      </c>
      <c r="I2370" s="2" t="str">
        <f ca="1">IFERROR(__xludf.DUMMYFUNCTION("GOOGLETRANSLATE(B2370,""en"",""gd"")"),"Custom")</f>
        <v>Custom</v>
      </c>
    </row>
    <row r="2371" spans="1:9" ht="14.25" customHeight="1" x14ac:dyDescent="0.3">
      <c r="A2371" s="2">
        <v>2370</v>
      </c>
      <c r="B2371" s="3" t="s">
        <v>2378</v>
      </c>
      <c r="C2371" s="2" t="str">
        <f ca="1">IFERROR(__xludf.DUMMYFUNCTION("GOOGLETRANSLATE(B2371, ""en"",""es"")"),"adaptar")</f>
        <v>adaptar</v>
      </c>
      <c r="D2371" s="2" t="str">
        <f ca="1">IFERROR(__xludf.DUMMYFUNCTION("GOOGLETRANSLATE(B2371,""en"",""ig"")"),"imeghari")</f>
        <v>imeghari</v>
      </c>
      <c r="E2371" s="2" t="str">
        <f ca="1">IFERROR(__xludf.DUMMYFUNCTION("GOOGLETRANSLATE(B2371,""en"",""fr"")"),"adapter")</f>
        <v>adapter</v>
      </c>
      <c r="F2371" s="2" t="str">
        <f ca="1">IFERROR(__xludf.DUMMYFUNCTION("GOOGLETRANSLATE(B2371,""en"",""it"")"),"adattare")</f>
        <v>adattare</v>
      </c>
      <c r="G2371" s="2" t="str">
        <f ca="1">IFERROR(__xludf.DUMMYFUNCTION("GOOGLETRANSLATE(B2371,""en"",""de"")"),"anpassen")</f>
        <v>anpassen</v>
      </c>
      <c r="H2371" s="2" t="str">
        <f ca="1">IFERROR(__xludf.DUMMYFUNCTION("GOOGLETRANSLATE(B2371,""en"",""zh"")"),"适应")</f>
        <v>适应</v>
      </c>
      <c r="I2371" s="2" t="str">
        <f ca="1">IFERROR(__xludf.DUMMYFUNCTION("GOOGLETRANSLATE(B2371,""en"",""gd"")"),"atharraich")</f>
        <v>atharraich</v>
      </c>
    </row>
    <row r="2372" spans="1:9" ht="14.25" customHeight="1" x14ac:dyDescent="0.3">
      <c r="A2372" s="2">
        <v>2371</v>
      </c>
      <c r="B2372" s="3" t="s">
        <v>2379</v>
      </c>
      <c r="C2372" s="2" t="str">
        <f ca="1">IFERROR(__xludf.DUMMYFUNCTION("GOOGLETRANSLATE(B2372, ""en"",""es"")"),"arena")</f>
        <v>arena</v>
      </c>
      <c r="D2372" s="2" t="str">
        <f ca="1">IFERROR(__xludf.DUMMYFUNCTION("GOOGLETRANSLATE(B2372,""en"",""ig"")"),"aja")</f>
        <v>aja</v>
      </c>
      <c r="E2372" s="2" t="str">
        <f ca="1">IFERROR(__xludf.DUMMYFUNCTION("GOOGLETRANSLATE(B2372,""en"",""fr"")"),"sable")</f>
        <v>sable</v>
      </c>
      <c r="F2372" s="2" t="str">
        <f ca="1">IFERROR(__xludf.DUMMYFUNCTION("GOOGLETRANSLATE(B2372,""en"",""it"")"),"sabbia")</f>
        <v>sabbia</v>
      </c>
      <c r="G2372" s="2" t="str">
        <f ca="1">IFERROR(__xludf.DUMMYFUNCTION("GOOGLETRANSLATE(B2372,""en"",""de"")"),"Sand")</f>
        <v>Sand</v>
      </c>
      <c r="H2372" s="2" t="str">
        <f ca="1">IFERROR(__xludf.DUMMYFUNCTION("GOOGLETRANSLATE(B2372,""en"",""zh"")"),"沙")</f>
        <v>沙</v>
      </c>
      <c r="I2372" s="2" t="str">
        <f ca="1">IFERROR(__xludf.DUMMYFUNCTION("GOOGLETRANSLATE(B2372,""en"",""gd"")"),"gainmheach")</f>
        <v>gainmheach</v>
      </c>
    </row>
    <row r="2373" spans="1:9" ht="14.25" customHeight="1" x14ac:dyDescent="0.3">
      <c r="A2373" s="2">
        <v>2372</v>
      </c>
      <c r="B2373" s="3" t="s">
        <v>2380</v>
      </c>
      <c r="C2373" s="2" t="str">
        <f ca="1">IFERROR(__xludf.DUMMYFUNCTION("GOOGLETRANSLATE(B2373, ""en"",""es"")"),"gorra")</f>
        <v>gorra</v>
      </c>
      <c r="D2373" s="2" t="str">
        <f ca="1">IFERROR(__xludf.DUMMYFUNCTION("GOOGLETRANSLATE(B2373,""en"",""ig"")"),"okwuchi")</f>
        <v>okwuchi</v>
      </c>
      <c r="E2373" s="2" t="str">
        <f ca="1">IFERROR(__xludf.DUMMYFUNCTION("GOOGLETRANSLATE(B2373,""en"",""fr"")"),"casquette")</f>
        <v>casquette</v>
      </c>
      <c r="F2373" s="2" t="str">
        <f ca="1">IFERROR(__xludf.DUMMYFUNCTION("GOOGLETRANSLATE(B2373,""en"",""it"")"),"cappuccio")</f>
        <v>cappuccio</v>
      </c>
      <c r="G2373" s="2" t="str">
        <f ca="1">IFERROR(__xludf.DUMMYFUNCTION("GOOGLETRANSLATE(B2373,""en"",""de"")"),"Deckel")</f>
        <v>Deckel</v>
      </c>
      <c r="H2373" s="2" t="str">
        <f ca="1">IFERROR(__xludf.DUMMYFUNCTION("GOOGLETRANSLATE(B2373,""en"",""zh"")"),"帽")</f>
        <v>帽</v>
      </c>
      <c r="I2373" s="2" t="str">
        <f ca="1">IFERROR(__xludf.DUMMYFUNCTION("GOOGLETRANSLATE(B2373,""en"",""gd"")"),"Cap")</f>
        <v>Cap</v>
      </c>
    </row>
    <row r="2374" spans="1:9" ht="14.25" customHeight="1" x14ac:dyDescent="0.3">
      <c r="A2374" s="2">
        <v>2373</v>
      </c>
      <c r="B2374" s="3" t="s">
        <v>2381</v>
      </c>
      <c r="C2374" s="2" t="str">
        <f ca="1">IFERROR(__xludf.DUMMYFUNCTION("GOOGLETRANSLATE(B2374, ""en"",""es"")"),"inmediato")</f>
        <v>inmediato</v>
      </c>
      <c r="D2374" s="2" t="str">
        <f ca="1">IFERROR(__xludf.DUMMYFUNCTION("GOOGLETRANSLATE(B2374,""en"",""ig"")"),"n'oge")</f>
        <v>n'oge</v>
      </c>
      <c r="E2374" s="2" t="str">
        <f ca="1">IFERROR(__xludf.DUMMYFUNCTION("GOOGLETRANSLATE(B2374,""en"",""fr"")"),"rapide")</f>
        <v>rapide</v>
      </c>
      <c r="F2374" s="2" t="str">
        <f ca="1">IFERROR(__xludf.DUMMYFUNCTION("GOOGLETRANSLATE(B2374,""en"",""it"")"),"richiesta")</f>
        <v>richiesta</v>
      </c>
      <c r="G2374" s="2" t="str">
        <f ca="1">IFERROR(__xludf.DUMMYFUNCTION("GOOGLETRANSLATE(B2374,""en"",""de"")"),"prompt")</f>
        <v>prompt</v>
      </c>
      <c r="H2374" s="2" t="str">
        <f ca="1">IFERROR(__xludf.DUMMYFUNCTION("GOOGLETRANSLATE(B2374,""en"",""zh"")"),"迅速的")</f>
        <v>迅速的</v>
      </c>
      <c r="I2374" s="2" t="str">
        <f ca="1">IFERROR(__xludf.DUMMYFUNCTION("GOOGLETRANSLATE(B2374,""en"",""gd"")"),"sgiobalta")</f>
        <v>sgiobalta</v>
      </c>
    </row>
    <row r="2375" spans="1:9" ht="14.25" customHeight="1" x14ac:dyDescent="0.3">
      <c r="A2375" s="2">
        <v>2374</v>
      </c>
      <c r="B2375" s="3" t="s">
        <v>2382</v>
      </c>
      <c r="C2375" s="2" t="str">
        <f ca="1">IFERROR(__xludf.DUMMYFUNCTION("GOOGLETRANSLATE(B2375, ""en"",""es"")"),"encanto")</f>
        <v>encanto</v>
      </c>
      <c r="D2375" s="2" t="str">
        <f ca="1">IFERROR(__xludf.DUMMYFUNCTION("GOOGLETRANSLATE(B2375,""en"",""ig"")"),"mmasi")</f>
        <v>mmasi</v>
      </c>
      <c r="E2375" s="2" t="str">
        <f ca="1">IFERROR(__xludf.DUMMYFUNCTION("GOOGLETRANSLATE(B2375,""en"",""fr"")"),"charme")</f>
        <v>charme</v>
      </c>
      <c r="F2375" s="2" t="str">
        <f ca="1">IFERROR(__xludf.DUMMYFUNCTION("GOOGLETRANSLATE(B2375,""en"",""it"")"),"fascino")</f>
        <v>fascino</v>
      </c>
      <c r="G2375" s="2" t="str">
        <f ca="1">IFERROR(__xludf.DUMMYFUNCTION("GOOGLETRANSLATE(B2375,""en"",""de"")"),"Charme")</f>
        <v>Charme</v>
      </c>
      <c r="H2375" s="2" t="str">
        <f ca="1">IFERROR(__xludf.DUMMYFUNCTION("GOOGLETRANSLATE(B2375,""en"",""zh"")"),"魅力")</f>
        <v>魅力</v>
      </c>
      <c r="I2375" s="2" t="str">
        <f ca="1">IFERROR(__xludf.DUMMYFUNCTION("GOOGLETRANSLATE(B2375,""en"",""gd"")"),"seun")</f>
        <v>seun</v>
      </c>
    </row>
    <row r="2376" spans="1:9" ht="14.25" customHeight="1" x14ac:dyDescent="0.3">
      <c r="A2376" s="2">
        <v>2375</v>
      </c>
      <c r="B2376" s="3" t="s">
        <v>2383</v>
      </c>
      <c r="C2376" s="2" t="str">
        <f ca="1">IFERROR(__xludf.DUMMYFUNCTION("GOOGLETRANSLATE(B2376, ""en"",""es"")"),"reaccionar")</f>
        <v>reaccionar</v>
      </c>
      <c r="D2376" s="2" t="str">
        <f ca="1">IFERROR(__xludf.DUMMYFUNCTION("GOOGLETRANSLATE(B2376,""en"",""ig"")"),"megwara")</f>
        <v>megwara</v>
      </c>
      <c r="E2376" s="2" t="str">
        <f ca="1">IFERROR(__xludf.DUMMYFUNCTION("GOOGLETRANSLATE(B2376,""en"",""fr"")"),"réagir")</f>
        <v>réagir</v>
      </c>
      <c r="F2376" s="2" t="str">
        <f ca="1">IFERROR(__xludf.DUMMYFUNCTION("GOOGLETRANSLATE(B2376,""en"",""it"")"),"reagire")</f>
        <v>reagire</v>
      </c>
      <c r="G2376" s="2" t="str">
        <f ca="1">IFERROR(__xludf.DUMMYFUNCTION("GOOGLETRANSLATE(B2376,""en"",""de"")"),"reagieren")</f>
        <v>reagieren</v>
      </c>
      <c r="H2376" s="2" t="str">
        <f ca="1">IFERROR(__xludf.DUMMYFUNCTION("GOOGLETRANSLATE(B2376,""en"",""zh"")"),"反应")</f>
        <v>反应</v>
      </c>
      <c r="I2376" s="2" t="str">
        <f ca="1">IFERROR(__xludf.DUMMYFUNCTION("GOOGLETRANSLATE(B2376,""en"",""gd"")"),"freagairt")</f>
        <v>freagairt</v>
      </c>
    </row>
    <row r="2377" spans="1:9" ht="14.25" customHeight="1" x14ac:dyDescent="0.3">
      <c r="A2377" s="2">
        <v>2376</v>
      </c>
      <c r="B2377" s="3" t="s">
        <v>2384</v>
      </c>
      <c r="C2377" s="2" t="str">
        <f ca="1">IFERROR(__xludf.DUMMYFUNCTION("GOOGLETRANSLATE(B2377, ""en"",""es"")"),"conferencia")</f>
        <v>conferencia</v>
      </c>
      <c r="D2377" s="2" t="str">
        <f ca="1">IFERROR(__xludf.DUMMYFUNCTION("GOOGLETRANSLATE(B2377,""en"",""ig"")"),"ihe nkuzi")</f>
        <v>ihe nkuzi</v>
      </c>
      <c r="E2377" s="2" t="str">
        <f ca="1">IFERROR(__xludf.DUMMYFUNCTION("GOOGLETRANSLATE(B2377,""en"",""fr"")"),"conférence")</f>
        <v>conférence</v>
      </c>
      <c r="F2377" s="2" t="str">
        <f ca="1">IFERROR(__xludf.DUMMYFUNCTION("GOOGLETRANSLATE(B2377,""en"",""it"")"),"conferenza")</f>
        <v>conferenza</v>
      </c>
      <c r="G2377" s="2" t="str">
        <f ca="1">IFERROR(__xludf.DUMMYFUNCTION("GOOGLETRANSLATE(B2377,""en"",""de"")"),"Vorlesung")</f>
        <v>Vorlesung</v>
      </c>
      <c r="H2377" s="2" t="str">
        <f ca="1">IFERROR(__xludf.DUMMYFUNCTION("GOOGLETRANSLATE(B2377,""en"",""zh"")"),"演讲")</f>
        <v>演讲</v>
      </c>
      <c r="I2377" s="2" t="str">
        <f ca="1">IFERROR(__xludf.DUMMYFUNCTION("GOOGLETRANSLATE(B2377,""en"",""gd"")"),"Òraid")</f>
        <v>Òraid</v>
      </c>
    </row>
    <row r="2378" spans="1:9" ht="14.25" customHeight="1" x14ac:dyDescent="0.3">
      <c r="A2378" s="2">
        <v>2377</v>
      </c>
      <c r="B2378" s="3" t="s">
        <v>2385</v>
      </c>
      <c r="C2378" s="2" t="str">
        <f ca="1">IFERROR(__xludf.DUMMYFUNCTION("GOOGLETRANSLATE(B2378, ""en"",""es"")"),"empresa")</f>
        <v>empresa</v>
      </c>
      <c r="D2378" s="2" t="str">
        <f ca="1">IFERROR(__xludf.DUMMYFUNCTION("GOOGLETRANSLATE(B2378,""en"",""ig"")"),"iku")</f>
        <v>iku</v>
      </c>
      <c r="E2378" s="2" t="str">
        <f ca="1">IFERROR(__xludf.DUMMYFUNCTION("GOOGLETRANSLATE(B2378,""en"",""fr"")"),"aventure")</f>
        <v>aventure</v>
      </c>
      <c r="F2378" s="2" t="str">
        <f ca="1">IFERROR(__xludf.DUMMYFUNCTION("GOOGLETRANSLATE(B2378,""en"",""it"")"),"avventurarsi")</f>
        <v>avventurarsi</v>
      </c>
      <c r="G2378" s="2" t="str">
        <f ca="1">IFERROR(__xludf.DUMMYFUNCTION("GOOGLETRANSLATE(B2378,""en"",""de"")"),"wagen")</f>
        <v>wagen</v>
      </c>
      <c r="H2378" s="2" t="str">
        <f ca="1">IFERROR(__xludf.DUMMYFUNCTION("GOOGLETRANSLATE(B2378,""en"",""zh"")"),"冒险")</f>
        <v>冒险</v>
      </c>
      <c r="I2378" s="2" t="str">
        <f ca="1">IFERROR(__xludf.DUMMYFUNCTION("GOOGLETRANSLATE(B2378,""en"",""gd"")"),"venture")</f>
        <v>venture</v>
      </c>
    </row>
    <row r="2379" spans="1:9" ht="14.25" customHeight="1" x14ac:dyDescent="0.3">
      <c r="A2379" s="2">
        <v>2378</v>
      </c>
      <c r="B2379" s="3" t="s">
        <v>2386</v>
      </c>
      <c r="C2379" s="2" t="str">
        <f ca="1">IFERROR(__xludf.DUMMYFUNCTION("GOOGLETRANSLATE(B2379, ""en"",""es"")"),"compuesto")</f>
        <v>compuesto</v>
      </c>
      <c r="D2379" s="2" t="str">
        <f ca="1">IFERROR(__xludf.DUMMYFUNCTION("GOOGLETRANSLATE(B2379,""en"",""ig"")"),"kondoibe")</f>
        <v>kondoibe</v>
      </c>
      <c r="E2379" s="2" t="str">
        <f ca="1">IFERROR(__xludf.DUMMYFUNCTION("GOOGLETRANSLATE(B2379,""en"",""fr"")"),"composé")</f>
        <v>composé</v>
      </c>
      <c r="F2379" s="2" t="str">
        <f ca="1">IFERROR(__xludf.DUMMYFUNCTION("GOOGLETRANSLATE(B2379,""en"",""it"")"),"composto")</f>
        <v>composto</v>
      </c>
      <c r="G2379" s="2" t="str">
        <f ca="1">IFERROR(__xludf.DUMMYFUNCTION("GOOGLETRANSLATE(B2379,""en"",""de"")"),"Verbindung")</f>
        <v>Verbindung</v>
      </c>
      <c r="H2379" s="2" t="str">
        <f ca="1">IFERROR(__xludf.DUMMYFUNCTION("GOOGLETRANSLATE(B2379,""en"",""zh"")"),"化合物")</f>
        <v>化合物</v>
      </c>
      <c r="I2379" s="2" t="str">
        <f ca="1">IFERROR(__xludf.DUMMYFUNCTION("GOOGLETRANSLATE(B2379,""en"",""gd"")"),"todhar")</f>
        <v>todhar</v>
      </c>
    </row>
    <row r="2380" spans="1:9" ht="14.25" customHeight="1" x14ac:dyDescent="0.3">
      <c r="A2380" s="2">
        <v>2379</v>
      </c>
      <c r="B2380" s="3" t="s">
        <v>2387</v>
      </c>
      <c r="C2380" s="2" t="str">
        <f ca="1">IFERROR(__xludf.DUMMYFUNCTION("GOOGLETRANSLATE(B2380, ""en"",""es"")"),"rescate")</f>
        <v>rescate</v>
      </c>
      <c r="D2380" s="2" t="str">
        <f ca="1">IFERROR(__xludf.DUMMYFUNCTION("GOOGLETRANSLATE(B2380,""en"",""ig"")"),"nzoputa")</f>
        <v>nzoputa</v>
      </c>
      <c r="E2380" s="2" t="str">
        <f ca="1">IFERROR(__xludf.DUMMYFUNCTION("GOOGLETRANSLATE(B2380,""en"",""fr"")"),"sauvetage")</f>
        <v>sauvetage</v>
      </c>
      <c r="F2380" s="2" t="str">
        <f ca="1">IFERROR(__xludf.DUMMYFUNCTION("GOOGLETRANSLATE(B2380,""en"",""it"")"),"salvare")</f>
        <v>salvare</v>
      </c>
      <c r="G2380" s="2" t="str">
        <f ca="1">IFERROR(__xludf.DUMMYFUNCTION("GOOGLETRANSLATE(B2380,""en"",""de"")"),"Rettung")</f>
        <v>Rettung</v>
      </c>
      <c r="H2380" s="2" t="str">
        <f ca="1">IFERROR(__xludf.DUMMYFUNCTION("GOOGLETRANSLATE(B2380,""en"",""zh"")"),"救援")</f>
        <v>救援</v>
      </c>
      <c r="I2380" s="2" t="str">
        <f ca="1">IFERROR(__xludf.DUMMYFUNCTION("GOOGLETRANSLATE(B2380,""en"",""gd"")"),"Teasairginn")</f>
        <v>Teasairginn</v>
      </c>
    </row>
    <row r="2381" spans="1:9" ht="14.25" customHeight="1" x14ac:dyDescent="0.3">
      <c r="A2381" s="2">
        <v>2380</v>
      </c>
      <c r="B2381" s="3" t="s">
        <v>2388</v>
      </c>
      <c r="C2381" s="2" t="str">
        <f ca="1">IFERROR(__xludf.DUMMYFUNCTION("GOOGLETRANSLATE(B2381, ""en"",""es"")"),"desorden")</f>
        <v>desorden</v>
      </c>
      <c r="D2381" s="2" t="str">
        <f ca="1">IFERROR(__xludf.DUMMYFUNCTION("GOOGLETRANSLATE(B2381,""en"",""ig"")"),"ozinjo")</f>
        <v>ozinjo</v>
      </c>
      <c r="E2381" s="2" t="str">
        <f ca="1">IFERROR(__xludf.DUMMYFUNCTION("GOOGLETRANSLATE(B2381,""en"",""fr"")"),"désordre")</f>
        <v>désordre</v>
      </c>
      <c r="F2381" s="2" t="str">
        <f ca="1">IFERROR(__xludf.DUMMYFUNCTION("GOOGLETRANSLATE(B2381,""en"",""it"")"),"disordine")</f>
        <v>disordine</v>
      </c>
      <c r="G2381" s="2" t="str">
        <f ca="1">IFERROR(__xludf.DUMMYFUNCTION("GOOGLETRANSLATE(B2381,""en"",""de"")"),"Durcheinander")</f>
        <v>Durcheinander</v>
      </c>
      <c r="H2381" s="2" t="str">
        <f ca="1">IFERROR(__xludf.DUMMYFUNCTION("GOOGLETRANSLATE(B2381,""en"",""zh"")"),"混乱")</f>
        <v>混乱</v>
      </c>
      <c r="I2381" s="2" t="str">
        <f ca="1">IFERROR(__xludf.DUMMYFUNCTION("GOOGLETRANSLATE(B2381,""en"",""gd"")"),"praiseach")</f>
        <v>praiseach</v>
      </c>
    </row>
    <row r="2382" spans="1:9" ht="14.25" customHeight="1" x14ac:dyDescent="0.3">
      <c r="A2382" s="2">
        <v>2381</v>
      </c>
      <c r="B2382" s="3" t="s">
        <v>2389</v>
      </c>
      <c r="C2382" s="2" t="str">
        <f ca="1">IFERROR(__xludf.DUMMYFUNCTION("GOOGLETRANSLATE(B2382, ""en"",""es"")"),"preferencia")</f>
        <v>preferencia</v>
      </c>
      <c r="D2382" s="2" t="str">
        <f ca="1">IFERROR(__xludf.DUMMYFUNCTION("GOOGLETRANSLATE(B2382,""en"",""ig"")"),"ihe achoro")</f>
        <v>ihe achoro</v>
      </c>
      <c r="E2382" s="2" t="str">
        <f ca="1">IFERROR(__xludf.DUMMYFUNCTION("GOOGLETRANSLATE(B2382,""en"",""fr"")"),"préférence")</f>
        <v>préférence</v>
      </c>
      <c r="F2382" s="2" t="str">
        <f ca="1">IFERROR(__xludf.DUMMYFUNCTION("GOOGLETRANSLATE(B2382,""en"",""it"")"),"preferenza")</f>
        <v>preferenza</v>
      </c>
      <c r="G2382" s="2" t="str">
        <f ca="1">IFERROR(__xludf.DUMMYFUNCTION("GOOGLETRANSLATE(B2382,""en"",""de"")"),"Präferenz")</f>
        <v>Präferenz</v>
      </c>
      <c r="H2382" s="2" t="str">
        <f ca="1">IFERROR(__xludf.DUMMYFUNCTION("GOOGLETRANSLATE(B2382,""en"",""zh"")"),"偏爱")</f>
        <v>偏爱</v>
      </c>
      <c r="I2382" s="2" t="str">
        <f ca="1">IFERROR(__xludf.DUMMYFUNCTION("GOOGLETRANSLATE(B2382,""en"",""gd"")"),"roghainn")</f>
        <v>roghainn</v>
      </c>
    </row>
    <row r="2383" spans="1:9" ht="14.25" customHeight="1" x14ac:dyDescent="0.3">
      <c r="A2383" s="2">
        <v>2382</v>
      </c>
      <c r="B2383" s="3" t="s">
        <v>2390</v>
      </c>
      <c r="C2383" s="2" t="str">
        <f ca="1">IFERROR(__xludf.DUMMYFUNCTION("GOOGLETRANSLATE(B2383, ""en"",""es"")"),"integral")</f>
        <v>integral</v>
      </c>
      <c r="D2383" s="2" t="str">
        <f ca="1">IFERROR(__xludf.DUMMYFUNCTION("GOOGLETRANSLATE(B2383,""en"",""ig"")"),"keukwu")</f>
        <v>keukwu</v>
      </c>
      <c r="E2383" s="2" t="str">
        <f ca="1">IFERROR(__xludf.DUMMYFUNCTION("GOOGLETRANSLATE(B2383,""en"",""fr"")"),"complet")</f>
        <v>complet</v>
      </c>
      <c r="F2383" s="2" t="str">
        <f ca="1">IFERROR(__xludf.DUMMYFUNCTION("GOOGLETRANSLATE(B2383,""en"",""it"")"),"completo")</f>
        <v>completo</v>
      </c>
      <c r="G2383" s="2" t="str">
        <f ca="1">IFERROR(__xludf.DUMMYFUNCTION("GOOGLETRANSLATE(B2383,""en"",""de"")"),"umfassend")</f>
        <v>umfassend</v>
      </c>
      <c r="H2383" s="2" t="str">
        <f ca="1">IFERROR(__xludf.DUMMYFUNCTION("GOOGLETRANSLATE(B2383,""en"",""zh"")"),"综合的")</f>
        <v>综合的</v>
      </c>
      <c r="I2383" s="2" t="str">
        <f ca="1">IFERROR(__xludf.DUMMYFUNCTION("GOOGLETRANSLATE(B2383,""en"",""gd"")"),"coileanta")</f>
        <v>coileanta</v>
      </c>
    </row>
    <row r="2384" spans="1:9" ht="14.25" customHeight="1" x14ac:dyDescent="0.3">
      <c r="A2384" s="2">
        <v>2383</v>
      </c>
      <c r="B2384" s="3" t="s">
        <v>2391</v>
      </c>
      <c r="C2384" s="2" t="str">
        <f ca="1">IFERROR(__xludf.DUMMYFUNCTION("GOOGLETRANSLATE(B2384, ""en"",""es"")"),"incentivo")</f>
        <v>incentivo</v>
      </c>
      <c r="D2384" s="2" t="str">
        <f ca="1">IFERROR(__xludf.DUMMYFUNCTION("GOOGLETRANSLATE(B2384,""en"",""ig"")"),"ike")</f>
        <v>ike</v>
      </c>
      <c r="E2384" s="2" t="str">
        <f ca="1">IFERROR(__xludf.DUMMYFUNCTION("GOOGLETRANSLATE(B2384,""en"",""fr"")"),"incitation")</f>
        <v>incitation</v>
      </c>
      <c r="F2384" s="2" t="str">
        <f ca="1">IFERROR(__xludf.DUMMYFUNCTION("GOOGLETRANSLATE(B2384,""en"",""it"")"),"incentivo")</f>
        <v>incentivo</v>
      </c>
      <c r="G2384" s="2" t="str">
        <f ca="1">IFERROR(__xludf.DUMMYFUNCTION("GOOGLETRANSLATE(B2384,""en"",""de"")"),"Anreiz")</f>
        <v>Anreiz</v>
      </c>
      <c r="H2384" s="2" t="str">
        <f ca="1">IFERROR(__xludf.DUMMYFUNCTION("GOOGLETRANSLATE(B2384,""en"",""zh"")"),"激励")</f>
        <v>激励</v>
      </c>
      <c r="I2384" s="2" t="str">
        <f ca="1">IFERROR(__xludf.DUMMYFUNCTION("GOOGLETRANSLATE(B2384,""en"",""gd"")"),"brosnachaidh")</f>
        <v>brosnachaidh</v>
      </c>
    </row>
    <row r="2385" spans="1:9" ht="14.25" customHeight="1" x14ac:dyDescent="0.3">
      <c r="A2385" s="2">
        <v>2384</v>
      </c>
      <c r="B2385" s="3" t="s">
        <v>2392</v>
      </c>
      <c r="C2385" s="2" t="str">
        <f ca="1">IFERROR(__xludf.DUMMYFUNCTION("GOOGLETRANSLATE(B2385, ""en"",""es"")"),"liga")</f>
        <v>liga</v>
      </c>
      <c r="D2385" s="2" t="str">
        <f ca="1">IFERROR(__xludf.DUMMYFUNCTION("GOOGLETRANSLATE(B2385,""en"",""ig"")"),"otu")</f>
        <v>otu</v>
      </c>
      <c r="E2385" s="2" t="str">
        <f ca="1">IFERROR(__xludf.DUMMYFUNCTION("GOOGLETRANSLATE(B2385,""en"",""fr"")"),"ligue")</f>
        <v>ligue</v>
      </c>
      <c r="F2385" s="2" t="str">
        <f ca="1">IFERROR(__xludf.DUMMYFUNCTION("GOOGLETRANSLATE(B2385,""en"",""it"")"),"lega")</f>
        <v>lega</v>
      </c>
      <c r="G2385" s="2" t="str">
        <f ca="1">IFERROR(__xludf.DUMMYFUNCTION("GOOGLETRANSLATE(B2385,""en"",""de"")"),"Liga")</f>
        <v>Liga</v>
      </c>
      <c r="H2385" s="2" t="str">
        <f ca="1">IFERROR(__xludf.DUMMYFUNCTION("GOOGLETRANSLATE(B2385,""en"",""zh"")"),"联盟")</f>
        <v>联盟</v>
      </c>
      <c r="I2385" s="2" t="str">
        <f ca="1">IFERROR(__xludf.DUMMYFUNCTION("GOOGLETRANSLATE(B2385,""en"",""gd"")"),"lìog")</f>
        <v>lìog</v>
      </c>
    </row>
    <row r="2386" spans="1:9" ht="14.25" customHeight="1" x14ac:dyDescent="0.3">
      <c r="A2386" s="2">
        <v>2385</v>
      </c>
      <c r="B2386" s="3" t="s">
        <v>2393</v>
      </c>
      <c r="C2386" s="2" t="str">
        <f ca="1">IFERROR(__xludf.DUMMYFUNCTION("GOOGLETRANSLATE(B2386, ""en"",""es"")"),"diálogo")</f>
        <v>diálogo</v>
      </c>
      <c r="D2386" s="2" t="str">
        <f ca="1">IFERROR(__xludf.DUMMYFUNCTION("GOOGLETRANSLATE(B2386,""en"",""ig"")"),"dikolo")</f>
        <v>dikolo</v>
      </c>
      <c r="E2386" s="2" t="str">
        <f ca="1">IFERROR(__xludf.DUMMYFUNCTION("GOOGLETRANSLATE(B2386,""en"",""fr"")"),"dialogue")</f>
        <v>dialogue</v>
      </c>
      <c r="F2386" s="2" t="str">
        <f ca="1">IFERROR(__xludf.DUMMYFUNCTION("GOOGLETRANSLATE(B2386,""en"",""it"")"),"dialogo")</f>
        <v>dialogo</v>
      </c>
      <c r="G2386" s="2" t="str">
        <f ca="1">IFERROR(__xludf.DUMMYFUNCTION("GOOGLETRANSLATE(B2386,""en"",""de"")"),"Dialog")</f>
        <v>Dialog</v>
      </c>
      <c r="H2386" s="2" t="str">
        <f ca="1">IFERROR(__xludf.DUMMYFUNCTION("GOOGLETRANSLATE(B2386,""en"",""zh"")"),"对话")</f>
        <v>对话</v>
      </c>
      <c r="I2386" s="2" t="str">
        <f ca="1">IFERROR(__xludf.DUMMYFUNCTION("GOOGLETRANSLATE(B2386,""en"",""gd"")"),"còmhradh")</f>
        <v>còmhradh</v>
      </c>
    </row>
    <row r="2387" spans="1:9" ht="14.25" customHeight="1" x14ac:dyDescent="0.3">
      <c r="A2387" s="2">
        <v>2386</v>
      </c>
      <c r="B2387" s="3" t="s">
        <v>2394</v>
      </c>
      <c r="C2387" s="2" t="str">
        <f ca="1">IFERROR(__xludf.DUMMYFUNCTION("GOOGLETRANSLATE(B2387, ""en"",""es"")"),"crema")</f>
        <v>crema</v>
      </c>
      <c r="D2387" s="2" t="str">
        <f ca="1">IFERROR(__xludf.DUMMYFUNCTION("GOOGLETRANSLATE(B2387,""en"",""ig"")"),"ude")</f>
        <v>ude</v>
      </c>
      <c r="E2387" s="2" t="str">
        <f ca="1">IFERROR(__xludf.DUMMYFUNCTION("GOOGLETRANSLATE(B2387,""en"",""fr"")"),"crème")</f>
        <v>crème</v>
      </c>
      <c r="F2387" s="2" t="str">
        <f ca="1">IFERROR(__xludf.DUMMYFUNCTION("GOOGLETRANSLATE(B2387,""en"",""it"")"),"crema")</f>
        <v>crema</v>
      </c>
      <c r="G2387" s="2" t="str">
        <f ca="1">IFERROR(__xludf.DUMMYFUNCTION("GOOGLETRANSLATE(B2387,""en"",""de"")"),"Creme")</f>
        <v>Creme</v>
      </c>
      <c r="H2387" s="2" t="str">
        <f ca="1">IFERROR(__xludf.DUMMYFUNCTION("GOOGLETRANSLATE(B2387,""en"",""zh"")"),"奶油")</f>
        <v>奶油</v>
      </c>
      <c r="I2387" s="2" t="str">
        <f ca="1">IFERROR(__xludf.DUMMYFUNCTION("GOOGLETRANSLATE(B2387,""en"",""gd"")"),"uachdar")</f>
        <v>uachdar</v>
      </c>
    </row>
    <row r="2388" spans="1:9" ht="14.25" customHeight="1" x14ac:dyDescent="0.3">
      <c r="A2388" s="2">
        <v>2387</v>
      </c>
      <c r="B2388" s="3" t="s">
        <v>2395</v>
      </c>
      <c r="C2388" s="2" t="str">
        <f ca="1">IFERROR(__xludf.DUMMYFUNCTION("GOOGLETRANSLATE(B2388, ""en"",""es"")"),"rápido")</f>
        <v>rápido</v>
      </c>
      <c r="D2388" s="2" t="str">
        <f ca="1">IFERROR(__xludf.DUMMYFUNCTION("GOOGLETRANSLATE(B2388,""en"",""ig"")"),"ngwangwa")</f>
        <v>ngwangwa</v>
      </c>
      <c r="E2388" s="2" t="str">
        <f ca="1">IFERROR(__xludf.DUMMYFUNCTION("GOOGLETRANSLATE(B2388,""en"",""fr"")"),"rapide")</f>
        <v>rapide</v>
      </c>
      <c r="F2388" s="2" t="str">
        <f ca="1">IFERROR(__xludf.DUMMYFUNCTION("GOOGLETRANSLATE(B2388,""en"",""it"")"),"rapido")</f>
        <v>rapido</v>
      </c>
      <c r="G2388" s="2" t="str">
        <f ca="1">IFERROR(__xludf.DUMMYFUNCTION("GOOGLETRANSLATE(B2388,""en"",""de"")"),"schnell")</f>
        <v>schnell</v>
      </c>
      <c r="H2388" s="2" t="str">
        <f ca="1">IFERROR(__xludf.DUMMYFUNCTION("GOOGLETRANSLATE(B2388,""en"",""zh"")"),"迅速的")</f>
        <v>迅速的</v>
      </c>
      <c r="I2388" s="2" t="str">
        <f ca="1">IFERROR(__xludf.DUMMYFUNCTION("GOOGLETRANSLATE(B2388,""en"",""gd"")"),"luath")</f>
        <v>luath</v>
      </c>
    </row>
    <row r="2389" spans="1:9" ht="14.25" customHeight="1" x14ac:dyDescent="0.3">
      <c r="A2389" s="2">
        <v>2388</v>
      </c>
      <c r="B2389" s="3" t="s">
        <v>2396</v>
      </c>
      <c r="C2389" s="2" t="str">
        <f ca="1">IFERROR(__xludf.DUMMYFUNCTION("GOOGLETRANSLATE(B2389, ""en"",""es"")"),"Cancelar")</f>
        <v>Cancelar</v>
      </c>
      <c r="D2389" s="2" t="str">
        <f ca="1">IFERROR(__xludf.DUMMYFUNCTION("GOOGLETRANSLATE(B2389,""en"",""ig"")"),"ikansulu")</f>
        <v>ikansulu</v>
      </c>
      <c r="E2389" s="2" t="str">
        <f ca="1">IFERROR(__xludf.DUMMYFUNCTION("GOOGLETRANSLATE(B2389,""en"",""fr"")"),"Annuler")</f>
        <v>Annuler</v>
      </c>
      <c r="F2389" s="2" t="str">
        <f ca="1">IFERROR(__xludf.DUMMYFUNCTION("GOOGLETRANSLATE(B2389,""en"",""it"")"),"Annulla")</f>
        <v>Annulla</v>
      </c>
      <c r="G2389" s="2" t="str">
        <f ca="1">IFERROR(__xludf.DUMMYFUNCTION("GOOGLETRANSLATE(B2389,""en"",""de"")"),"stornieren")</f>
        <v>stornieren</v>
      </c>
      <c r="H2389" s="2" t="str">
        <f ca="1">IFERROR(__xludf.DUMMYFUNCTION("GOOGLETRANSLATE(B2389,""en"",""zh"")"),"取消")</f>
        <v>取消</v>
      </c>
      <c r="I2389" s="2" t="str">
        <f ca="1">IFERROR(__xludf.DUMMYFUNCTION("GOOGLETRANSLATE(B2389,""en"",""gd"")"),"Sguir dheth")</f>
        <v>Sguir dheth</v>
      </c>
    </row>
    <row r="2390" spans="1:9" ht="14.25" customHeight="1" x14ac:dyDescent="0.3">
      <c r="A2390" s="2">
        <v>2389</v>
      </c>
      <c r="B2390" s="3" t="s">
        <v>2397</v>
      </c>
      <c r="C2390" s="2" t="str">
        <f ca="1">IFERROR(__xludf.DUMMYFUNCTION("GOOGLETRANSLATE(B2390, ""en"",""es"")"),"arrepentirse")</f>
        <v>arrepentirse</v>
      </c>
      <c r="D2390" s="2" t="str">
        <f ca="1">IFERROR(__xludf.DUMMYFUNCTION("GOOGLETRANSLATE(B2390,""en"",""ig"")"),"mgaramara")</f>
        <v>mgaramara</v>
      </c>
      <c r="E2390" s="2" t="str">
        <f ca="1">IFERROR(__xludf.DUMMYFUNCTION("GOOGLETRANSLATE(B2390,""en"",""fr"")"),"regret")</f>
        <v>regret</v>
      </c>
      <c r="F2390" s="2" t="str">
        <f ca="1">IFERROR(__xludf.DUMMYFUNCTION("GOOGLETRANSLATE(B2390,""en"",""it"")"),"rimpianto")</f>
        <v>rimpianto</v>
      </c>
      <c r="G2390" s="2" t="str">
        <f ca="1">IFERROR(__xludf.DUMMYFUNCTION("GOOGLETRANSLATE(B2390,""en"",""de"")"),"Reue")</f>
        <v>Reue</v>
      </c>
      <c r="H2390" s="2" t="str">
        <f ca="1">IFERROR(__xludf.DUMMYFUNCTION("GOOGLETRANSLATE(B2390,""en"",""zh"")"),"后悔")</f>
        <v>后悔</v>
      </c>
      <c r="I2390" s="2" t="str">
        <f ca="1">IFERROR(__xludf.DUMMYFUNCTION("GOOGLETRANSLATE(B2390,""en"",""gd"")"),"aithreachas")</f>
        <v>aithreachas</v>
      </c>
    </row>
    <row r="2391" spans="1:9" ht="14.25" customHeight="1" x14ac:dyDescent="0.3">
      <c r="A2391" s="2">
        <v>2390</v>
      </c>
      <c r="B2391" s="3" t="s">
        <v>2398</v>
      </c>
      <c r="C2391" s="2" t="str">
        <f ca="1">IFERROR(__xludf.DUMMYFUNCTION("GOOGLETRANSLATE(B2391, ""en"",""es"")"),"despedir")</f>
        <v>despedir</v>
      </c>
      <c r="D2391" s="2" t="str">
        <f ca="1">IFERROR(__xludf.DUMMYFUNCTION("GOOGLETRANSLATE(B2391,""en"",""ig"")"),"igbasa")</f>
        <v>igbasa</v>
      </c>
      <c r="E2391" s="2" t="str">
        <f ca="1">IFERROR(__xludf.DUMMYFUNCTION("GOOGLETRANSLATE(B2391,""en"",""fr"")"),"rejeter")</f>
        <v>rejeter</v>
      </c>
      <c r="F2391" s="2" t="str">
        <f ca="1">IFERROR(__xludf.DUMMYFUNCTION("GOOGLETRANSLATE(B2391,""en"",""it"")"),"congedare")</f>
        <v>congedare</v>
      </c>
      <c r="G2391" s="2" t="str">
        <f ca="1">IFERROR(__xludf.DUMMYFUNCTION("GOOGLETRANSLATE(B2391,""en"",""de"")"),"zurückweisen")</f>
        <v>zurückweisen</v>
      </c>
      <c r="H2391" s="2" t="str">
        <f ca="1">IFERROR(__xludf.DUMMYFUNCTION("GOOGLETRANSLATE(B2391,""en"",""zh"")"),"解雇")</f>
        <v>解雇</v>
      </c>
      <c r="I2391" s="2" t="str">
        <f ca="1">IFERROR(__xludf.DUMMYFUNCTION("GOOGLETRANSLATE(B2391,""en"",""gd"")"),"Creideas")</f>
        <v>Creideas</v>
      </c>
    </row>
    <row r="2392" spans="1:9" ht="14.25" customHeight="1" x14ac:dyDescent="0.3">
      <c r="A2392" s="2">
        <v>2391</v>
      </c>
      <c r="B2392" s="3" t="s">
        <v>2399</v>
      </c>
      <c r="C2392" s="2" t="str">
        <f ca="1">IFERROR(__xludf.DUMMYFUNCTION("GOOGLETRANSLATE(B2392, ""en"",""es"")"),"margen")</f>
        <v>margen</v>
      </c>
      <c r="D2392" s="2" t="str">
        <f ca="1">IFERROR(__xludf.DUMMYFUNCTION("GOOGLETRANSLATE(B2392,""en"",""ig"")"),"mmiri")</f>
        <v>mmiri</v>
      </c>
      <c r="E2392" s="2" t="str">
        <f ca="1">IFERROR(__xludf.DUMMYFUNCTION("GOOGLETRANSLATE(B2392,""en"",""fr"")"),"marge")</f>
        <v>marge</v>
      </c>
      <c r="F2392" s="2" t="str">
        <f ca="1">IFERROR(__xludf.DUMMYFUNCTION("GOOGLETRANSLATE(B2392,""en"",""it"")"),"margine")</f>
        <v>margine</v>
      </c>
      <c r="G2392" s="2" t="str">
        <f ca="1">IFERROR(__xludf.DUMMYFUNCTION("GOOGLETRANSLATE(B2392,""en"",""de"")"),"Marge")</f>
        <v>Marge</v>
      </c>
      <c r="H2392" s="2" t="str">
        <f ca="1">IFERROR(__xludf.DUMMYFUNCTION("GOOGLETRANSLATE(B2392,""en"",""zh"")"),"利润")</f>
        <v>利润</v>
      </c>
      <c r="I2392" s="2" t="str">
        <f ca="1">IFERROR(__xludf.DUMMYFUNCTION("GOOGLETRANSLATE(B2392,""en"",""gd"")"),"iomall")</f>
        <v>iomall</v>
      </c>
    </row>
    <row r="2393" spans="1:9" ht="14.25" customHeight="1" x14ac:dyDescent="0.3">
      <c r="A2393" s="2">
        <v>2392</v>
      </c>
      <c r="B2393" s="3" t="s">
        <v>2400</v>
      </c>
      <c r="C2393" s="2" t="str">
        <f ca="1">IFERROR(__xludf.DUMMYFUNCTION("GOOGLETRANSLATE(B2393, ""en"",""es"")"),"bajo")</f>
        <v>bajo</v>
      </c>
      <c r="D2393" s="2" t="str">
        <f ca="1">IFERROR(__xludf.DUMMYFUNCTION("GOOGLETRANSLATE(B2393,""en"",""ig"")"),"n'okpuru")</f>
        <v>n'okpuru</v>
      </c>
      <c r="E2393" s="2" t="str">
        <f ca="1">IFERROR(__xludf.DUMMYFUNCTION("GOOGLETRANSLATE(B2393,""en"",""fr"")"),"sous")</f>
        <v>sous</v>
      </c>
      <c r="F2393" s="2" t="str">
        <f ca="1">IFERROR(__xludf.DUMMYFUNCTION("GOOGLETRANSLATE(B2393,""en"",""it"")"),"sotto")</f>
        <v>sotto</v>
      </c>
      <c r="G2393" s="2" t="str">
        <f ca="1">IFERROR(__xludf.DUMMYFUNCTION("GOOGLETRANSLATE(B2393,""en"",""de"")"),"darunter")</f>
        <v>darunter</v>
      </c>
      <c r="H2393" s="2" t="str">
        <f ca="1">IFERROR(__xludf.DUMMYFUNCTION("GOOGLETRANSLATE(B2393,""en"",""zh"")"),"下面")</f>
        <v>下面</v>
      </c>
      <c r="I2393" s="2" t="str">
        <f ca="1">IFERROR(__xludf.DUMMYFUNCTION("GOOGLETRANSLATE(B2393,""en"",""gd"")"),"Gu h-ìosal")</f>
        <v>Gu h-ìosal</v>
      </c>
    </row>
    <row r="2394" spans="1:9" ht="14.25" customHeight="1" x14ac:dyDescent="0.3">
      <c r="A2394" s="2">
        <v>2393</v>
      </c>
      <c r="B2394" s="3" t="s">
        <v>2401</v>
      </c>
      <c r="C2394" s="2" t="str">
        <f ca="1">IFERROR(__xludf.DUMMYFUNCTION("GOOGLETRANSLATE(B2394, ""en"",""es"")"),"adversario")</f>
        <v>adversario</v>
      </c>
      <c r="D2394" s="2" t="str">
        <f ca="1">IFERROR(__xludf.DUMMYFUNCTION("GOOGLETRANSLATE(B2394,""en"",""ig"")"),"onye iro")</f>
        <v>onye iro</v>
      </c>
      <c r="E2394" s="2" t="str">
        <f ca="1">IFERROR(__xludf.DUMMYFUNCTION("GOOGLETRANSLATE(B2394,""en"",""fr"")"),"adversaire")</f>
        <v>adversaire</v>
      </c>
      <c r="F2394" s="2" t="str">
        <f ca="1">IFERROR(__xludf.DUMMYFUNCTION("GOOGLETRANSLATE(B2394,""en"",""it"")"),"avversario")</f>
        <v>avversario</v>
      </c>
      <c r="G2394" s="2" t="str">
        <f ca="1">IFERROR(__xludf.DUMMYFUNCTION("GOOGLETRANSLATE(B2394,""en"",""de"")"),"Gegner")</f>
        <v>Gegner</v>
      </c>
      <c r="H2394" s="2" t="str">
        <f ca="1">IFERROR(__xludf.DUMMYFUNCTION("GOOGLETRANSLATE(B2394,""en"",""zh"")"),"对手")</f>
        <v>对手</v>
      </c>
      <c r="I2394" s="2" t="str">
        <f ca="1">IFERROR(__xludf.DUMMYFUNCTION("GOOGLETRANSLATE(B2394,""en"",""gd"")"),"Neach-dùbhlain")</f>
        <v>Neach-dùbhlain</v>
      </c>
    </row>
    <row r="2395" spans="1:9" ht="14.25" customHeight="1" x14ac:dyDescent="0.3">
      <c r="A2395" s="2">
        <v>2394</v>
      </c>
      <c r="B2395" s="3" t="s">
        <v>2402</v>
      </c>
      <c r="C2395" s="2" t="str">
        <f ca="1">IFERROR(__xludf.DUMMYFUNCTION("GOOGLETRANSLATE(B2395, ""en"",""es"")"),"resistir")</f>
        <v>resistir</v>
      </c>
      <c r="D2395" s="2" t="str">
        <f ca="1">IFERROR(__xludf.DUMMYFUNCTION("GOOGLETRANSLATE(B2395,""en"",""ig"")"),"resisti")</f>
        <v>resisti</v>
      </c>
      <c r="E2395" s="2" t="str">
        <f ca="1">IFERROR(__xludf.DUMMYFUNCTION("GOOGLETRANSLATE(B2395,""en"",""fr"")"),"résister")</f>
        <v>résister</v>
      </c>
      <c r="F2395" s="2" t="str">
        <f ca="1">IFERROR(__xludf.DUMMYFUNCTION("GOOGLETRANSLATE(B2395,""en"",""it"")"),"resistere")</f>
        <v>resistere</v>
      </c>
      <c r="G2395" s="2" t="str">
        <f ca="1">IFERROR(__xludf.DUMMYFUNCTION("GOOGLETRANSLATE(B2395,""en"",""de"")"),"widerstehen")</f>
        <v>widerstehen</v>
      </c>
      <c r="H2395" s="2" t="str">
        <f ca="1">IFERROR(__xludf.DUMMYFUNCTION("GOOGLETRANSLATE(B2395,""en"",""zh"")"),"抵抗")</f>
        <v>抵抗</v>
      </c>
      <c r="I2395" s="2" t="str">
        <f ca="1">IFERROR(__xludf.DUMMYFUNCTION("GOOGLETRANSLATE(B2395,""en"",""gd"")"),"cuir an aghaidh")</f>
        <v>cuir an aghaidh</v>
      </c>
    </row>
    <row r="2396" spans="1:9" ht="14.25" customHeight="1" x14ac:dyDescent="0.3">
      <c r="A2396" s="2">
        <v>2395</v>
      </c>
      <c r="B2396" s="3" t="s">
        <v>2403</v>
      </c>
      <c r="C2396" s="2" t="str">
        <f ca="1">IFERROR(__xludf.DUMMYFUNCTION("GOOGLETRANSLATE(B2396, ""en"",""es"")"),"capacidad")</f>
        <v>capacidad</v>
      </c>
      <c r="D2396" s="2" t="str">
        <f ca="1">IFERROR(__xludf.DUMMYFUNCTION("GOOGLETRANSLATE(B2396,""en"",""ig"")"),"ikike")</f>
        <v>ikike</v>
      </c>
      <c r="E2396" s="2" t="str">
        <f ca="1">IFERROR(__xludf.DUMMYFUNCTION("GOOGLETRANSLATE(B2396,""en"",""fr"")"),"aptitude")</f>
        <v>aptitude</v>
      </c>
      <c r="F2396" s="2" t="str">
        <f ca="1">IFERROR(__xludf.DUMMYFUNCTION("GOOGLETRANSLATE(B2396,""en"",""it"")"),"capacità")</f>
        <v>capacità</v>
      </c>
      <c r="G2396" s="2" t="str">
        <f ca="1">IFERROR(__xludf.DUMMYFUNCTION("GOOGLETRANSLATE(B2396,""en"",""de"")"),"Fähigkeit")</f>
        <v>Fähigkeit</v>
      </c>
      <c r="H2396" s="2" t="str">
        <f ca="1">IFERROR(__xludf.DUMMYFUNCTION("GOOGLETRANSLATE(B2396,""en"",""zh"")"),"能力")</f>
        <v>能力</v>
      </c>
      <c r="I2396" s="2" t="str">
        <f ca="1">IFERROR(__xludf.DUMMYFUNCTION("GOOGLETRANSLATE(B2396,""en"",""gd"")"),"Comas")</f>
        <v>Comas</v>
      </c>
    </row>
    <row r="2397" spans="1:9" ht="14.25" customHeight="1" x14ac:dyDescent="0.3">
      <c r="A2397" s="2">
        <v>2396</v>
      </c>
      <c r="B2397" s="3" t="s">
        <v>2404</v>
      </c>
      <c r="C2397" s="2" t="str">
        <f ca="1">IFERROR(__xludf.DUMMYFUNCTION("GOOGLETRANSLATE(B2397, ""en"",""es"")"),"absoluto")</f>
        <v>absoluto</v>
      </c>
      <c r="D2397" s="2" t="str">
        <f ca="1">IFERROR(__xludf.DUMMYFUNCTION("GOOGLETRANSLATE(B2397,""en"",""ig"")"),"kpochapu")</f>
        <v>kpochapu</v>
      </c>
      <c r="E2397" s="2" t="str">
        <f ca="1">IFERROR(__xludf.DUMMYFUNCTION("GOOGLETRANSLATE(B2397,""en"",""fr"")"),"absolu")</f>
        <v>absolu</v>
      </c>
      <c r="F2397" s="2" t="str">
        <f ca="1">IFERROR(__xludf.DUMMYFUNCTION("GOOGLETRANSLATE(B2397,""en"",""it"")"),"assoluto")</f>
        <v>assoluto</v>
      </c>
      <c r="G2397" s="2" t="str">
        <f ca="1">IFERROR(__xludf.DUMMYFUNCTION("GOOGLETRANSLATE(B2397,""en"",""de"")"),"absolut")</f>
        <v>absolut</v>
      </c>
      <c r="H2397" s="2" t="str">
        <f ca="1">IFERROR(__xludf.DUMMYFUNCTION("GOOGLETRANSLATE(B2397,""en"",""zh"")"),"绝对")</f>
        <v>绝对</v>
      </c>
      <c r="I2397" s="2" t="str">
        <f ca="1">IFERROR(__xludf.DUMMYFUNCTION("GOOGLETRANSLATE(B2397,""en"",""gd"")"),"iomlan")</f>
        <v>iomlan</v>
      </c>
    </row>
    <row r="2398" spans="1:9" ht="14.25" customHeight="1" x14ac:dyDescent="0.3">
      <c r="A2398" s="2">
        <v>2397</v>
      </c>
      <c r="B2398" s="3" t="s">
        <v>2405</v>
      </c>
      <c r="C2398" s="2" t="str">
        <f ca="1">IFERROR(__xludf.DUMMYFUNCTION("GOOGLETRANSLATE(B2398, ""en"",""es"")"),"corresponder")</f>
        <v>corresponder</v>
      </c>
      <c r="D2398" s="2" t="str">
        <f ca="1">IFERROR(__xludf.DUMMYFUNCTION("GOOGLETRANSLATE(B2398,""en"",""ig"")"),"imaaki")</f>
        <v>imaaki</v>
      </c>
      <c r="E2398" s="2" t="str">
        <f ca="1">IFERROR(__xludf.DUMMYFUNCTION("GOOGLETRANSLATE(B2398,""en"",""fr"")"),"correspondre")</f>
        <v>correspondre</v>
      </c>
      <c r="F2398" s="2" t="str">
        <f ca="1">IFERROR(__xludf.DUMMYFUNCTION("GOOGLETRANSLATE(B2398,""en"",""it"")"),"corrispondere")</f>
        <v>corrispondere</v>
      </c>
      <c r="G2398" s="2" t="str">
        <f ca="1">IFERROR(__xludf.DUMMYFUNCTION("GOOGLETRANSLATE(B2398,""en"",""de"")"),"entsprechen")</f>
        <v>entsprechen</v>
      </c>
      <c r="H2398" s="2" t="str">
        <f ca="1">IFERROR(__xludf.DUMMYFUNCTION("GOOGLETRANSLATE(B2398,""en"",""zh"")"),"对应")</f>
        <v>对应</v>
      </c>
      <c r="I2398" s="2" t="str">
        <f ca="1">IFERROR(__xludf.DUMMYFUNCTION("GOOGLETRANSLATE(B2398,""en"",""gd"")"),"a 'freagairt")</f>
        <v>a 'freagairt</v>
      </c>
    </row>
    <row r="2399" spans="1:9" ht="14.25" customHeight="1" x14ac:dyDescent="0.3">
      <c r="A2399" s="2">
        <v>2398</v>
      </c>
      <c r="B2399" s="3" t="s">
        <v>2406</v>
      </c>
      <c r="C2399" s="2" t="str">
        <f ca="1">IFERROR(__xludf.DUMMYFUNCTION("GOOGLETRANSLATE(B2399, ""en"",""es"")"),"ataque")</f>
        <v>ataque</v>
      </c>
      <c r="D2399" s="2" t="str">
        <f ca="1">IFERROR(__xludf.DUMMYFUNCTION("GOOGLETRANSLATE(B2399,""en"",""ig"")"),"strokal")</f>
        <v>strokal</v>
      </c>
      <c r="E2399" s="2" t="str">
        <f ca="1">IFERROR(__xludf.DUMMYFUNCTION("GOOGLETRANSLATE(B2399,""en"",""fr"")"),"accident vasculaire cérébral")</f>
        <v>accident vasculaire cérébral</v>
      </c>
      <c r="F2399" s="2" t="str">
        <f ca="1">IFERROR(__xludf.DUMMYFUNCTION("GOOGLETRANSLATE(B2399,""en"",""it"")"),"colpo")</f>
        <v>colpo</v>
      </c>
      <c r="G2399" s="2" t="str">
        <f ca="1">IFERROR(__xludf.DUMMYFUNCTION("GOOGLETRANSLATE(B2399,""en"",""de"")"),"Schlaganfall")</f>
        <v>Schlaganfall</v>
      </c>
      <c r="H2399" s="2" t="str">
        <f ca="1">IFERROR(__xludf.DUMMYFUNCTION("GOOGLETRANSLATE(B2399,""en"",""zh"")"),"中风")</f>
        <v>中风</v>
      </c>
      <c r="I2399" s="2" t="str">
        <f ca="1">IFERROR(__xludf.DUMMYFUNCTION("GOOGLETRANSLATE(B2399,""en"",""gd"")"),"stròc")</f>
        <v>stròc</v>
      </c>
    </row>
    <row r="2400" spans="1:9" ht="14.25" customHeight="1" x14ac:dyDescent="0.3">
      <c r="A2400" s="2">
        <v>2399</v>
      </c>
      <c r="B2400" s="3" t="s">
        <v>2407</v>
      </c>
      <c r="C2400" s="2" t="str">
        <f ca="1">IFERROR(__xludf.DUMMYFUNCTION("GOOGLETRANSLATE(B2400, ""en"",""es"")"),"atrevimiento")</f>
        <v>atrevimiento</v>
      </c>
      <c r="D2400" s="2" t="str">
        <f ca="1">IFERROR(__xludf.DUMMYFUNCTION("GOOGLETRANSLATE(B2400,""en"",""ig"")"),"nwaaibe")</f>
        <v>nwaaibe</v>
      </c>
      <c r="E2400" s="2" t="str">
        <f ca="1">IFERROR(__xludf.DUMMYFUNCTION("GOOGLETRANSLATE(B2400,""en"",""fr"")"),"oser")</f>
        <v>oser</v>
      </c>
      <c r="F2400" s="2" t="str">
        <f ca="1">IFERROR(__xludf.DUMMYFUNCTION("GOOGLETRANSLATE(B2400,""en"",""it"")"),"Osa")</f>
        <v>Osa</v>
      </c>
      <c r="G2400" s="2" t="str">
        <f ca="1">IFERROR(__xludf.DUMMYFUNCTION("GOOGLETRANSLATE(B2400,""en"",""de"")"),"Wagen")</f>
        <v>Wagen</v>
      </c>
      <c r="H2400" s="2" t="str">
        <f ca="1">IFERROR(__xludf.DUMMYFUNCTION("GOOGLETRANSLATE(B2400,""en"",""zh"")"),"敢")</f>
        <v>敢</v>
      </c>
      <c r="I2400" s="2" t="str">
        <f ca="1">IFERROR(__xludf.DUMMYFUNCTION("GOOGLETRANSLATE(B2400,""en"",""gd"")"),"dare")</f>
        <v>dare</v>
      </c>
    </row>
    <row r="2401" spans="1:9" ht="14.25" customHeight="1" x14ac:dyDescent="0.3">
      <c r="A2401" s="2">
        <v>2400</v>
      </c>
      <c r="B2401" s="3" t="s">
        <v>2408</v>
      </c>
      <c r="C2401" s="2" t="str">
        <f ca="1">IFERROR(__xludf.DUMMYFUNCTION("GOOGLETRANSLATE(B2401, ""en"",""es"")"),"barrera")</f>
        <v>barrera</v>
      </c>
      <c r="D2401" s="2" t="str">
        <f ca="1">IFERROR(__xludf.DUMMYFUNCTION("GOOGLETRANSLATE(B2401,""en"",""ig"")"),"ihe mgbochi")</f>
        <v>ihe mgbochi</v>
      </c>
      <c r="E2401" s="2" t="str">
        <f ca="1">IFERROR(__xludf.DUMMYFUNCTION("GOOGLETRANSLATE(B2401,""en"",""fr"")"),"barrière")</f>
        <v>barrière</v>
      </c>
      <c r="F2401" s="2" t="str">
        <f ca="1">IFERROR(__xludf.DUMMYFUNCTION("GOOGLETRANSLATE(B2401,""en"",""it"")"),"barriera")</f>
        <v>barriera</v>
      </c>
      <c r="G2401" s="2" t="str">
        <f ca="1">IFERROR(__xludf.DUMMYFUNCTION("GOOGLETRANSLATE(B2401,""en"",""de"")"),"Barriere")</f>
        <v>Barriere</v>
      </c>
      <c r="H2401" s="2" t="str">
        <f ca="1">IFERROR(__xludf.DUMMYFUNCTION("GOOGLETRANSLATE(B2401,""en"",""zh"")"),"障碍")</f>
        <v>障碍</v>
      </c>
      <c r="I2401" s="2" t="str">
        <f ca="1">IFERROR(__xludf.DUMMYFUNCTION("GOOGLETRANSLATE(B2401,""en"",""gd"")"),"cnap-starra")</f>
        <v>cnap-starra</v>
      </c>
    </row>
    <row r="2402" spans="1:9" ht="14.25" customHeight="1" x14ac:dyDescent="0.3">
      <c r="A2402" s="2">
        <v>2401</v>
      </c>
      <c r="B2402" s="3" t="s">
        <v>2409</v>
      </c>
      <c r="C2402" s="2" t="str">
        <f ca="1">IFERROR(__xludf.DUMMYFUNCTION("GOOGLETRANSLATE(B2402, ""en"",""es"")"),"deshacerse")</f>
        <v>deshacerse</v>
      </c>
      <c r="D2402" s="2" t="str">
        <f ca="1">IFERROR(__xludf.DUMMYFUNCTION("GOOGLETRANSLATE(B2402,""en"",""ig"")"),"isichapu")</f>
        <v>isichapu</v>
      </c>
      <c r="E2402" s="2" t="str">
        <f ca="1">IFERROR(__xludf.DUMMYFUNCTION("GOOGLETRANSLATE(B2402,""en"",""fr"")"),"débarrasser")</f>
        <v>débarrasser</v>
      </c>
      <c r="F2402" s="2" t="str">
        <f ca="1">IFERROR(__xludf.DUMMYFUNCTION("GOOGLETRANSLATE(B2402,""en"",""it"")"),"sbarazzarsi")</f>
        <v>sbarazzarsi</v>
      </c>
      <c r="G2402" s="2" t="str">
        <f ca="1">IFERROR(__xludf.DUMMYFUNCTION("GOOGLETRANSLATE(B2402,""en"",""de"")"),"loswerden")</f>
        <v>loswerden</v>
      </c>
      <c r="H2402" s="2" t="str">
        <f ca="1">IFERROR(__xludf.DUMMYFUNCTION("GOOGLETRANSLATE(B2402,""en"",""zh"")"),"骑")</f>
        <v>骑</v>
      </c>
      <c r="I2402" s="2" t="str">
        <f ca="1">IFERROR(__xludf.DUMMYFUNCTION("GOOGLETRANSLATE(B2402,""en"",""gd"")"),"cuidhteas")</f>
        <v>cuidhteas</v>
      </c>
    </row>
    <row r="2403" spans="1:9" ht="14.25" customHeight="1" x14ac:dyDescent="0.3">
      <c r="A2403" s="2">
        <v>2402</v>
      </c>
      <c r="B2403" s="3" t="s">
        <v>2410</v>
      </c>
      <c r="C2403" s="2" t="str">
        <f ca="1">IFERROR(__xludf.DUMMYFUNCTION("GOOGLETRANSLATE(B2403, ""en"",""es"")"),"divorcio")</f>
        <v>divorcio</v>
      </c>
      <c r="D2403" s="2" t="str">
        <f ca="1">IFERROR(__xludf.DUMMYFUNCTION("GOOGLETRANSLATE(B2403,""en"",""ig"")"),"igba alukwaghim")</f>
        <v>igba alukwaghim</v>
      </c>
      <c r="E2403" s="2" t="str">
        <f ca="1">IFERROR(__xludf.DUMMYFUNCTION("GOOGLETRANSLATE(B2403,""en"",""fr"")"),"divorce")</f>
        <v>divorce</v>
      </c>
      <c r="F2403" s="2" t="str">
        <f ca="1">IFERROR(__xludf.DUMMYFUNCTION("GOOGLETRANSLATE(B2403,""en"",""it"")"),"divorzio")</f>
        <v>divorzio</v>
      </c>
      <c r="G2403" s="2" t="str">
        <f ca="1">IFERROR(__xludf.DUMMYFUNCTION("GOOGLETRANSLATE(B2403,""en"",""de"")"),"Scheidung")</f>
        <v>Scheidung</v>
      </c>
      <c r="H2403" s="2" t="str">
        <f ca="1">IFERROR(__xludf.DUMMYFUNCTION("GOOGLETRANSLATE(B2403,""en"",""zh"")"),"离婚")</f>
        <v>离婚</v>
      </c>
      <c r="I2403" s="2" t="str">
        <f ca="1">IFERROR(__xludf.DUMMYFUNCTION("GOOGLETRANSLATE(B2403,""en"",""gd"")"),"sgaradh-pòsaidh")</f>
        <v>sgaradh-pòsaidh</v>
      </c>
    </row>
    <row r="2404" spans="1:9" ht="14.25" customHeight="1" x14ac:dyDescent="0.3">
      <c r="A2404" s="2">
        <v>2403</v>
      </c>
      <c r="B2404" s="3" t="s">
        <v>2411</v>
      </c>
      <c r="C2404" s="2" t="str">
        <f ca="1">IFERROR(__xludf.DUMMYFUNCTION("GOOGLETRANSLATE(B2404, ""en"",""es"")"),"ruina")</f>
        <v>ruina</v>
      </c>
      <c r="D2404" s="2" t="str">
        <f ca="1">IFERROR(__xludf.DUMMYFUNCTION("GOOGLETRANSLATE(B2404,""en"",""ig"")"),"ibibi")</f>
        <v>ibibi</v>
      </c>
      <c r="E2404" s="2" t="str">
        <f ca="1">IFERROR(__xludf.DUMMYFUNCTION("GOOGLETRANSLATE(B2404,""en"",""fr"")"),"ruine")</f>
        <v>ruine</v>
      </c>
      <c r="F2404" s="2" t="str">
        <f ca="1">IFERROR(__xludf.DUMMYFUNCTION("GOOGLETRANSLATE(B2404,""en"",""it"")"),"rovina")</f>
        <v>rovina</v>
      </c>
      <c r="G2404" s="2" t="str">
        <f ca="1">IFERROR(__xludf.DUMMYFUNCTION("GOOGLETRANSLATE(B2404,""en"",""de"")"),"Ruine")</f>
        <v>Ruine</v>
      </c>
      <c r="H2404" s="2" t="str">
        <f ca="1">IFERROR(__xludf.DUMMYFUNCTION("GOOGLETRANSLATE(B2404,""en"",""zh"")"),"废墟")</f>
        <v>废墟</v>
      </c>
      <c r="I2404" s="2" t="str">
        <f ca="1">IFERROR(__xludf.DUMMYFUNCTION("GOOGLETRANSLATE(B2404,""en"",""gd"")"),"tobhta")</f>
        <v>tobhta</v>
      </c>
    </row>
    <row r="2405" spans="1:9" ht="14.25" customHeight="1" x14ac:dyDescent="0.3">
      <c r="A2405" s="2">
        <v>2404</v>
      </c>
      <c r="B2405" s="3" t="s">
        <v>2412</v>
      </c>
      <c r="C2405" s="2" t="str">
        <f ca="1">IFERROR(__xludf.DUMMYFUNCTION("GOOGLETRANSLATE(B2405, ""en"",""es"")"),"enterrar")</f>
        <v>enterrar</v>
      </c>
      <c r="D2405" s="2" t="str">
        <f ca="1">IFERROR(__xludf.DUMMYFUNCTION("GOOGLETRANSLATE(B2405,""en"",""ig"")"),"ili")</f>
        <v>ili</v>
      </c>
      <c r="E2405" s="2" t="str">
        <f ca="1">IFERROR(__xludf.DUMMYFUNCTION("GOOGLETRANSLATE(B2405,""en"",""fr"")"),"enterrer")</f>
        <v>enterrer</v>
      </c>
      <c r="F2405" s="2" t="str">
        <f ca="1">IFERROR(__xludf.DUMMYFUNCTION("GOOGLETRANSLATE(B2405,""en"",""it"")"),"seppellire")</f>
        <v>seppellire</v>
      </c>
      <c r="G2405" s="2" t="str">
        <f ca="1">IFERROR(__xludf.DUMMYFUNCTION("GOOGLETRANSLATE(B2405,""en"",""de"")"),"begraben")</f>
        <v>begraben</v>
      </c>
      <c r="H2405" s="2" t="str">
        <f ca="1">IFERROR(__xludf.DUMMYFUNCTION("GOOGLETRANSLATE(B2405,""en"",""zh"")"),"埋葬")</f>
        <v>埋葬</v>
      </c>
      <c r="I2405" s="2" t="str">
        <f ca="1">IFERROR(__xludf.DUMMYFUNCTION("GOOGLETRANSLATE(B2405,""en"",""gd"")"),"adhlacadh")</f>
        <v>adhlacadh</v>
      </c>
    </row>
    <row r="2406" spans="1:9" ht="14.25" customHeight="1" x14ac:dyDescent="0.3">
      <c r="A2406" s="2">
        <v>2405</v>
      </c>
      <c r="B2406" s="3" t="s">
        <v>2413</v>
      </c>
      <c r="C2406" s="2" t="str">
        <f ca="1">IFERROR(__xludf.DUMMYFUNCTION("GOOGLETRANSLATE(B2406, ""en"",""es"")"),"consejo")</f>
        <v>consejo</v>
      </c>
      <c r="D2406" s="2" t="str">
        <f ca="1">IFERROR(__xludf.DUMMYFUNCTION("GOOGLETRANSLATE(B2406,""en"",""ig"")"),"ndumoodu")</f>
        <v>ndumoodu</v>
      </c>
      <c r="E2406" s="2" t="str">
        <f ca="1">IFERROR(__xludf.DUMMYFUNCTION("GOOGLETRANSLATE(B2406,""en"",""fr"")"),"Conseil")</f>
        <v>Conseil</v>
      </c>
      <c r="F2406" s="2" t="str">
        <f ca="1">IFERROR(__xludf.DUMMYFUNCTION("GOOGLETRANSLATE(B2406,""en"",""it"")"),"Consigliere")</f>
        <v>Consigliere</v>
      </c>
      <c r="G2406" s="2" t="str">
        <f ca="1">IFERROR(__xludf.DUMMYFUNCTION("GOOGLETRANSLATE(B2406,""en"",""de"")"),"Rat")</f>
        <v>Rat</v>
      </c>
      <c r="H2406" s="2" t="str">
        <f ca="1">IFERROR(__xludf.DUMMYFUNCTION("GOOGLETRANSLATE(B2406,""en"",""zh"")"),"法律顾问")</f>
        <v>法律顾问</v>
      </c>
      <c r="I2406" s="2" t="str">
        <f ca="1">IFERROR(__xludf.DUMMYFUNCTION("GOOGLETRANSLATE(B2406,""en"",""gd"")"),"Comhairliche")</f>
        <v>Comhairliche</v>
      </c>
    </row>
    <row r="2407" spans="1:9" ht="14.25" customHeight="1" x14ac:dyDescent="0.3">
      <c r="A2407" s="2">
        <v>2406</v>
      </c>
      <c r="B2407" s="3" t="s">
        <v>2414</v>
      </c>
      <c r="C2407" s="2" t="str">
        <f ca="1">IFERROR(__xludf.DUMMYFUNCTION("GOOGLETRANSLATE(B2407, ""en"",""es"")"),"tendencia")</f>
        <v>tendencia</v>
      </c>
      <c r="D2407" s="2" t="str">
        <f ca="1">IFERROR(__xludf.DUMMYFUNCTION("GOOGLETRANSLATE(B2407,""en"",""ig"")"),"tendensi")</f>
        <v>tendensi</v>
      </c>
      <c r="E2407" s="2" t="str">
        <f ca="1">IFERROR(__xludf.DUMMYFUNCTION("GOOGLETRANSLATE(B2407,""en"",""fr"")"),"tendance")</f>
        <v>tendance</v>
      </c>
      <c r="F2407" s="2" t="str">
        <f ca="1">IFERROR(__xludf.DUMMYFUNCTION("GOOGLETRANSLATE(B2407,""en"",""it"")"),"tendenza")</f>
        <v>tendenza</v>
      </c>
      <c r="G2407" s="2" t="str">
        <f ca="1">IFERROR(__xludf.DUMMYFUNCTION("GOOGLETRANSLATE(B2407,""en"",""de"")"),"Tendenz")</f>
        <v>Tendenz</v>
      </c>
      <c r="H2407" s="2" t="str">
        <f ca="1">IFERROR(__xludf.DUMMYFUNCTION("GOOGLETRANSLATE(B2407,""en"",""zh"")"),"趋势")</f>
        <v>趋势</v>
      </c>
      <c r="I2407" s="2" t="str">
        <f ca="1">IFERROR(__xludf.DUMMYFUNCTION("GOOGLETRANSLATE(B2407,""en"",""gd"")"),"claonadh")</f>
        <v>claonadh</v>
      </c>
    </row>
    <row r="2408" spans="1:9" ht="14.25" customHeight="1" x14ac:dyDescent="0.3">
      <c r="A2408" s="2">
        <v>2407</v>
      </c>
      <c r="B2408" s="3" t="s">
        <v>2415</v>
      </c>
      <c r="C2408" s="2" t="str">
        <f ca="1">IFERROR(__xludf.DUMMYFUNCTION("GOOGLETRANSLATE(B2408, ""en"",""es"")"),"frecuente")</f>
        <v>frecuente</v>
      </c>
      <c r="D2408" s="2" t="str">
        <f ca="1">IFERROR(__xludf.DUMMYFUNCTION("GOOGLETRANSLATE(B2408,""en"",""ig"")"),"kemgbe na mgbe")</f>
        <v>kemgbe na mgbe</v>
      </c>
      <c r="E2408" s="2" t="str">
        <f ca="1">IFERROR(__xludf.DUMMYFUNCTION("GOOGLETRANSLATE(B2408,""en"",""fr"")"),"fréquent")</f>
        <v>fréquent</v>
      </c>
      <c r="F2408" s="2" t="str">
        <f ca="1">IFERROR(__xludf.DUMMYFUNCTION("GOOGLETRANSLATE(B2408,""en"",""it"")"),"frequente")</f>
        <v>frequente</v>
      </c>
      <c r="G2408" s="2" t="str">
        <f ca="1">IFERROR(__xludf.DUMMYFUNCTION("GOOGLETRANSLATE(B2408,""en"",""de"")"),"häufig")</f>
        <v>häufig</v>
      </c>
      <c r="H2408" s="2" t="str">
        <f ca="1">IFERROR(__xludf.DUMMYFUNCTION("GOOGLETRANSLATE(B2408,""en"",""zh"")"),"频繁")</f>
        <v>频繁</v>
      </c>
      <c r="I2408" s="2" t="str">
        <f ca="1">IFERROR(__xludf.DUMMYFUNCTION("GOOGLETRANSLATE(B2408,""en"",""gd"")"),"tric gu tric")</f>
        <v>tric gu tric</v>
      </c>
    </row>
    <row r="2409" spans="1:9" ht="14.25" customHeight="1" x14ac:dyDescent="0.3">
      <c r="A2409" s="2">
        <v>2408</v>
      </c>
      <c r="B2409" s="3" t="s">
        <v>2416</v>
      </c>
      <c r="C2409" s="2" t="str">
        <f ca="1">IFERROR(__xludf.DUMMYFUNCTION("GOOGLETRANSLATE(B2409, ""en"",""es"")"),"motor")</f>
        <v>motor</v>
      </c>
      <c r="D2409" s="2" t="str">
        <f ca="1">IFERROR(__xludf.DUMMYFUNCTION("GOOGLETRANSLATE(B2409,""en"",""ig"")"),"moto")</f>
        <v>moto</v>
      </c>
      <c r="E2409" s="2" t="str">
        <f ca="1">IFERROR(__xludf.DUMMYFUNCTION("GOOGLETRANSLATE(B2409,""en"",""fr"")"),"moteur")</f>
        <v>moteur</v>
      </c>
      <c r="F2409" s="2" t="str">
        <f ca="1">IFERROR(__xludf.DUMMYFUNCTION("GOOGLETRANSLATE(B2409,""en"",""it"")"),"il motore")</f>
        <v>il motore</v>
      </c>
      <c r="G2409" s="2" t="str">
        <f ca="1">IFERROR(__xludf.DUMMYFUNCTION("GOOGLETRANSLATE(B2409,""en"",""de"")"),"Motor")</f>
        <v>Motor</v>
      </c>
      <c r="H2409" s="2" t="str">
        <f ca="1">IFERROR(__xludf.DUMMYFUNCTION("GOOGLETRANSLATE(B2409,""en"",""zh"")"),"发动机")</f>
        <v>发动机</v>
      </c>
      <c r="I2409" s="2" t="str">
        <f ca="1">IFERROR(__xludf.DUMMYFUNCTION("GOOGLETRANSLATE(B2409,""en"",""gd"")"),"Motair")</f>
        <v>Motair</v>
      </c>
    </row>
    <row r="2410" spans="1:9" ht="14.25" customHeight="1" x14ac:dyDescent="0.3">
      <c r="A2410" s="2">
        <v>2409</v>
      </c>
      <c r="B2410" s="3" t="s">
        <v>2417</v>
      </c>
      <c r="C2410" s="2" t="str">
        <f ca="1">IFERROR(__xludf.DUMMYFUNCTION("GOOGLETRANSLATE(B2410, ""en"",""es"")"),"supervivencia")</f>
        <v>supervivencia</v>
      </c>
      <c r="D2410" s="2" t="str">
        <f ca="1">IFERROR(__xludf.DUMMYFUNCTION("GOOGLETRANSLATE(B2410,""en"",""ig"")"),"mnwufo")</f>
        <v>mnwufo</v>
      </c>
      <c r="E2410" s="2" t="str">
        <f ca="1">IFERROR(__xludf.DUMMYFUNCTION("GOOGLETRANSLATE(B2410,""en"",""fr"")"),"survie")</f>
        <v>survie</v>
      </c>
      <c r="F2410" s="2" t="str">
        <f ca="1">IFERROR(__xludf.DUMMYFUNCTION("GOOGLETRANSLATE(B2410,""en"",""it"")"),"sopravvivenza")</f>
        <v>sopravvivenza</v>
      </c>
      <c r="G2410" s="2" t="str">
        <f ca="1">IFERROR(__xludf.DUMMYFUNCTION("GOOGLETRANSLATE(B2410,""en"",""de"")"),"Überleben")</f>
        <v>Überleben</v>
      </c>
      <c r="H2410" s="2" t="str">
        <f ca="1">IFERROR(__xludf.DUMMYFUNCTION("GOOGLETRANSLATE(B2410,""en"",""zh"")"),"生存")</f>
        <v>生存</v>
      </c>
      <c r="I2410" s="2" t="str">
        <f ca="1">IFERROR(__xludf.DUMMYFUNCTION("GOOGLETRANSLATE(B2410,""en"",""gd"")"),"mairsinn")</f>
        <v>mairsinn</v>
      </c>
    </row>
    <row r="2411" spans="1:9" ht="14.25" customHeight="1" x14ac:dyDescent="0.3">
      <c r="A2411" s="2">
        <v>2410</v>
      </c>
      <c r="B2411" s="3" t="s">
        <v>2418</v>
      </c>
      <c r="C2411" s="2" t="str">
        <f ca="1">IFERROR(__xludf.DUMMYFUNCTION("GOOGLETRANSLATE(B2411, ""en"",""es"")"),"encimera")</f>
        <v>encimera</v>
      </c>
      <c r="D2411" s="2" t="str">
        <f ca="1">IFERROR(__xludf.DUMMYFUNCTION("GOOGLETRANSLATE(B2411,""en"",""ig"")"),"kanta")</f>
        <v>kanta</v>
      </c>
      <c r="E2411" s="2" t="str">
        <f ca="1">IFERROR(__xludf.DUMMYFUNCTION("GOOGLETRANSLATE(B2411,""en"",""fr"")"),"comptoir")</f>
        <v>comptoir</v>
      </c>
      <c r="F2411" s="2" t="str">
        <f ca="1">IFERROR(__xludf.DUMMYFUNCTION("GOOGLETRANSLATE(B2411,""en"",""it"")"),"contatore")</f>
        <v>contatore</v>
      </c>
      <c r="G2411" s="2" t="str">
        <f ca="1">IFERROR(__xludf.DUMMYFUNCTION("GOOGLETRANSLATE(B2411,""en"",""de"")"),"Schalter")</f>
        <v>Schalter</v>
      </c>
      <c r="H2411" s="2" t="str">
        <f ca="1">IFERROR(__xludf.DUMMYFUNCTION("GOOGLETRANSLATE(B2411,""en"",""zh"")"),"柜台")</f>
        <v>柜台</v>
      </c>
      <c r="I2411" s="2" t="str">
        <f ca="1">IFERROR(__xludf.DUMMYFUNCTION("GOOGLETRANSLATE(B2411,""en"",""gd"")"),"Counter")</f>
        <v>Counter</v>
      </c>
    </row>
    <row r="2412" spans="1:9" ht="14.25" customHeight="1" x14ac:dyDescent="0.3">
      <c r="A2412" s="2">
        <v>2411</v>
      </c>
      <c r="B2412" s="3" t="s">
        <v>2419</v>
      </c>
      <c r="C2412" s="2" t="str">
        <f ca="1">IFERROR(__xludf.DUMMYFUNCTION("GOOGLETRANSLATE(B2412, ""en"",""es"")"),"poseer")</f>
        <v>poseer</v>
      </c>
      <c r="D2412" s="2" t="str">
        <f ca="1">IFERROR(__xludf.DUMMYFUNCTION("GOOGLETRANSLATE(B2412,""en"",""ig"")"),"jide")</f>
        <v>jide</v>
      </c>
      <c r="E2412" s="2" t="str">
        <f ca="1">IFERROR(__xludf.DUMMYFUNCTION("GOOGLETRANSLATE(B2412,""en"",""fr"")"),"posséder")</f>
        <v>posséder</v>
      </c>
      <c r="F2412" s="2" t="str">
        <f ca="1">IFERROR(__xludf.DUMMYFUNCTION("GOOGLETRANSLATE(B2412,""en"",""it"")"),"possedere")</f>
        <v>possedere</v>
      </c>
      <c r="G2412" s="2" t="str">
        <f ca="1">IFERROR(__xludf.DUMMYFUNCTION("GOOGLETRANSLATE(B2412,""en"",""de"")"),"besitzen")</f>
        <v>besitzen</v>
      </c>
      <c r="H2412" s="2" t="str">
        <f ca="1">IFERROR(__xludf.DUMMYFUNCTION("GOOGLETRANSLATE(B2412,""en"",""zh"")"),"具有")</f>
        <v>具有</v>
      </c>
      <c r="I2412" s="2" t="str">
        <f ca="1">IFERROR(__xludf.DUMMYFUNCTION("GOOGLETRANSLATE(B2412,""en"",""gd"")"),"sealbhaich")</f>
        <v>sealbhaich</v>
      </c>
    </row>
    <row r="2413" spans="1:9" ht="14.25" customHeight="1" x14ac:dyDescent="0.3">
      <c r="A2413" s="2">
        <v>2412</v>
      </c>
      <c r="B2413" s="3" t="s">
        <v>2420</v>
      </c>
      <c r="C2413" s="2" t="str">
        <f ca="1">IFERROR(__xludf.DUMMYFUNCTION("GOOGLETRANSLATE(B2413, ""en"",""es"")"),"permiso")</f>
        <v>permiso</v>
      </c>
      <c r="D2413" s="2" t="str">
        <f ca="1">IFERROR(__xludf.DUMMYFUNCTION("GOOGLETRANSLATE(B2413,""en"",""ig"")"),"inara ike")</f>
        <v>inara ike</v>
      </c>
      <c r="E2413" s="2" t="str">
        <f ca="1">IFERROR(__xludf.DUMMYFUNCTION("GOOGLETRANSLATE(B2413,""en"",""fr"")"),"autorisation")</f>
        <v>autorisation</v>
      </c>
      <c r="F2413" s="2" t="str">
        <f ca="1">IFERROR(__xludf.DUMMYFUNCTION("GOOGLETRANSLATE(B2413,""en"",""it"")"),"autorizzazione")</f>
        <v>autorizzazione</v>
      </c>
      <c r="G2413" s="2" t="str">
        <f ca="1">IFERROR(__xludf.DUMMYFUNCTION("GOOGLETRANSLATE(B2413,""en"",""de"")"),"Erlaubnis")</f>
        <v>Erlaubnis</v>
      </c>
      <c r="H2413" s="2" t="str">
        <f ca="1">IFERROR(__xludf.DUMMYFUNCTION("GOOGLETRANSLATE(B2413,""en"",""zh"")"),"允许")</f>
        <v>允许</v>
      </c>
      <c r="I2413" s="2" t="str">
        <f ca="1">IFERROR(__xludf.DUMMYFUNCTION("GOOGLETRANSLATE(B2413,""en"",""gd"")"),"Cead")</f>
        <v>Cead</v>
      </c>
    </row>
    <row r="2414" spans="1:9" ht="14.25" customHeight="1" x14ac:dyDescent="0.3">
      <c r="A2414" s="2">
        <v>2413</v>
      </c>
      <c r="B2414" s="3" t="s">
        <v>2421</v>
      </c>
      <c r="C2414" s="2" t="str">
        <f ca="1">IFERROR(__xludf.DUMMYFUNCTION("GOOGLETRANSLATE(B2414, ""en"",""es"")"),"valle")</f>
        <v>valle</v>
      </c>
      <c r="D2414" s="2" t="str">
        <f ca="1">IFERROR(__xludf.DUMMYFUNCTION("GOOGLETRANSLATE(B2414,""en"",""ig"")"),"ndagwurugwu")</f>
        <v>ndagwurugwu</v>
      </c>
      <c r="E2414" s="2" t="str">
        <f ca="1">IFERROR(__xludf.DUMMYFUNCTION("GOOGLETRANSLATE(B2414,""en"",""fr"")"),"vallée")</f>
        <v>vallée</v>
      </c>
      <c r="F2414" s="2" t="str">
        <f ca="1">IFERROR(__xludf.DUMMYFUNCTION("GOOGLETRANSLATE(B2414,""en"",""it"")"),"valle")</f>
        <v>valle</v>
      </c>
      <c r="G2414" s="2" t="str">
        <f ca="1">IFERROR(__xludf.DUMMYFUNCTION("GOOGLETRANSLATE(B2414,""en"",""de"")"),"Schlucht")</f>
        <v>Schlucht</v>
      </c>
      <c r="H2414" s="2" t="str">
        <f ca="1">IFERROR(__xludf.DUMMYFUNCTION("GOOGLETRANSLATE(B2414,""en"",""zh"")"),"谷")</f>
        <v>谷</v>
      </c>
      <c r="I2414" s="2" t="str">
        <f ca="1">IFERROR(__xludf.DUMMYFUNCTION("GOOGLETRANSLATE(B2414,""en"",""gd"")"),"Gleann")</f>
        <v>Gleann</v>
      </c>
    </row>
    <row r="2415" spans="1:9" ht="14.25" customHeight="1" x14ac:dyDescent="0.3">
      <c r="A2415" s="2">
        <v>2414</v>
      </c>
      <c r="B2415" s="3" t="s">
        <v>2422</v>
      </c>
      <c r="C2415" s="2" t="str">
        <f ca="1">IFERROR(__xludf.DUMMYFUNCTION("GOOGLETRANSLATE(B2415, ""en"",""es"")"),"flotar")</f>
        <v>flotar</v>
      </c>
      <c r="D2415" s="2" t="str">
        <f ca="1">IFERROR(__xludf.DUMMYFUNCTION("GOOGLETRANSLATE(B2415,""en"",""ig"")"),"ise n'elu")</f>
        <v>ise n'elu</v>
      </c>
      <c r="E2415" s="2" t="str">
        <f ca="1">IFERROR(__xludf.DUMMYFUNCTION("GOOGLETRANSLATE(B2415,""en"",""fr"")"),"flotter")</f>
        <v>flotter</v>
      </c>
      <c r="F2415" s="2" t="str">
        <f ca="1">IFERROR(__xludf.DUMMYFUNCTION("GOOGLETRANSLATE(B2415,""en"",""it"")"),"galleggiante")</f>
        <v>galleggiante</v>
      </c>
      <c r="G2415" s="2" t="str">
        <f ca="1">IFERROR(__xludf.DUMMYFUNCTION("GOOGLETRANSLATE(B2415,""en"",""de"")"),"schweben")</f>
        <v>schweben</v>
      </c>
      <c r="H2415" s="2" t="str">
        <f ca="1">IFERROR(__xludf.DUMMYFUNCTION("GOOGLETRANSLATE(B2415,""en"",""zh"")"),"漂浮")</f>
        <v>漂浮</v>
      </c>
      <c r="I2415" s="2" t="str">
        <f ca="1">IFERROR(__xludf.DUMMYFUNCTION("GOOGLETRANSLATE(B2415,""en"",""gd"")"),"float")</f>
        <v>float</v>
      </c>
    </row>
    <row r="2416" spans="1:9" ht="14.25" customHeight="1" x14ac:dyDescent="0.3">
      <c r="A2416" s="2">
        <v>2415</v>
      </c>
      <c r="B2416" s="3" t="s">
        <v>2423</v>
      </c>
      <c r="C2416" s="2" t="str">
        <f ca="1">IFERROR(__xludf.DUMMYFUNCTION("GOOGLETRANSLATE(B2416, ""en"",""es"")"),"enojado")</f>
        <v>enojado</v>
      </c>
      <c r="D2416" s="2" t="str">
        <f ca="1">IFERROR(__xludf.DUMMYFUNCTION("GOOGLETRANSLATE(B2416,""en"",""ig"")"),"keara")</f>
        <v>keara</v>
      </c>
      <c r="E2416" s="2" t="str">
        <f ca="1">IFERROR(__xludf.DUMMYFUNCTION("GOOGLETRANSLATE(B2416,""en"",""fr"")"),"fou")</f>
        <v>fou</v>
      </c>
      <c r="F2416" s="2" t="str">
        <f ca="1">IFERROR(__xludf.DUMMYFUNCTION("GOOGLETRANSLATE(B2416,""en"",""it"")"),"pazzo")</f>
        <v>pazzo</v>
      </c>
      <c r="G2416" s="2" t="str">
        <f ca="1">IFERROR(__xludf.DUMMYFUNCTION("GOOGLETRANSLATE(B2416,""en"",""de"")"),"verrückt")</f>
        <v>verrückt</v>
      </c>
      <c r="H2416" s="2" t="str">
        <f ca="1">IFERROR(__xludf.DUMMYFUNCTION("GOOGLETRANSLATE(B2416,""en"",""zh"")"),"疯狂的")</f>
        <v>疯狂的</v>
      </c>
      <c r="I2416" s="2" t="str">
        <f ca="1">IFERROR(__xludf.DUMMYFUNCTION("GOOGLETRANSLATE(B2416,""en"",""gd"")"),"cuthach")</f>
        <v>cuthach</v>
      </c>
    </row>
    <row r="2417" spans="1:9" ht="14.25" customHeight="1" x14ac:dyDescent="0.3">
      <c r="A2417" s="2">
        <v>2416</v>
      </c>
      <c r="B2417" s="3" t="s">
        <v>2424</v>
      </c>
      <c r="C2417" s="2" t="str">
        <f ca="1">IFERROR(__xludf.DUMMYFUNCTION("GOOGLETRANSLATE(B2417, ""en"",""es"")"),"muy")</f>
        <v>muy</v>
      </c>
      <c r="D2417" s="2" t="str">
        <f ca="1">IFERROR(__xludf.DUMMYFUNCTION("GOOGLETRANSLATE(B2417,""en"",""ig"")"),"nke ukwuu")</f>
        <v>nke ukwuu</v>
      </c>
      <c r="E2417" s="2" t="str">
        <f ca="1">IFERROR(__xludf.DUMMYFUNCTION("GOOGLETRANSLATE(B2417,""en"",""fr"")"),"très")</f>
        <v>très</v>
      </c>
      <c r="F2417" s="2" t="str">
        <f ca="1">IFERROR(__xludf.DUMMYFUNCTION("GOOGLETRANSLATE(B2417,""en"",""it"")"),"molto")</f>
        <v>molto</v>
      </c>
      <c r="G2417" s="2" t="str">
        <f ca="1">IFERROR(__xludf.DUMMYFUNCTION("GOOGLETRANSLATE(B2417,""en"",""de"")"),"sehr")</f>
        <v>sehr</v>
      </c>
      <c r="H2417" s="2" t="str">
        <f ca="1">IFERROR(__xludf.DUMMYFUNCTION("GOOGLETRANSLATE(B2417,""en"",""zh"")"),"很大")</f>
        <v>很大</v>
      </c>
      <c r="I2417" s="2" t="str">
        <f ca="1">IFERROR(__xludf.DUMMYFUNCTION("GOOGLETRANSLATE(B2417,""en"",""gd"")"),"gu mòr")</f>
        <v>gu mòr</v>
      </c>
    </row>
    <row r="2418" spans="1:9" ht="14.25" customHeight="1" x14ac:dyDescent="0.3">
      <c r="A2418" s="2">
        <v>2417</v>
      </c>
      <c r="B2418" s="3" t="s">
        <v>2425</v>
      </c>
      <c r="C2418" s="2" t="str">
        <f ca="1">IFERROR(__xludf.DUMMYFUNCTION("GOOGLETRANSLATE(B2418, ""en"",""es"")"),"visible")</f>
        <v>visible</v>
      </c>
      <c r="D2418" s="2" t="str">
        <f ca="1">IFERROR(__xludf.DUMMYFUNCTION("GOOGLETRANSLATE(B2418,""en"",""ig"")"),"visibul")</f>
        <v>visibul</v>
      </c>
      <c r="E2418" s="2" t="str">
        <f ca="1">IFERROR(__xludf.DUMMYFUNCTION("GOOGLETRANSLATE(B2418,""en"",""fr"")"),"visible")</f>
        <v>visible</v>
      </c>
      <c r="F2418" s="2" t="str">
        <f ca="1">IFERROR(__xludf.DUMMYFUNCTION("GOOGLETRANSLATE(B2418,""en"",""it"")"),"visibile")</f>
        <v>visibile</v>
      </c>
      <c r="G2418" s="2" t="str">
        <f ca="1">IFERROR(__xludf.DUMMYFUNCTION("GOOGLETRANSLATE(B2418,""en"",""de"")"),"sichtbar")</f>
        <v>sichtbar</v>
      </c>
      <c r="H2418" s="2" t="str">
        <f ca="1">IFERROR(__xludf.DUMMYFUNCTION("GOOGLETRANSLATE(B2418,""en"",""zh"")"),"可见的")</f>
        <v>可见的</v>
      </c>
      <c r="I2418" s="2" t="str">
        <f ca="1">IFERROR(__xludf.DUMMYFUNCTION("GOOGLETRANSLATE(B2418,""en"",""gd"")"),"ri fhaicinn")</f>
        <v>ri fhaicinn</v>
      </c>
    </row>
    <row r="2419" spans="1:9" ht="14.25" customHeight="1" x14ac:dyDescent="0.3">
      <c r="A2419" s="2">
        <v>2418</v>
      </c>
      <c r="B2419" s="3" t="s">
        <v>2426</v>
      </c>
      <c r="C2419" s="2" t="str">
        <f ca="1">IFERROR(__xludf.DUMMYFUNCTION("GOOGLETRANSLATE(B2419, ""en"",""es"")"),"eléctrico")</f>
        <v>eléctrico</v>
      </c>
      <c r="D2419" s="2" t="str">
        <f ca="1">IFERROR(__xludf.DUMMYFUNCTION("GOOGLETRANSLATE(B2419,""en"",""ig"")"),"eletiriiki")</f>
        <v>eletiriiki</v>
      </c>
      <c r="E2419" s="2" t="str">
        <f ca="1">IFERROR(__xludf.DUMMYFUNCTION("GOOGLETRANSLATE(B2419,""en"",""fr"")"),"électrique")</f>
        <v>électrique</v>
      </c>
      <c r="F2419" s="2" t="str">
        <f ca="1">IFERROR(__xludf.DUMMYFUNCTION("GOOGLETRANSLATE(B2419,""en"",""it"")"),"elettrico")</f>
        <v>elettrico</v>
      </c>
      <c r="G2419" s="2" t="str">
        <f ca="1">IFERROR(__xludf.DUMMYFUNCTION("GOOGLETRANSLATE(B2419,""en"",""de"")"),"elektrisch")</f>
        <v>elektrisch</v>
      </c>
      <c r="H2419" s="2" t="str">
        <f ca="1">IFERROR(__xludf.DUMMYFUNCTION("GOOGLETRANSLATE(B2419,""en"",""zh"")"),"电的")</f>
        <v>电的</v>
      </c>
      <c r="I2419" s="2" t="str">
        <f ca="1">IFERROR(__xludf.DUMMYFUNCTION("GOOGLETRANSLATE(B2419,""en"",""gd"")"),"dealain")</f>
        <v>dealain</v>
      </c>
    </row>
    <row r="2420" spans="1:9" ht="14.25" customHeight="1" x14ac:dyDescent="0.3">
      <c r="A2420" s="2">
        <v>2419</v>
      </c>
      <c r="B2420" s="3" t="s">
        <v>2427</v>
      </c>
      <c r="C2420" s="2" t="str">
        <f ca="1">IFERROR(__xludf.DUMMYFUNCTION("GOOGLETRANSLATE(B2420, ""en"",""es"")"),"impresionante")</f>
        <v>impresionante</v>
      </c>
      <c r="D2420" s="2" t="str">
        <f ca="1">IFERROR(__xludf.DUMMYFUNCTION("GOOGLETRANSLATE(B2420,""en"",""ig"")"),"kemmasi")</f>
        <v>kemmasi</v>
      </c>
      <c r="E2420" s="2" t="str">
        <f ca="1">IFERROR(__xludf.DUMMYFUNCTION("GOOGLETRANSLATE(B2420,""en"",""fr"")"),"impressionnant")</f>
        <v>impressionnant</v>
      </c>
      <c r="F2420" s="2" t="str">
        <f ca="1">IFERROR(__xludf.DUMMYFUNCTION("GOOGLETRANSLATE(B2420,""en"",""it"")"),"degno di nota")</f>
        <v>degno di nota</v>
      </c>
      <c r="G2420" s="2" t="str">
        <f ca="1">IFERROR(__xludf.DUMMYFUNCTION("GOOGLETRANSLATE(B2420,""en"",""de"")"),"beeindruckend")</f>
        <v>beeindruckend</v>
      </c>
      <c r="H2420" s="2" t="str">
        <f ca="1">IFERROR(__xludf.DUMMYFUNCTION("GOOGLETRANSLATE(B2420,""en"",""zh"")"),"感人的")</f>
        <v>感人的</v>
      </c>
      <c r="I2420" s="2" t="str">
        <f ca="1">IFERROR(__xludf.DUMMYFUNCTION("GOOGLETRANSLATE(B2420,""en"",""gd"")"),"drùidhteach")</f>
        <v>drùidhteach</v>
      </c>
    </row>
    <row r="2421" spans="1:9" ht="14.25" customHeight="1" x14ac:dyDescent="0.3">
      <c r="A2421" s="2">
        <v>2420</v>
      </c>
      <c r="B2421" s="3" t="s">
        <v>2428</v>
      </c>
      <c r="C2421" s="2" t="str">
        <f ca="1">IFERROR(__xludf.DUMMYFUNCTION("GOOGLETRANSLATE(B2421, ""en"",""es"")"),"evolución")</f>
        <v>evolución</v>
      </c>
      <c r="D2421" s="2" t="str">
        <f ca="1">IFERROR(__xludf.DUMMYFUNCTION("GOOGLETRANSLATE(B2421,""en"",""ig"")"),"mbido")</f>
        <v>mbido</v>
      </c>
      <c r="E2421" s="2" t="str">
        <f ca="1">IFERROR(__xludf.DUMMYFUNCTION("GOOGLETRANSLATE(B2421,""en"",""fr"")"),"évolution")</f>
        <v>évolution</v>
      </c>
      <c r="F2421" s="2" t="str">
        <f ca="1">IFERROR(__xludf.DUMMYFUNCTION("GOOGLETRANSLATE(B2421,""en"",""it"")"),"Evoluzione")</f>
        <v>Evoluzione</v>
      </c>
      <c r="G2421" s="2" t="str">
        <f ca="1">IFERROR(__xludf.DUMMYFUNCTION("GOOGLETRANSLATE(B2421,""en"",""de"")"),"Evolution")</f>
        <v>Evolution</v>
      </c>
      <c r="H2421" s="2" t="str">
        <f ca="1">IFERROR(__xludf.DUMMYFUNCTION("GOOGLETRANSLATE(B2421,""en"",""zh"")"),"进化")</f>
        <v>进化</v>
      </c>
      <c r="I2421" s="2" t="str">
        <f ca="1">IFERROR(__xludf.DUMMYFUNCTION("GOOGLETRANSLATE(B2421,""en"",""gd"")"),"mean-fhàs")</f>
        <v>mean-fhàs</v>
      </c>
    </row>
    <row r="2422" spans="1:9" ht="14.25" customHeight="1" x14ac:dyDescent="0.3">
      <c r="A2422" s="2">
        <v>2421</v>
      </c>
      <c r="B2422" s="3" t="s">
        <v>2429</v>
      </c>
      <c r="C2422" s="2" t="str">
        <f ca="1">IFERROR(__xludf.DUMMYFUNCTION("GOOGLETRANSLATE(B2422, ""en"",""es"")"),"conciencia")</f>
        <v>conciencia</v>
      </c>
      <c r="D2422" s="2" t="str">
        <f ca="1">IFERROR(__xludf.DUMMYFUNCTION("GOOGLETRANSLATE(B2422,""en"",""ig"")"),"mmata")</f>
        <v>mmata</v>
      </c>
      <c r="E2422" s="2" t="str">
        <f ca="1">IFERROR(__xludf.DUMMYFUNCTION("GOOGLETRANSLATE(B2422,""en"",""fr"")"),"conscience")</f>
        <v>conscience</v>
      </c>
      <c r="F2422" s="2" t="str">
        <f ca="1">IFERROR(__xludf.DUMMYFUNCTION("GOOGLETRANSLATE(B2422,""en"",""it"")"),"consapevolezza")</f>
        <v>consapevolezza</v>
      </c>
      <c r="G2422" s="2" t="str">
        <f ca="1">IFERROR(__xludf.DUMMYFUNCTION("GOOGLETRANSLATE(B2422,""en"",""de"")"),"Bewusstsein")</f>
        <v>Bewusstsein</v>
      </c>
      <c r="H2422" s="2" t="str">
        <f ca="1">IFERROR(__xludf.DUMMYFUNCTION("GOOGLETRANSLATE(B2422,""en"",""zh"")"),"意识")</f>
        <v>意识</v>
      </c>
      <c r="I2422" s="2" t="str">
        <f ca="1">IFERROR(__xludf.DUMMYFUNCTION("GOOGLETRANSLATE(B2422,""en"",""gd"")"),"mothachadh")</f>
        <v>mothachadh</v>
      </c>
    </row>
    <row r="2423" spans="1:9" ht="14.25" customHeight="1" x14ac:dyDescent="0.3">
      <c r="A2423" s="2">
        <v>2422</v>
      </c>
      <c r="B2423" s="3" t="s">
        <v>2430</v>
      </c>
      <c r="C2423" s="2" t="str">
        <f ca="1">IFERROR(__xludf.DUMMYFUNCTION("GOOGLETRANSLATE(B2423, ""en"",""es"")"),"violento")</f>
        <v>violento</v>
      </c>
      <c r="D2423" s="2" t="str">
        <f ca="1">IFERROR(__xludf.DUMMYFUNCTION("GOOGLETRANSLATE(B2423,""en"",""ig"")"),"keike")</f>
        <v>keike</v>
      </c>
      <c r="E2423" s="2" t="str">
        <f ca="1">IFERROR(__xludf.DUMMYFUNCTION("GOOGLETRANSLATE(B2423,""en"",""fr"")"),"violent")</f>
        <v>violent</v>
      </c>
      <c r="F2423" s="2" t="str">
        <f ca="1">IFERROR(__xludf.DUMMYFUNCTION("GOOGLETRANSLATE(B2423,""en"",""it"")"),"violento")</f>
        <v>violento</v>
      </c>
      <c r="G2423" s="2" t="str">
        <f ca="1">IFERROR(__xludf.DUMMYFUNCTION("GOOGLETRANSLATE(B2423,""en"",""de"")"),"gewalttätig")</f>
        <v>gewalttätig</v>
      </c>
      <c r="H2423" s="2" t="str">
        <f ca="1">IFERROR(__xludf.DUMMYFUNCTION("GOOGLETRANSLATE(B2423,""en"",""zh"")"),"暴力")</f>
        <v>暴力</v>
      </c>
      <c r="I2423" s="2" t="str">
        <f ca="1">IFERROR(__xludf.DUMMYFUNCTION("GOOGLETRANSLATE(B2423,""en"",""gd"")"),"fòirneartach")</f>
        <v>fòirneartach</v>
      </c>
    </row>
    <row r="2424" spans="1:9" ht="14.25" customHeight="1" x14ac:dyDescent="0.3">
      <c r="A2424" s="2">
        <v>2423</v>
      </c>
      <c r="B2424" s="3" t="s">
        <v>2431</v>
      </c>
      <c r="C2424" s="2" t="str">
        <f ca="1">IFERROR(__xludf.DUMMYFUNCTION("GOOGLETRANSLATE(B2424, ""en"",""es"")"),"esclavo")</f>
        <v>esclavo</v>
      </c>
      <c r="D2424" s="2" t="str">
        <f ca="1">IFERROR(__xludf.DUMMYFUNCTION("GOOGLETRANSLATE(B2424,""en"",""ig"")"),"ohu nwaanyi")</f>
        <v>ohu nwaanyi</v>
      </c>
      <c r="E2424" s="2" t="str">
        <f ca="1">IFERROR(__xludf.DUMMYFUNCTION("GOOGLETRANSLATE(B2424,""en"",""fr"")"),"esclave")</f>
        <v>esclave</v>
      </c>
      <c r="F2424" s="2" t="str">
        <f ca="1">IFERROR(__xludf.DUMMYFUNCTION("GOOGLETRANSLATE(B2424,""en"",""it"")"),"schiavo")</f>
        <v>schiavo</v>
      </c>
      <c r="G2424" s="2" t="str">
        <f ca="1">IFERROR(__xludf.DUMMYFUNCTION("GOOGLETRANSLATE(B2424,""en"",""de"")"),"Sklave")</f>
        <v>Sklave</v>
      </c>
      <c r="H2424" s="2" t="str">
        <f ca="1">IFERROR(__xludf.DUMMYFUNCTION("GOOGLETRANSLATE(B2424,""en"",""zh"")"),"奴隶")</f>
        <v>奴隶</v>
      </c>
      <c r="I2424" s="2" t="str">
        <f ca="1">IFERROR(__xludf.DUMMYFUNCTION("GOOGLETRANSLATE(B2424,""en"",""gd"")"),"Tràill")</f>
        <v>Tràill</v>
      </c>
    </row>
    <row r="2425" spans="1:9" ht="14.25" customHeight="1" x14ac:dyDescent="0.3">
      <c r="A2425" s="2">
        <v>2424</v>
      </c>
      <c r="B2425" s="3" t="s">
        <v>2432</v>
      </c>
      <c r="C2425" s="2" t="str">
        <f ca="1">IFERROR(__xludf.DUMMYFUNCTION("GOOGLETRANSLATE(B2425, ""en"",""es"")"),"adinerado")</f>
        <v>adinerado</v>
      </c>
      <c r="D2425" s="2" t="str">
        <f ca="1">IFERROR(__xludf.DUMMYFUNCTION("GOOGLETRANSLATE(B2425,""en"",""ig"")"),"keaku")</f>
        <v>keaku</v>
      </c>
      <c r="E2425" s="2" t="str">
        <f ca="1">IFERROR(__xludf.DUMMYFUNCTION("GOOGLETRANSLATE(B2425,""en"",""fr"")"),"riche")</f>
        <v>riche</v>
      </c>
      <c r="F2425" s="2" t="str">
        <f ca="1">IFERROR(__xludf.DUMMYFUNCTION("GOOGLETRANSLATE(B2425,""en"",""it"")"),"ricco")</f>
        <v>ricco</v>
      </c>
      <c r="G2425" s="2" t="str">
        <f ca="1">IFERROR(__xludf.DUMMYFUNCTION("GOOGLETRANSLATE(B2425,""en"",""de"")"),"reich")</f>
        <v>reich</v>
      </c>
      <c r="H2425" s="2" t="str">
        <f ca="1">IFERROR(__xludf.DUMMYFUNCTION("GOOGLETRANSLATE(B2425,""en"",""zh"")"),"富裕")</f>
        <v>富裕</v>
      </c>
      <c r="I2425" s="2" t="str">
        <f ca="1">IFERROR(__xludf.DUMMYFUNCTION("GOOGLETRANSLATE(B2425,""en"",""gd"")"),"beairteach")</f>
        <v>beairteach</v>
      </c>
    </row>
    <row r="2426" spans="1:9" ht="14.25" customHeight="1" x14ac:dyDescent="0.3">
      <c r="A2426" s="2">
        <v>2425</v>
      </c>
      <c r="B2426" s="3" t="s">
        <v>2433</v>
      </c>
      <c r="C2426" s="2" t="str">
        <f ca="1">IFERROR(__xludf.DUMMYFUNCTION("GOOGLETRANSLATE(B2426, ""en"",""es"")"),"arquitectura")</f>
        <v>arquitectura</v>
      </c>
      <c r="D2426" s="2" t="str">
        <f ca="1">IFERROR(__xludf.DUMMYFUNCTION("GOOGLETRANSLATE(B2426,""en"",""ig"")"),"onye na-eme ihe omumu")</f>
        <v>onye na-eme ihe omumu</v>
      </c>
      <c r="E2426" s="2" t="str">
        <f ca="1">IFERROR(__xludf.DUMMYFUNCTION("GOOGLETRANSLATE(B2426,""en"",""fr"")"),"architecture")</f>
        <v>architecture</v>
      </c>
      <c r="F2426" s="2" t="str">
        <f ca="1">IFERROR(__xludf.DUMMYFUNCTION("GOOGLETRANSLATE(B2426,""en"",""it"")"),"architettura")</f>
        <v>architettura</v>
      </c>
      <c r="G2426" s="2" t="str">
        <f ca="1">IFERROR(__xludf.DUMMYFUNCTION("GOOGLETRANSLATE(B2426,""en"",""de"")"),"die Architektur")</f>
        <v>die Architektur</v>
      </c>
      <c r="H2426" s="2" t="str">
        <f ca="1">IFERROR(__xludf.DUMMYFUNCTION("GOOGLETRANSLATE(B2426,""en"",""zh"")"),"建筑学")</f>
        <v>建筑学</v>
      </c>
      <c r="I2426" s="2" t="str">
        <f ca="1">IFERROR(__xludf.DUMMYFUNCTION("GOOGLETRANSLATE(B2426,""en"",""gd"")"),"ailtireachd")</f>
        <v>ailtireachd</v>
      </c>
    </row>
    <row r="2427" spans="1:9" ht="14.25" customHeight="1" x14ac:dyDescent="0.3">
      <c r="A2427" s="2">
        <v>2426</v>
      </c>
      <c r="B2427" s="3" t="s">
        <v>2434</v>
      </c>
      <c r="C2427" s="2" t="str">
        <f ca="1">IFERROR(__xludf.DUMMYFUNCTION("GOOGLETRANSLATE(B2427, ""en"",""es"")"),"aceptable")</f>
        <v>aceptable</v>
      </c>
      <c r="D2427" s="2" t="str">
        <f ca="1">IFERROR(__xludf.DUMMYFUNCTION("GOOGLETRANSLATE(B2427,""en"",""ig"")"),"keanabatara")</f>
        <v>keanabatara</v>
      </c>
      <c r="E2427" s="2" t="str">
        <f ca="1">IFERROR(__xludf.DUMMYFUNCTION("GOOGLETRANSLATE(B2427,""en"",""fr"")"),"acceptable")</f>
        <v>acceptable</v>
      </c>
      <c r="F2427" s="2" t="str">
        <f ca="1">IFERROR(__xludf.DUMMYFUNCTION("GOOGLETRANSLATE(B2427,""en"",""it"")"),"accettabile")</f>
        <v>accettabile</v>
      </c>
      <c r="G2427" s="2" t="str">
        <f ca="1">IFERROR(__xludf.DUMMYFUNCTION("GOOGLETRANSLATE(B2427,""en"",""de"")"),"akzeptabel")</f>
        <v>akzeptabel</v>
      </c>
      <c r="H2427" s="2" t="str">
        <f ca="1">IFERROR(__xludf.DUMMYFUNCTION("GOOGLETRANSLATE(B2427,""en"",""zh"")"),"可以接受")</f>
        <v>可以接受</v>
      </c>
      <c r="I2427" s="2" t="str">
        <f ca="1">IFERROR(__xludf.DUMMYFUNCTION("GOOGLETRANSLATE(B2427,""en"",""gd"")"),"iomchaidh")</f>
        <v>iomchaidh</v>
      </c>
    </row>
    <row r="2428" spans="1:9" ht="14.25" customHeight="1" x14ac:dyDescent="0.3">
      <c r="A2428" s="2">
        <v>2427</v>
      </c>
      <c r="B2428" s="3" t="s">
        <v>2435</v>
      </c>
      <c r="C2428" s="2" t="str">
        <f ca="1">IFERROR(__xludf.DUMMYFUNCTION("GOOGLETRANSLATE(B2428, ""en"",""es"")"),"diario")</f>
        <v>diario</v>
      </c>
      <c r="D2428" s="2" t="str">
        <f ca="1">IFERROR(__xludf.DUMMYFUNCTION("GOOGLETRANSLATE(B2428,""en"",""ig"")"),"jonaal")</f>
        <v>jonaal</v>
      </c>
      <c r="E2428" s="2" t="str">
        <f ca="1">IFERROR(__xludf.DUMMYFUNCTION("GOOGLETRANSLATE(B2428,""en"",""fr"")"),"journal")</f>
        <v>journal</v>
      </c>
      <c r="F2428" s="2" t="str">
        <f ca="1">IFERROR(__xludf.DUMMYFUNCTION("GOOGLETRANSLATE(B2428,""en"",""it"")"),"rivista")</f>
        <v>rivista</v>
      </c>
      <c r="G2428" s="2" t="str">
        <f ca="1">IFERROR(__xludf.DUMMYFUNCTION("GOOGLETRANSLATE(B2428,""en"",""de"")"),"Tagebuch")</f>
        <v>Tagebuch</v>
      </c>
      <c r="H2428" s="2" t="str">
        <f ca="1">IFERROR(__xludf.DUMMYFUNCTION("GOOGLETRANSLATE(B2428,""en"",""zh"")"),"杂志")</f>
        <v>杂志</v>
      </c>
      <c r="I2428" s="2" t="str">
        <f ca="1">IFERROR(__xludf.DUMMYFUNCTION("GOOGLETRANSLATE(B2428,""en"",""gd"")"),"Iris")</f>
        <v>Iris</v>
      </c>
    </row>
    <row r="2429" spans="1:9" ht="14.25" customHeight="1" x14ac:dyDescent="0.3">
      <c r="A2429" s="2">
        <v>2428</v>
      </c>
      <c r="B2429" s="3" t="s">
        <v>2436</v>
      </c>
      <c r="C2429" s="2" t="str">
        <f ca="1">IFERROR(__xludf.DUMMYFUNCTION("GOOGLETRANSLATE(B2429, ""en"",""es"")"),"carbón")</f>
        <v>carbón</v>
      </c>
      <c r="D2429" s="2" t="str">
        <f ca="1">IFERROR(__xludf.DUMMYFUNCTION("GOOGLETRANSLATE(B2429,""en"",""ig"")"),"unyi")</f>
        <v>unyi</v>
      </c>
      <c r="E2429" s="2" t="str">
        <f ca="1">IFERROR(__xludf.DUMMYFUNCTION("GOOGLETRANSLATE(B2429,""en"",""fr"")"),"charbon")</f>
        <v>charbon</v>
      </c>
      <c r="F2429" s="2" t="str">
        <f ca="1">IFERROR(__xludf.DUMMYFUNCTION("GOOGLETRANSLATE(B2429,""en"",""it"")"),"carbone")</f>
        <v>carbone</v>
      </c>
      <c r="G2429" s="2" t="str">
        <f ca="1">IFERROR(__xludf.DUMMYFUNCTION("GOOGLETRANSLATE(B2429,""en"",""de"")"),"Kohle")</f>
        <v>Kohle</v>
      </c>
      <c r="H2429" s="2" t="str">
        <f ca="1">IFERROR(__xludf.DUMMYFUNCTION("GOOGLETRANSLATE(B2429,""en"",""zh"")"),"煤炭")</f>
        <v>煤炭</v>
      </c>
      <c r="I2429" s="2" t="str">
        <f ca="1">IFERROR(__xludf.DUMMYFUNCTION("GOOGLETRANSLATE(B2429,""en"",""gd"")"),"gual")</f>
        <v>gual</v>
      </c>
    </row>
    <row r="2430" spans="1:9" ht="14.25" customHeight="1" x14ac:dyDescent="0.3">
      <c r="A2430" s="2">
        <v>2429</v>
      </c>
      <c r="B2430" s="3" t="s">
        <v>2437</v>
      </c>
      <c r="C2430" s="2" t="str">
        <f ca="1">IFERROR(__xludf.DUMMYFUNCTION("GOOGLETRANSLATE(B2430, ""en"",""es"")"),"medición")</f>
        <v>medición</v>
      </c>
      <c r="D2430" s="2" t="str">
        <f ca="1">IFERROR(__xludf.DUMMYFUNCTION("GOOGLETRANSLATE(B2430,""en"",""ig"")"),"mmesho")</f>
        <v>mmesho</v>
      </c>
      <c r="E2430" s="2" t="str">
        <f ca="1">IFERROR(__xludf.DUMMYFUNCTION("GOOGLETRANSLATE(B2430,""en"",""fr"")"),"la mesure")</f>
        <v>la mesure</v>
      </c>
      <c r="F2430" s="2" t="str">
        <f ca="1">IFERROR(__xludf.DUMMYFUNCTION("GOOGLETRANSLATE(B2430,""en"",""it"")"),"misurazione")</f>
        <v>misurazione</v>
      </c>
      <c r="G2430" s="2" t="str">
        <f ca="1">IFERROR(__xludf.DUMMYFUNCTION("GOOGLETRANSLATE(B2430,""en"",""de"")"),"Messung")</f>
        <v>Messung</v>
      </c>
      <c r="H2430" s="2" t="str">
        <f ca="1">IFERROR(__xludf.DUMMYFUNCTION("GOOGLETRANSLATE(B2430,""en"",""zh"")"),"测量")</f>
        <v>测量</v>
      </c>
      <c r="I2430" s="2" t="str">
        <f ca="1">IFERROR(__xludf.DUMMYFUNCTION("GOOGLETRANSLATE(B2430,""en"",""gd"")"),"tomhas")</f>
        <v>tomhas</v>
      </c>
    </row>
    <row r="2431" spans="1:9" ht="14.25" customHeight="1" x14ac:dyDescent="0.3">
      <c r="A2431" s="2">
        <v>2430</v>
      </c>
      <c r="B2431" s="3" t="s">
        <v>2438</v>
      </c>
      <c r="C2431" s="2" t="str">
        <f ca="1">IFERROR(__xludf.DUMMYFUNCTION("GOOGLETRANSLATE(B2431, ""en"",""es"")"),"aleatorio")</f>
        <v>aleatorio</v>
      </c>
      <c r="D2431" s="2" t="str">
        <f ca="1">IFERROR(__xludf.DUMMYFUNCTION("GOOGLETRANSLATE(B2431,""en"",""ig"")"),"random")</f>
        <v>random</v>
      </c>
      <c r="E2431" s="2" t="str">
        <f ca="1">IFERROR(__xludf.DUMMYFUNCTION("GOOGLETRANSLATE(B2431,""en"",""fr"")"),"aléatoire")</f>
        <v>aléatoire</v>
      </c>
      <c r="F2431" s="2" t="str">
        <f ca="1">IFERROR(__xludf.DUMMYFUNCTION("GOOGLETRANSLATE(B2431,""en"",""it"")"),"casuale")</f>
        <v>casuale</v>
      </c>
      <c r="G2431" s="2" t="str">
        <f ca="1">IFERROR(__xludf.DUMMYFUNCTION("GOOGLETRANSLATE(B2431,""en"",""de"")"),"zufällig")</f>
        <v>zufällig</v>
      </c>
      <c r="H2431" s="2" t="str">
        <f ca="1">IFERROR(__xludf.DUMMYFUNCTION("GOOGLETRANSLATE(B2431,""en"",""zh"")"),"随机的")</f>
        <v>随机的</v>
      </c>
      <c r="I2431" s="2" t="str">
        <f ca="1">IFERROR(__xludf.DUMMYFUNCTION("GOOGLETRANSLATE(B2431,""en"",""gd"")"),"air thuaiream")</f>
        <v>air thuaiream</v>
      </c>
    </row>
    <row r="2432" spans="1:9" ht="14.25" customHeight="1" x14ac:dyDescent="0.3">
      <c r="A2432" s="2">
        <v>2431</v>
      </c>
      <c r="B2432" s="3" t="s">
        <v>2439</v>
      </c>
      <c r="C2432" s="2" t="str">
        <f ca="1">IFERROR(__xludf.DUMMYFUNCTION("GOOGLETRANSLATE(B2432, ""en"",""es"")"),"exitosamente")</f>
        <v>exitosamente</v>
      </c>
      <c r="D2432" s="2" t="str">
        <f ca="1">IFERROR(__xludf.DUMMYFUNCTION("GOOGLETRANSLATE(B2432,""en"",""ig"")"),"nke ọma")</f>
        <v>nke ọma</v>
      </c>
      <c r="E2432" s="2" t="str">
        <f ca="1">IFERROR(__xludf.DUMMYFUNCTION("GOOGLETRANSLATE(B2432,""en"",""fr"")"),"avec succès")</f>
        <v>avec succès</v>
      </c>
      <c r="F2432" s="2" t="str">
        <f ca="1">IFERROR(__xludf.DUMMYFUNCTION("GOOGLETRANSLATE(B2432,""en"",""it"")"),"con successo")</f>
        <v>con successo</v>
      </c>
      <c r="G2432" s="2" t="str">
        <f ca="1">IFERROR(__xludf.DUMMYFUNCTION("GOOGLETRANSLATE(B2432,""en"",""de"")"),"erfolgreich")</f>
        <v>erfolgreich</v>
      </c>
      <c r="H2432" s="2" t="str">
        <f ca="1">IFERROR(__xludf.DUMMYFUNCTION("GOOGLETRANSLATE(B2432,""en"",""zh"")"),"成功地")</f>
        <v>成功地</v>
      </c>
      <c r="I2432" s="2" t="str">
        <f ca="1">IFERROR(__xludf.DUMMYFUNCTION("GOOGLETRANSLATE(B2432,""en"",""gd"")"),"gu soirbheachail")</f>
        <v>gu soirbheachail</v>
      </c>
    </row>
    <row r="2433" spans="1:9" ht="14.25" customHeight="1" x14ac:dyDescent="0.3">
      <c r="A2433" s="2">
        <v>2432</v>
      </c>
      <c r="B2433" s="3" t="s">
        <v>2440</v>
      </c>
      <c r="C2433" s="2" t="str">
        <f ca="1">IFERROR(__xludf.DUMMYFUNCTION("GOOGLETRANSLATE(B2433, ""en"",""es"")"),"deprimir")</f>
        <v>deprimir</v>
      </c>
      <c r="D2433" s="2" t="str">
        <f ca="1">IFERROR(__xludf.DUMMYFUNCTION("GOOGLETRANSLATE(B2433,""en"",""ig"")"),"ala")</f>
        <v>ala</v>
      </c>
      <c r="E2433" s="2" t="str">
        <f ca="1">IFERROR(__xludf.DUMMYFUNCTION("GOOGLETRANSLATE(B2433,""en"",""fr"")"),"déprimer")</f>
        <v>déprimer</v>
      </c>
      <c r="F2433" s="2" t="str">
        <f ca="1">IFERROR(__xludf.DUMMYFUNCTION("GOOGLETRANSLATE(B2433,""en"",""it"")"),"deprimere")</f>
        <v>deprimere</v>
      </c>
      <c r="G2433" s="2" t="str">
        <f ca="1">IFERROR(__xludf.DUMMYFUNCTION("GOOGLETRANSLATE(B2433,""en"",""de"")"),"deprimieren")</f>
        <v>deprimieren</v>
      </c>
      <c r="H2433" s="2" t="str">
        <f ca="1">IFERROR(__xludf.DUMMYFUNCTION("GOOGLETRANSLATE(B2433,""en"",""zh"")"),"压抑")</f>
        <v>压抑</v>
      </c>
      <c r="I2433" s="2" t="str">
        <f ca="1">IFERROR(__xludf.DUMMYFUNCTION("GOOGLETRANSLATE(B2433,""en"",""gd"")"),"trom-inntinn")</f>
        <v>trom-inntinn</v>
      </c>
    </row>
    <row r="2434" spans="1:9" ht="14.25" customHeight="1" x14ac:dyDescent="0.3">
      <c r="A2434" s="2">
        <v>2433</v>
      </c>
      <c r="B2434" s="3" t="s">
        <v>2441</v>
      </c>
      <c r="C2434" s="2" t="str">
        <f ca="1">IFERROR(__xludf.DUMMYFUNCTION("GOOGLETRANSLATE(B2434, ""en"",""es"")"),"ilustración")</f>
        <v>ilustración</v>
      </c>
      <c r="D2434" s="2" t="str">
        <f ca="1">IFERROR(__xludf.DUMMYFUNCTION("GOOGLETRANSLATE(B2434,""en"",""ig"")"),"ngosiputa")</f>
        <v>ngosiputa</v>
      </c>
      <c r="E2434" s="2" t="str">
        <f ca="1">IFERROR(__xludf.DUMMYFUNCTION("GOOGLETRANSLATE(B2434,""en"",""fr"")"),"illustration")</f>
        <v>illustration</v>
      </c>
      <c r="F2434" s="2" t="str">
        <f ca="1">IFERROR(__xludf.DUMMYFUNCTION("GOOGLETRANSLATE(B2434,""en"",""it"")"),"illustrazione")</f>
        <v>illustrazione</v>
      </c>
      <c r="G2434" s="2" t="str">
        <f ca="1">IFERROR(__xludf.DUMMYFUNCTION("GOOGLETRANSLATE(B2434,""en"",""de"")"),"Illustration")</f>
        <v>Illustration</v>
      </c>
      <c r="H2434" s="2" t="str">
        <f ca="1">IFERROR(__xludf.DUMMYFUNCTION("GOOGLETRANSLATE(B2434,""en"",""zh"")"),"插图")</f>
        <v>插图</v>
      </c>
      <c r="I2434" s="2" t="str">
        <f ca="1">IFERROR(__xludf.DUMMYFUNCTION("GOOGLETRANSLATE(B2434,""en"",""gd"")"),"dealbh")</f>
        <v>dealbh</v>
      </c>
    </row>
    <row r="2435" spans="1:9" ht="14.25" customHeight="1" x14ac:dyDescent="0.3">
      <c r="A2435" s="2">
        <v>2434</v>
      </c>
      <c r="B2435" s="3" t="s">
        <v>2442</v>
      </c>
      <c r="C2435" s="2" t="str">
        <f ca="1">IFERROR(__xludf.DUMMYFUNCTION("GOOGLETRANSLATE(B2435, ""en"",""es"")"),"explosión")</f>
        <v>explosión</v>
      </c>
      <c r="D2435" s="2" t="str">
        <f ca="1">IFERROR(__xludf.DUMMYFUNCTION("GOOGLETRANSLATE(B2435,""en"",""ig"")"),"buru ibu")</f>
        <v>buru ibu</v>
      </c>
      <c r="E2435" s="2" t="str">
        <f ca="1">IFERROR(__xludf.DUMMYFUNCTION("GOOGLETRANSLATE(B2435,""en"",""fr"")"),"éclatement")</f>
        <v>éclatement</v>
      </c>
      <c r="F2435" s="2" t="str">
        <f ca="1">IFERROR(__xludf.DUMMYFUNCTION("GOOGLETRANSLATE(B2435,""en"",""it"")"),"scoppiare")</f>
        <v>scoppiare</v>
      </c>
      <c r="G2435" s="2" t="str">
        <f ca="1">IFERROR(__xludf.DUMMYFUNCTION("GOOGLETRANSLATE(B2435,""en"",""de"")"),"platzen")</f>
        <v>platzen</v>
      </c>
      <c r="H2435" s="2" t="str">
        <f ca="1">IFERROR(__xludf.DUMMYFUNCTION("GOOGLETRANSLATE(B2435,""en"",""zh"")"),"爆裂")</f>
        <v>爆裂</v>
      </c>
      <c r="I2435" s="2" t="str">
        <f ca="1">IFERROR(__xludf.DUMMYFUNCTION("GOOGLETRANSLATE(B2435,""en"",""gd"")"),"spreadhadh")</f>
        <v>spreadhadh</v>
      </c>
    </row>
    <row r="2436" spans="1:9" ht="14.25" customHeight="1" x14ac:dyDescent="0.3">
      <c r="A2436" s="2">
        <v>2435</v>
      </c>
      <c r="B2436" s="3" t="s">
        <v>2443</v>
      </c>
      <c r="C2436" s="2" t="str">
        <f ca="1">IFERROR(__xludf.DUMMYFUNCTION("GOOGLETRANSLATE(B2436, ""en"",""es"")"),"privilegio")</f>
        <v>privilegio</v>
      </c>
      <c r="D2436" s="2" t="str">
        <f ca="1">IFERROR(__xludf.DUMMYFUNCTION("GOOGLETRANSLATE(B2436,""en"",""ig"")"),"privileji")</f>
        <v>privileji</v>
      </c>
      <c r="E2436" s="2" t="str">
        <f ca="1">IFERROR(__xludf.DUMMYFUNCTION("GOOGLETRANSLATE(B2436,""en"",""fr"")"),"privilège")</f>
        <v>privilège</v>
      </c>
      <c r="F2436" s="2" t="str">
        <f ca="1">IFERROR(__xludf.DUMMYFUNCTION("GOOGLETRANSLATE(B2436,""en"",""it"")"),"privilegio")</f>
        <v>privilegio</v>
      </c>
      <c r="G2436" s="2" t="str">
        <f ca="1">IFERROR(__xludf.DUMMYFUNCTION("GOOGLETRANSLATE(B2436,""en"",""de"")"),"Privileg")</f>
        <v>Privileg</v>
      </c>
      <c r="H2436" s="2" t="str">
        <f ca="1">IFERROR(__xludf.DUMMYFUNCTION("GOOGLETRANSLATE(B2436,""en"",""zh"")"),"特权")</f>
        <v>特权</v>
      </c>
      <c r="I2436" s="2" t="str">
        <f ca="1">IFERROR(__xludf.DUMMYFUNCTION("GOOGLETRANSLATE(B2436,""en"",""gd"")"),"sochair")</f>
        <v>sochair</v>
      </c>
    </row>
    <row r="2437" spans="1:9" ht="14.25" customHeight="1" x14ac:dyDescent="0.3">
      <c r="A2437" s="2">
        <v>2436</v>
      </c>
      <c r="B2437" s="3" t="s">
        <v>2444</v>
      </c>
      <c r="C2437" s="2" t="str">
        <f ca="1">IFERROR(__xludf.DUMMYFUNCTION("GOOGLETRANSLATE(B2437, ""en"",""es"")"),"comprador")</f>
        <v>comprador</v>
      </c>
      <c r="D2437" s="2" t="str">
        <f ca="1">IFERROR(__xludf.DUMMYFUNCTION("GOOGLETRANSLATE(B2437,""en"",""ig"")"),"ozu ahia")</f>
        <v>ozu ahia</v>
      </c>
      <c r="E2437" s="2" t="str">
        <f ca="1">IFERROR(__xludf.DUMMYFUNCTION("GOOGLETRANSLATE(B2437,""en"",""fr"")"),"acheteur")</f>
        <v>acheteur</v>
      </c>
      <c r="F2437" s="2" t="str">
        <f ca="1">IFERROR(__xludf.DUMMYFUNCTION("GOOGLETRANSLATE(B2437,""en"",""it"")"),"acquirente")</f>
        <v>acquirente</v>
      </c>
      <c r="G2437" s="2" t="str">
        <f ca="1">IFERROR(__xludf.DUMMYFUNCTION("GOOGLETRANSLATE(B2437,""en"",""de"")"),"Käufer")</f>
        <v>Käufer</v>
      </c>
      <c r="H2437" s="2" t="str">
        <f ca="1">IFERROR(__xludf.DUMMYFUNCTION("GOOGLETRANSLATE(B2437,""en"",""zh"")"),"买方")</f>
        <v>买方</v>
      </c>
      <c r="I2437" s="2" t="str">
        <f ca="1">IFERROR(__xludf.DUMMYFUNCTION("GOOGLETRANSLATE(B2437,""en"",""gd"")"),"Ceannaiche")</f>
        <v>Ceannaiche</v>
      </c>
    </row>
    <row r="2438" spans="1:9" ht="14.25" customHeight="1" x14ac:dyDescent="0.3">
      <c r="A2438" s="2">
        <v>2437</v>
      </c>
      <c r="B2438" s="3" t="s">
        <v>2445</v>
      </c>
      <c r="C2438" s="2" t="str">
        <f ca="1">IFERROR(__xludf.DUMMYFUNCTION("GOOGLETRANSLATE(B2438, ""en"",""es"")"),"mutual")</f>
        <v>mutual</v>
      </c>
      <c r="D2438" s="2" t="str">
        <f ca="1">IFERROR(__xludf.DUMMYFUNCTION("GOOGLETRANSLATE(B2438,""en"",""ig"")"),"imekorita")</f>
        <v>imekorita</v>
      </c>
      <c r="E2438" s="2" t="str">
        <f ca="1">IFERROR(__xludf.DUMMYFUNCTION("GOOGLETRANSLATE(B2438,""en"",""fr"")"),"mutuel")</f>
        <v>mutuel</v>
      </c>
      <c r="F2438" s="2" t="str">
        <f ca="1">IFERROR(__xludf.DUMMYFUNCTION("GOOGLETRANSLATE(B2438,""en"",""it"")"),"reciproco")</f>
        <v>reciproco</v>
      </c>
      <c r="G2438" s="2" t="str">
        <f ca="1">IFERROR(__xludf.DUMMYFUNCTION("GOOGLETRANSLATE(B2438,""en"",""de"")"),"gegenseitig")</f>
        <v>gegenseitig</v>
      </c>
      <c r="H2438" s="2" t="str">
        <f ca="1">IFERROR(__xludf.DUMMYFUNCTION("GOOGLETRANSLATE(B2438,""en"",""zh"")"),"相互的")</f>
        <v>相互的</v>
      </c>
      <c r="I2438" s="2" t="str">
        <f ca="1">IFERROR(__xludf.DUMMYFUNCTION("GOOGLETRANSLATE(B2438,""en"",""gd"")"),"daòir")</f>
        <v>daòir</v>
      </c>
    </row>
    <row r="2439" spans="1:9" ht="14.25" customHeight="1" x14ac:dyDescent="0.3">
      <c r="A2439" s="2">
        <v>2438</v>
      </c>
      <c r="B2439" s="3" t="s">
        <v>2446</v>
      </c>
      <c r="C2439" s="2" t="str">
        <f ca="1">IFERROR(__xludf.DUMMYFUNCTION("GOOGLETRANSLATE(B2439, ""en"",""es"")"),"carril")</f>
        <v>carril</v>
      </c>
      <c r="D2439" s="2" t="str">
        <f ca="1">IFERROR(__xludf.DUMMYFUNCTION("GOOGLETRANSLATE(B2439,""en"",""ig"")"),"okporo uzo ugboigwe")</f>
        <v>okporo uzo ugboigwe</v>
      </c>
      <c r="E2439" s="2" t="str">
        <f ca="1">IFERROR(__xludf.DUMMYFUNCTION("GOOGLETRANSLATE(B2439,""en"",""fr"")"),"rail")</f>
        <v>rail</v>
      </c>
      <c r="F2439" s="2" t="str">
        <f ca="1">IFERROR(__xludf.DUMMYFUNCTION("GOOGLETRANSLATE(B2439,""en"",""it"")"),"sbarra")</f>
        <v>sbarra</v>
      </c>
      <c r="G2439" s="2" t="str">
        <f ca="1">IFERROR(__xludf.DUMMYFUNCTION("GOOGLETRANSLATE(B2439,""en"",""de"")"),"Schiene")</f>
        <v>Schiene</v>
      </c>
      <c r="H2439" s="2" t="str">
        <f ca="1">IFERROR(__xludf.DUMMYFUNCTION("GOOGLETRANSLATE(B2439,""en"",""zh"")"),"轨")</f>
        <v>轨</v>
      </c>
      <c r="I2439" s="2" t="str">
        <f ca="1">IFERROR(__xludf.DUMMYFUNCTION("GOOGLETRANSLATE(B2439,""en"",""gd"")"),"Rèile")</f>
        <v>Rèile</v>
      </c>
    </row>
    <row r="2440" spans="1:9" ht="14.25" customHeight="1" x14ac:dyDescent="0.3">
      <c r="A2440" s="2">
        <v>2439</v>
      </c>
      <c r="B2440" s="3" t="s">
        <v>2447</v>
      </c>
      <c r="C2440" s="2" t="str">
        <f ca="1">IFERROR(__xludf.DUMMYFUNCTION("GOOGLETRANSLATE(B2440, ""en"",""es"")"),"motivar")</f>
        <v>motivar</v>
      </c>
      <c r="D2440" s="2" t="str">
        <f ca="1">IFERROR(__xludf.DUMMYFUNCTION("GOOGLETRANSLATE(B2440,""en"",""ig"")"),"imeka ihe mee ukporo")</f>
        <v>imeka ihe mee ukporo</v>
      </c>
      <c r="E2440" s="2" t="str">
        <f ca="1">IFERROR(__xludf.DUMMYFUNCTION("GOOGLETRANSLATE(B2440,""en"",""fr"")"),"motiver")</f>
        <v>motiver</v>
      </c>
      <c r="F2440" s="2" t="str">
        <f ca="1">IFERROR(__xludf.DUMMYFUNCTION("GOOGLETRANSLATE(B2440,""en"",""it"")"),"motivare")</f>
        <v>motivare</v>
      </c>
      <c r="G2440" s="2" t="str">
        <f ca="1">IFERROR(__xludf.DUMMYFUNCTION("GOOGLETRANSLATE(B2440,""en"",""de"")"),"motivieren")</f>
        <v>motivieren</v>
      </c>
      <c r="H2440" s="2" t="str">
        <f ca="1">IFERROR(__xludf.DUMMYFUNCTION("GOOGLETRANSLATE(B2440,""en"",""zh"")"),"激励")</f>
        <v>激励</v>
      </c>
      <c r="I2440" s="2" t="str">
        <f ca="1">IFERROR(__xludf.DUMMYFUNCTION("GOOGLETRANSLATE(B2440,""en"",""gd"")"),"Brosnaich")</f>
        <v>Brosnaich</v>
      </c>
    </row>
    <row r="2441" spans="1:9" ht="14.25" customHeight="1" x14ac:dyDescent="0.3">
      <c r="A2441" s="2">
        <v>2440</v>
      </c>
      <c r="B2441" s="3" t="s">
        <v>2448</v>
      </c>
      <c r="C2441" s="2" t="str">
        <f ca="1">IFERROR(__xludf.DUMMYFUNCTION("GOOGLETRANSLATE(B2441, ""en"",""es"")"),"laboratorio")</f>
        <v>laboratorio</v>
      </c>
      <c r="D2441" s="2" t="str">
        <f ca="1">IFERROR(__xludf.DUMMYFUNCTION("GOOGLETRANSLATE(B2441,""en"",""ig"")"),"laabu")</f>
        <v>laabu</v>
      </c>
      <c r="E2441" s="2" t="str">
        <f ca="1">IFERROR(__xludf.DUMMYFUNCTION("GOOGLETRANSLATE(B2441,""en"",""fr"")"),"laboratoire")</f>
        <v>laboratoire</v>
      </c>
      <c r="F2441" s="2" t="str">
        <f ca="1">IFERROR(__xludf.DUMMYFUNCTION("GOOGLETRANSLATE(B2441,""en"",""it"")"),"laboratorio")</f>
        <v>laboratorio</v>
      </c>
      <c r="G2441" s="2" t="str">
        <f ca="1">IFERROR(__xludf.DUMMYFUNCTION("GOOGLETRANSLATE(B2441,""en"",""de"")"),"Labor")</f>
        <v>Labor</v>
      </c>
      <c r="H2441" s="2" t="str">
        <f ca="1">IFERROR(__xludf.DUMMYFUNCTION("GOOGLETRANSLATE(B2441,""en"",""zh"")"),"实验室")</f>
        <v>实验室</v>
      </c>
      <c r="I2441" s="2" t="str">
        <f ca="1">IFERROR(__xludf.DUMMYFUNCTION("GOOGLETRANSLATE(B2441,""en"",""gd"")"),"obair-lann")</f>
        <v>obair-lann</v>
      </c>
    </row>
    <row r="2442" spans="1:9" ht="14.25" customHeight="1" x14ac:dyDescent="0.3">
      <c r="A2442" s="2">
        <v>2441</v>
      </c>
      <c r="B2442" s="3" t="s">
        <v>2449</v>
      </c>
      <c r="C2442" s="2" t="str">
        <f ca="1">IFERROR(__xludf.DUMMYFUNCTION("GOOGLETRANSLATE(B2442, ""en"",""es"")"),"hipoteca")</f>
        <v>hipoteca</v>
      </c>
      <c r="D2442" s="2" t="str">
        <f ca="1">IFERROR(__xludf.DUMMYFUNCTION("GOOGLETRANSLATE(B2442,""en"",""ig"")"),"igba ibe")</f>
        <v>igba ibe</v>
      </c>
      <c r="E2442" s="2" t="str">
        <f ca="1">IFERROR(__xludf.DUMMYFUNCTION("GOOGLETRANSLATE(B2442,""en"",""fr"")"),"hypothèque")</f>
        <v>hypothèque</v>
      </c>
      <c r="F2442" s="2" t="str">
        <f ca="1">IFERROR(__xludf.DUMMYFUNCTION("GOOGLETRANSLATE(B2442,""en"",""it"")"),"mutuo")</f>
        <v>mutuo</v>
      </c>
      <c r="G2442" s="2" t="str">
        <f ca="1">IFERROR(__xludf.DUMMYFUNCTION("GOOGLETRANSLATE(B2442,""en"",""de"")"),"Hypothek")</f>
        <v>Hypothek</v>
      </c>
      <c r="H2442" s="2" t="str">
        <f ca="1">IFERROR(__xludf.DUMMYFUNCTION("GOOGLETRANSLATE(B2442,""en"",""zh"")"),"抵押")</f>
        <v>抵押</v>
      </c>
      <c r="I2442" s="2" t="str">
        <f ca="1">IFERROR(__xludf.DUMMYFUNCTION("GOOGLETRANSLATE(B2442,""en"",""gd"")"),"morgaids")</f>
        <v>morgaids</v>
      </c>
    </row>
    <row r="2443" spans="1:9" ht="14.25" customHeight="1" x14ac:dyDescent="0.3">
      <c r="A2443" s="2">
        <v>2442</v>
      </c>
      <c r="B2443" s="3" t="s">
        <v>2450</v>
      </c>
      <c r="C2443" s="2" t="str">
        <f ca="1">IFERROR(__xludf.DUMMYFUNCTION("GOOGLETRANSLATE(B2443, ""en"",""es"")"),"promoción")</f>
        <v>promoción</v>
      </c>
      <c r="D2443" s="2" t="str">
        <f ca="1">IFERROR(__xludf.DUMMYFUNCTION("GOOGLETRANSLATE(B2443,""en"",""ig"")"),"ibuli mmadu ele")</f>
        <v>ibuli mmadu ele</v>
      </c>
      <c r="E2443" s="2" t="str">
        <f ca="1">IFERROR(__xludf.DUMMYFUNCTION("GOOGLETRANSLATE(B2443,""en"",""fr"")"),"promotion")</f>
        <v>promotion</v>
      </c>
      <c r="F2443" s="2" t="str">
        <f ca="1">IFERROR(__xludf.DUMMYFUNCTION("GOOGLETRANSLATE(B2443,""en"",""it"")"),"promozione")</f>
        <v>promozione</v>
      </c>
      <c r="G2443" s="2" t="str">
        <f ca="1">IFERROR(__xludf.DUMMYFUNCTION("GOOGLETRANSLATE(B2443,""en"",""de"")"),"Förderung")</f>
        <v>Förderung</v>
      </c>
      <c r="H2443" s="2" t="str">
        <f ca="1">IFERROR(__xludf.DUMMYFUNCTION("GOOGLETRANSLATE(B2443,""en"",""zh"")"),"晋升")</f>
        <v>晋升</v>
      </c>
      <c r="I2443" s="2" t="str">
        <f ca="1">IFERROR(__xludf.DUMMYFUNCTION("GOOGLETRANSLATE(B2443,""en"",""gd"")"),"Brosnachadh")</f>
        <v>Brosnachadh</v>
      </c>
    </row>
    <row r="2444" spans="1:9" ht="14.25" customHeight="1" x14ac:dyDescent="0.3">
      <c r="A2444" s="2">
        <v>2443</v>
      </c>
      <c r="B2444" s="3" t="s">
        <v>2451</v>
      </c>
      <c r="C2444" s="2" t="str">
        <f ca="1">IFERROR(__xludf.DUMMYFUNCTION("GOOGLETRANSLATE(B2444, ""en"",""es"")"),"pasión")</f>
        <v>pasión</v>
      </c>
      <c r="D2444" s="2" t="str">
        <f ca="1">IFERROR(__xludf.DUMMYFUNCTION("GOOGLETRANSLATE(B2444,""en"",""ig"")"),"ahuhu")</f>
        <v>ahuhu</v>
      </c>
      <c r="E2444" s="2" t="str">
        <f ca="1">IFERROR(__xludf.DUMMYFUNCTION("GOOGLETRANSLATE(B2444,""en"",""fr"")"),"passion")</f>
        <v>passion</v>
      </c>
      <c r="F2444" s="2" t="str">
        <f ca="1">IFERROR(__xludf.DUMMYFUNCTION("GOOGLETRANSLATE(B2444,""en"",""it"")"),"passione")</f>
        <v>passione</v>
      </c>
      <c r="G2444" s="2" t="str">
        <f ca="1">IFERROR(__xludf.DUMMYFUNCTION("GOOGLETRANSLATE(B2444,""en"",""de"")"),"Hingabe")</f>
        <v>Hingabe</v>
      </c>
      <c r="H2444" s="2" t="str">
        <f ca="1">IFERROR(__xludf.DUMMYFUNCTION("GOOGLETRANSLATE(B2444,""en"",""zh"")"),"热情")</f>
        <v>热情</v>
      </c>
      <c r="I2444" s="2" t="str">
        <f ca="1">IFERROR(__xludf.DUMMYFUNCTION("GOOGLETRANSLATE(B2444,""en"",""gd"")"),"dìoghras")</f>
        <v>dìoghras</v>
      </c>
    </row>
    <row r="2445" spans="1:9" ht="14.25" customHeight="1" x14ac:dyDescent="0.3">
      <c r="A2445" s="2">
        <v>2444</v>
      </c>
      <c r="B2445" s="3" t="s">
        <v>2452</v>
      </c>
      <c r="C2445" s="2" t="str">
        <f ca="1">IFERROR(__xludf.DUMMYFUNCTION("GOOGLETRANSLATE(B2445, ""en"",""es"")"),"campeón")</f>
        <v>campeón</v>
      </c>
      <c r="D2445" s="2" t="str">
        <f ca="1">IFERROR(__xludf.DUMMYFUNCTION("GOOGLETRANSLATE(B2445,""en"",""ig"")"),"onye mmeri")</f>
        <v>onye mmeri</v>
      </c>
      <c r="E2445" s="2" t="str">
        <f ca="1">IFERROR(__xludf.DUMMYFUNCTION("GOOGLETRANSLATE(B2445,""en"",""fr"")"),"champion")</f>
        <v>champion</v>
      </c>
      <c r="F2445" s="2" t="str">
        <f ca="1">IFERROR(__xludf.DUMMYFUNCTION("GOOGLETRANSLATE(B2445,""en"",""it"")"),"campione")</f>
        <v>campione</v>
      </c>
      <c r="G2445" s="2" t="str">
        <f ca="1">IFERROR(__xludf.DUMMYFUNCTION("GOOGLETRANSLATE(B2445,""en"",""de"")"),"Champion")</f>
        <v>Champion</v>
      </c>
      <c r="H2445" s="2" t="str">
        <f ca="1">IFERROR(__xludf.DUMMYFUNCTION("GOOGLETRANSLATE(B2445,""en"",""zh"")"),"冠军")</f>
        <v>冠军</v>
      </c>
      <c r="I2445" s="2" t="str">
        <f ca="1">IFERROR(__xludf.DUMMYFUNCTION("GOOGLETRANSLATE(B2445,""en"",""gd"")"),"Champion")</f>
        <v>Champion</v>
      </c>
    </row>
    <row r="2446" spans="1:9" ht="14.25" customHeight="1" x14ac:dyDescent="0.3">
      <c r="A2446" s="2">
        <v>2445</v>
      </c>
      <c r="B2446" s="3" t="s">
        <v>2453</v>
      </c>
      <c r="C2446" s="2" t="str">
        <f ca="1">IFERROR(__xludf.DUMMYFUNCTION("GOOGLETRANSLATE(B2446, ""en"",""es"")"),"realizar")</f>
        <v>realizar</v>
      </c>
      <c r="D2446" s="2" t="str">
        <f ca="1">IFERROR(__xludf.DUMMYFUNCTION("GOOGLETRANSLATE(B2446,""en"",""ig"")"),"imezu")</f>
        <v>imezu</v>
      </c>
      <c r="E2446" s="2" t="str">
        <f ca="1">IFERROR(__xludf.DUMMYFUNCTION("GOOGLETRANSLATE(B2446,""en"",""fr"")"),"remplir")</f>
        <v>remplir</v>
      </c>
      <c r="F2446" s="2" t="str">
        <f ca="1">IFERROR(__xludf.DUMMYFUNCTION("GOOGLETRANSLATE(B2446,""en"",""it"")"),"adempiere")</f>
        <v>adempiere</v>
      </c>
      <c r="G2446" s="2" t="str">
        <f ca="1">IFERROR(__xludf.DUMMYFUNCTION("GOOGLETRANSLATE(B2446,""en"",""de"")"),"erfüllen")</f>
        <v>erfüllen</v>
      </c>
      <c r="H2446" s="2" t="str">
        <f ca="1">IFERROR(__xludf.DUMMYFUNCTION("GOOGLETRANSLATE(B2446,""en"",""zh"")"),"实现")</f>
        <v>实现</v>
      </c>
      <c r="I2446" s="2" t="str">
        <f ca="1">IFERROR(__xludf.DUMMYFUNCTION("GOOGLETRANSLATE(B2446,""en"",""gd"")"),"Coilich")</f>
        <v>Coilich</v>
      </c>
    </row>
    <row r="2447" spans="1:9" ht="14.25" customHeight="1" x14ac:dyDescent="0.3">
      <c r="A2447" s="2">
        <v>2446</v>
      </c>
      <c r="B2447" s="3" t="s">
        <v>2454</v>
      </c>
      <c r="C2447" s="2" t="str">
        <f ca="1">IFERROR(__xludf.DUMMYFUNCTION("GOOGLETRANSLATE(B2447, ""en"",""es"")"),"polvo")</f>
        <v>polvo</v>
      </c>
      <c r="D2447" s="2" t="str">
        <f ca="1">IFERROR(__xludf.DUMMYFUNCTION("GOOGLETRANSLATE(B2447,""en"",""ig"")"),"dostu")</f>
        <v>dostu</v>
      </c>
      <c r="E2447" s="2" t="str">
        <f ca="1">IFERROR(__xludf.DUMMYFUNCTION("GOOGLETRANSLATE(B2447,""en"",""fr"")"),"poussière")</f>
        <v>poussière</v>
      </c>
      <c r="F2447" s="2" t="str">
        <f ca="1">IFERROR(__xludf.DUMMYFUNCTION("GOOGLETRANSLATE(B2447,""en"",""it"")"),"polvere")</f>
        <v>polvere</v>
      </c>
      <c r="G2447" s="2" t="str">
        <f ca="1">IFERROR(__xludf.DUMMYFUNCTION("GOOGLETRANSLATE(B2447,""en"",""de"")"),"Staub")</f>
        <v>Staub</v>
      </c>
      <c r="H2447" s="2" t="str">
        <f ca="1">IFERROR(__xludf.DUMMYFUNCTION("GOOGLETRANSLATE(B2447,""en"",""zh"")"),"灰尘")</f>
        <v>灰尘</v>
      </c>
      <c r="I2447" s="2" t="str">
        <f ca="1">IFERROR(__xludf.DUMMYFUNCTION("GOOGLETRANSLATE(B2447,""en"",""gd"")"),"duslach")</f>
        <v>duslach</v>
      </c>
    </row>
    <row r="2448" spans="1:9" ht="14.25" customHeight="1" x14ac:dyDescent="0.3">
      <c r="A2448" s="2">
        <v>2447</v>
      </c>
      <c r="B2448" s="3" t="s">
        <v>2455</v>
      </c>
      <c r="C2448" s="2" t="str">
        <f ca="1">IFERROR(__xludf.DUMMYFUNCTION("GOOGLETRANSLATE(B2448, ""en"",""es"")"),"dedicar")</f>
        <v>dedicar</v>
      </c>
      <c r="D2448" s="2" t="str">
        <f ca="1">IFERROR(__xludf.DUMMYFUNCTION("GOOGLETRANSLATE(B2448,""en"",""ig"")"),"inye n'aka")</f>
        <v>inye n'aka</v>
      </c>
      <c r="E2448" s="2" t="str">
        <f ca="1">IFERROR(__xludf.DUMMYFUNCTION("GOOGLETRANSLATE(B2448,""en"",""fr"")"),"consacrer")</f>
        <v>consacrer</v>
      </c>
      <c r="F2448" s="2" t="str">
        <f ca="1">IFERROR(__xludf.DUMMYFUNCTION("GOOGLETRANSLATE(B2448,""en"",""it"")"),"dedicare")</f>
        <v>dedicare</v>
      </c>
      <c r="G2448" s="2" t="str">
        <f ca="1">IFERROR(__xludf.DUMMYFUNCTION("GOOGLETRANSLATE(B2448,""en"",""de"")"),"widmen")</f>
        <v>widmen</v>
      </c>
      <c r="H2448" s="2" t="str">
        <f ca="1">IFERROR(__xludf.DUMMYFUNCTION("GOOGLETRANSLATE(B2448,""en"",""zh"")"),"奉献")</f>
        <v>奉献</v>
      </c>
      <c r="I2448" s="2" t="str">
        <f ca="1">IFERROR(__xludf.DUMMYFUNCTION("GOOGLETRANSLATE(B2448,""en"",""gd"")"),"coisreach")</f>
        <v>coisreach</v>
      </c>
    </row>
    <row r="2449" spans="1:9" ht="14.25" customHeight="1" x14ac:dyDescent="0.3">
      <c r="A2449" s="2">
        <v>2448</v>
      </c>
      <c r="B2449" s="3" t="s">
        <v>2456</v>
      </c>
      <c r="C2449" s="2" t="str">
        <f ca="1">IFERROR(__xludf.DUMMYFUNCTION("GOOGLETRANSLATE(B2449, ""en"",""es"")"),"apenas")</f>
        <v>apenas</v>
      </c>
      <c r="D2449" s="2" t="str">
        <f ca="1">IFERROR(__xludf.DUMMYFUNCTION("GOOGLETRANSLATE(B2449,""en"",""ig"")"),"keosisi")</f>
        <v>keosisi</v>
      </c>
      <c r="E2449" s="2" t="str">
        <f ca="1">IFERROR(__xludf.DUMMYFUNCTION("GOOGLETRANSLATE(B2449,""en"",""fr"")"),"à peu près")</f>
        <v>à peu près</v>
      </c>
      <c r="F2449" s="2" t="str">
        <f ca="1">IFERROR(__xludf.DUMMYFUNCTION("GOOGLETRANSLATE(B2449,""en"",""it"")"),"all'incirca")</f>
        <v>all'incirca</v>
      </c>
      <c r="G2449" s="2" t="str">
        <f ca="1">IFERROR(__xludf.DUMMYFUNCTION("GOOGLETRANSLATE(B2449,""en"",""de"")"),"grob")</f>
        <v>grob</v>
      </c>
      <c r="H2449" s="2" t="str">
        <f ca="1">IFERROR(__xludf.DUMMYFUNCTION("GOOGLETRANSLATE(B2449,""en"",""zh"")"),"大致")</f>
        <v>大致</v>
      </c>
      <c r="I2449" s="2" t="str">
        <f ca="1">IFERROR(__xludf.DUMMYFUNCTION("GOOGLETRANSLATE(B2449,""en"",""gd"")"),"timcheall air")</f>
        <v>timcheall air</v>
      </c>
    </row>
    <row r="2450" spans="1:9" ht="14.25" customHeight="1" x14ac:dyDescent="0.3">
      <c r="A2450" s="2">
        <v>2449</v>
      </c>
      <c r="B2450" s="3" t="s">
        <v>2457</v>
      </c>
      <c r="C2450" s="2" t="str">
        <f ca="1">IFERROR(__xludf.DUMMYFUNCTION("GOOGLETRANSLATE(B2450, ""en"",""es"")"),"falda")</f>
        <v>falda</v>
      </c>
      <c r="D2450" s="2" t="str">
        <f ca="1">IFERROR(__xludf.DUMMYFUNCTION("GOOGLETRANSLATE(B2450,""en"",""ig"")"),"uwe")</f>
        <v>uwe</v>
      </c>
      <c r="E2450" s="2" t="str">
        <f ca="1">IFERROR(__xludf.DUMMYFUNCTION("GOOGLETRANSLATE(B2450,""en"",""fr"")"),"jupe")</f>
        <v>jupe</v>
      </c>
      <c r="F2450" s="2" t="str">
        <f ca="1">IFERROR(__xludf.DUMMYFUNCTION("GOOGLETRANSLATE(B2450,""en"",""it"")"),"gonna")</f>
        <v>gonna</v>
      </c>
      <c r="G2450" s="2" t="str">
        <f ca="1">IFERROR(__xludf.DUMMYFUNCTION("GOOGLETRANSLATE(B2450,""en"",""de"")"),"Rock")</f>
        <v>Rock</v>
      </c>
      <c r="H2450" s="2" t="str">
        <f ca="1">IFERROR(__xludf.DUMMYFUNCTION("GOOGLETRANSLATE(B2450,""en"",""zh"")"),"裙子")</f>
        <v>裙子</v>
      </c>
      <c r="I2450" s="2" t="str">
        <f ca="1">IFERROR(__xludf.DUMMYFUNCTION("GOOGLETRANSLATE(B2450,""en"",""gd"")"),"sgiort")</f>
        <v>sgiort</v>
      </c>
    </row>
    <row r="2451" spans="1:9" ht="14.25" customHeight="1" x14ac:dyDescent="0.3">
      <c r="A2451" s="2">
        <v>2450</v>
      </c>
      <c r="B2451" s="3" t="s">
        <v>2458</v>
      </c>
      <c r="C2451" s="2" t="str">
        <f ca="1">IFERROR(__xludf.DUMMYFUNCTION("GOOGLETRANSLATE(B2451, ""en"",""es"")"),"provincia")</f>
        <v>provincia</v>
      </c>
      <c r="D2451" s="2" t="str">
        <f ca="1">IFERROR(__xludf.DUMMYFUNCTION("GOOGLETRANSLATE(B2451,""en"",""ig"")"),"ngalaba ochichi")</f>
        <v>ngalaba ochichi</v>
      </c>
      <c r="E2451" s="2" t="str">
        <f ca="1">IFERROR(__xludf.DUMMYFUNCTION("GOOGLETRANSLATE(B2451,""en"",""fr"")"),"province")</f>
        <v>province</v>
      </c>
      <c r="F2451" s="2" t="str">
        <f ca="1">IFERROR(__xludf.DUMMYFUNCTION("GOOGLETRANSLATE(B2451,""en"",""it"")"),"Provincia")</f>
        <v>Provincia</v>
      </c>
      <c r="G2451" s="2" t="str">
        <f ca="1">IFERROR(__xludf.DUMMYFUNCTION("GOOGLETRANSLATE(B2451,""en"",""de"")"),"Provinz")</f>
        <v>Provinz</v>
      </c>
      <c r="H2451" s="2" t="str">
        <f ca="1">IFERROR(__xludf.DUMMYFUNCTION("GOOGLETRANSLATE(B2451,""en"",""zh"")"),"省")</f>
        <v>省</v>
      </c>
      <c r="I2451" s="2" t="str">
        <f ca="1">IFERROR(__xludf.DUMMYFUNCTION("GOOGLETRANSLATE(B2451,""en"",""gd"")"),"Roinn")</f>
        <v>Roinn</v>
      </c>
    </row>
    <row r="2452" spans="1:9" ht="14.25" customHeight="1" x14ac:dyDescent="0.3">
      <c r="A2452" s="2">
        <v>2451</v>
      </c>
      <c r="B2452" s="3" t="s">
        <v>2459</v>
      </c>
      <c r="C2452" s="2" t="str">
        <f ca="1">IFERROR(__xludf.DUMMYFUNCTION("GOOGLETRANSLATE(B2452, ""en"",""es"")"),"marzo")</f>
        <v>marzo</v>
      </c>
      <c r="D2452" s="2" t="str">
        <f ca="1">IFERROR(__xludf.DUMMYFUNCTION("GOOGLETRANSLATE(B2452,""en"",""ig"")"),"imaachi")</f>
        <v>imaachi</v>
      </c>
      <c r="E2452" s="2" t="str">
        <f ca="1">IFERROR(__xludf.DUMMYFUNCTION("GOOGLETRANSLATE(B2452,""en"",""fr"")"),"mars")</f>
        <v>mars</v>
      </c>
      <c r="F2452" s="2" t="str">
        <f ca="1">IFERROR(__xludf.DUMMYFUNCTION("GOOGLETRANSLATE(B2452,""en"",""it"")"),"marzo")</f>
        <v>marzo</v>
      </c>
      <c r="G2452" s="2" t="str">
        <f ca="1">IFERROR(__xludf.DUMMYFUNCTION("GOOGLETRANSLATE(B2452,""en"",""de"")"),"Marsch")</f>
        <v>Marsch</v>
      </c>
      <c r="H2452" s="2" t="str">
        <f ca="1">IFERROR(__xludf.DUMMYFUNCTION("GOOGLETRANSLATE(B2452,""en"",""zh"")"),"行进")</f>
        <v>行进</v>
      </c>
      <c r="I2452" s="2" t="str">
        <f ca="1">IFERROR(__xludf.DUMMYFUNCTION("GOOGLETRANSLATE(B2452,""en"",""gd"")"),"Am Màrt")</f>
        <v>Am Màrt</v>
      </c>
    </row>
    <row r="2453" spans="1:9" ht="14.25" customHeight="1" x14ac:dyDescent="0.3">
      <c r="A2453" s="2">
        <v>2452</v>
      </c>
      <c r="B2453" s="3" t="s">
        <v>2460</v>
      </c>
      <c r="C2453" s="2" t="str">
        <f ca="1">IFERROR(__xludf.DUMMYFUNCTION("GOOGLETRANSLATE(B2453, ""en"",""es"")"),"evaluación")</f>
        <v>evaluación</v>
      </c>
      <c r="D2453" s="2" t="str">
        <f ca="1">IFERROR(__xludf.DUMMYFUNCTION("GOOGLETRANSLATE(B2453,""en"",""ig"")"),"nleba")</f>
        <v>nleba</v>
      </c>
      <c r="E2453" s="2" t="str">
        <f ca="1">IFERROR(__xludf.DUMMYFUNCTION("GOOGLETRANSLATE(B2453,""en"",""fr"")"),"évaluation")</f>
        <v>évaluation</v>
      </c>
      <c r="F2453" s="2" t="str">
        <f ca="1">IFERROR(__xludf.DUMMYFUNCTION("GOOGLETRANSLATE(B2453,""en"",""it"")"),"valutazione")</f>
        <v>valutazione</v>
      </c>
      <c r="G2453" s="2" t="str">
        <f ca="1">IFERROR(__xludf.DUMMYFUNCTION("GOOGLETRANSLATE(B2453,""en"",""de"")"),"Auswertung")</f>
        <v>Auswertung</v>
      </c>
      <c r="H2453" s="2" t="str">
        <f ca="1">IFERROR(__xludf.DUMMYFUNCTION("GOOGLETRANSLATE(B2453,""en"",""zh"")"),"评估")</f>
        <v>评估</v>
      </c>
      <c r="I2453" s="2" t="str">
        <f ca="1">IFERROR(__xludf.DUMMYFUNCTION("GOOGLETRANSLATE(B2453,""en"",""gd"")"),"Measadh")</f>
        <v>Measadh</v>
      </c>
    </row>
    <row r="2454" spans="1:9" ht="14.25" customHeight="1" x14ac:dyDescent="0.3">
      <c r="A2454" s="2">
        <v>2453</v>
      </c>
      <c r="B2454" s="3" t="s">
        <v>2461</v>
      </c>
      <c r="C2454" s="2" t="str">
        <f ca="1">IFERROR(__xludf.DUMMYFUNCTION("GOOGLETRANSLATE(B2454, ""en"",""es"")"),"compromiso")</f>
        <v>compromiso</v>
      </c>
      <c r="D2454" s="2" t="str">
        <f ca="1">IFERROR(__xludf.DUMMYFUNCTION("GOOGLETRANSLATE(B2454,""en"",""ig"")"),"mkwere")</f>
        <v>mkwere</v>
      </c>
      <c r="E2454" s="2" t="str">
        <f ca="1">IFERROR(__xludf.DUMMYFUNCTION("GOOGLETRANSLATE(B2454,""en"",""fr"")"),"compromis")</f>
        <v>compromis</v>
      </c>
      <c r="F2454" s="2" t="str">
        <f ca="1">IFERROR(__xludf.DUMMYFUNCTION("GOOGLETRANSLATE(B2454,""en"",""it"")"),"compromesso")</f>
        <v>compromesso</v>
      </c>
      <c r="G2454" s="2" t="str">
        <f ca="1">IFERROR(__xludf.DUMMYFUNCTION("GOOGLETRANSLATE(B2454,""en"",""de"")"),"Kompromiss")</f>
        <v>Kompromiss</v>
      </c>
      <c r="H2454" s="2" t="str">
        <f ca="1">IFERROR(__xludf.DUMMYFUNCTION("GOOGLETRANSLATE(B2454,""en"",""zh"")"),"妥协")</f>
        <v>妥协</v>
      </c>
      <c r="I2454" s="2" t="str">
        <f ca="1">IFERROR(__xludf.DUMMYFUNCTION("GOOGLETRANSLATE(B2454,""en"",""gd"")"),"co-rèiteachadh")</f>
        <v>co-rèiteachadh</v>
      </c>
    </row>
    <row r="2455" spans="1:9" ht="14.25" customHeight="1" x14ac:dyDescent="0.3">
      <c r="A2455" s="2">
        <v>2454</v>
      </c>
      <c r="B2455" s="3" t="s">
        <v>2462</v>
      </c>
      <c r="C2455" s="2" t="str">
        <f ca="1">IFERROR(__xludf.DUMMYFUNCTION("GOOGLETRANSLATE(B2455, ""en"",""es"")"),"lograr")</f>
        <v>lograr</v>
      </c>
      <c r="D2455" s="2" t="str">
        <f ca="1">IFERROR(__xludf.DUMMYFUNCTION("GOOGLETRANSLATE(B2455,""en"",""ig"")"),"imete")</f>
        <v>imete</v>
      </c>
      <c r="E2455" s="2" t="str">
        <f ca="1">IFERROR(__xludf.DUMMYFUNCTION("GOOGLETRANSLATE(B2455,""en"",""fr"")"),"accomplir")</f>
        <v>accomplir</v>
      </c>
      <c r="F2455" s="2" t="str">
        <f ca="1">IFERROR(__xludf.DUMMYFUNCTION("GOOGLETRANSLATE(B2455,""en"",""it"")"),"compiere")</f>
        <v>compiere</v>
      </c>
      <c r="G2455" s="2" t="str">
        <f ca="1">IFERROR(__xludf.DUMMYFUNCTION("GOOGLETRANSLATE(B2455,""en"",""de"")"),"erreichen")</f>
        <v>erreichen</v>
      </c>
      <c r="H2455" s="2" t="str">
        <f ca="1">IFERROR(__xludf.DUMMYFUNCTION("GOOGLETRANSLATE(B2455,""en"",""zh"")"),"完成")</f>
        <v>完成</v>
      </c>
      <c r="I2455" s="2" t="str">
        <f ca="1">IFERROR(__xludf.DUMMYFUNCTION("GOOGLETRANSLATE(B2455,""en"",""gd"")"),"deàrn")</f>
        <v>deàrn</v>
      </c>
    </row>
    <row r="2456" spans="1:9" ht="14.25" customHeight="1" x14ac:dyDescent="0.3">
      <c r="A2456" s="2">
        <v>2455</v>
      </c>
      <c r="B2456" s="3" t="s">
        <v>2463</v>
      </c>
      <c r="C2456" s="2" t="str">
        <f ca="1">IFERROR(__xludf.DUMMYFUNCTION("GOOGLETRANSLATE(B2456, ""en"",""es"")"),"debilidad")</f>
        <v>debilidad</v>
      </c>
      <c r="D2456" s="2" t="str">
        <f ca="1">IFERROR(__xludf.DUMMYFUNCTION("GOOGLETRANSLATE(B2456,""en"",""ig"")"),"ikeogwugwu")</f>
        <v>ikeogwugwu</v>
      </c>
      <c r="E2456" s="2" t="str">
        <f ca="1">IFERROR(__xludf.DUMMYFUNCTION("GOOGLETRANSLATE(B2456,""en"",""fr"")"),"faiblesse")</f>
        <v>faiblesse</v>
      </c>
      <c r="F2456" s="2" t="str">
        <f ca="1">IFERROR(__xludf.DUMMYFUNCTION("GOOGLETRANSLATE(B2456,""en"",""it"")"),"debolezza")</f>
        <v>debolezza</v>
      </c>
      <c r="G2456" s="2" t="str">
        <f ca="1">IFERROR(__xludf.DUMMYFUNCTION("GOOGLETRANSLATE(B2456,""en"",""de"")"),"Schwäche")</f>
        <v>Schwäche</v>
      </c>
      <c r="H2456" s="2" t="str">
        <f ca="1">IFERROR(__xludf.DUMMYFUNCTION("GOOGLETRANSLATE(B2456,""en"",""zh"")"),"弱点")</f>
        <v>弱点</v>
      </c>
      <c r="I2456" s="2" t="str">
        <f ca="1">IFERROR(__xludf.DUMMYFUNCTION("GOOGLETRANSLATE(B2456,""en"",""gd"")"),"laigse")</f>
        <v>laigse</v>
      </c>
    </row>
    <row r="2457" spans="1:9" ht="14.25" customHeight="1" x14ac:dyDescent="0.3">
      <c r="A2457" s="2">
        <v>2456</v>
      </c>
      <c r="B2457" s="3" t="s">
        <v>2464</v>
      </c>
      <c r="C2457" s="2" t="str">
        <f ca="1">IFERROR(__xludf.DUMMYFUNCTION("GOOGLETRANSLATE(B2457, ""en"",""es"")"),"anuncio")</f>
        <v>anuncio</v>
      </c>
      <c r="D2457" s="2" t="str">
        <f ca="1">IFERROR(__xludf.DUMMYFUNCTION("GOOGLETRANSLATE(B2457,""en"",""ig"")"),"ogwugwa")</f>
        <v>ogwugwa</v>
      </c>
      <c r="E2457" s="2" t="str">
        <f ca="1">IFERROR(__xludf.DUMMYFUNCTION("GOOGLETRANSLATE(B2457,""en"",""fr"")"),"annonce")</f>
        <v>annonce</v>
      </c>
      <c r="F2457" s="2" t="str">
        <f ca="1">IFERROR(__xludf.DUMMYFUNCTION("GOOGLETRANSLATE(B2457,""en"",""it"")"),"annuncio")</f>
        <v>annuncio</v>
      </c>
      <c r="G2457" s="2" t="str">
        <f ca="1">IFERROR(__xludf.DUMMYFUNCTION("GOOGLETRANSLATE(B2457,""en"",""de"")"),"Bekanntmachung")</f>
        <v>Bekanntmachung</v>
      </c>
      <c r="H2457" s="2" t="str">
        <f ca="1">IFERROR(__xludf.DUMMYFUNCTION("GOOGLETRANSLATE(B2457,""en"",""zh"")"),"公告")</f>
        <v>公告</v>
      </c>
      <c r="I2457" s="2" t="str">
        <f ca="1">IFERROR(__xludf.DUMMYFUNCTION("GOOGLETRANSLATE(B2457,""en"",""gd"")"),"Sanas")</f>
        <v>Sanas</v>
      </c>
    </row>
    <row r="2458" spans="1:9" ht="14.25" customHeight="1" x14ac:dyDescent="0.3">
      <c r="A2458" s="2">
        <v>2457</v>
      </c>
      <c r="B2458" s="3" t="s">
        <v>2465</v>
      </c>
      <c r="C2458" s="2" t="str">
        <f ca="1">IFERROR(__xludf.DUMMYFUNCTION("GOOGLETRANSLATE(B2458, ""en"",""es"")"),"sal")</f>
        <v>sal</v>
      </c>
      <c r="D2458" s="2" t="str">
        <f ca="1">IFERROR(__xludf.DUMMYFUNCTION("GOOGLETRANSLATE(B2458,""en"",""ig"")"),"nnu")</f>
        <v>nnu</v>
      </c>
      <c r="E2458" s="2" t="str">
        <f ca="1">IFERROR(__xludf.DUMMYFUNCTION("GOOGLETRANSLATE(B2458,""en"",""fr"")"),"sel")</f>
        <v>sel</v>
      </c>
      <c r="F2458" s="2" t="str">
        <f ca="1">IFERROR(__xludf.DUMMYFUNCTION("GOOGLETRANSLATE(B2458,""en"",""it"")"),"sale")</f>
        <v>sale</v>
      </c>
      <c r="G2458" s="2" t="str">
        <f ca="1">IFERROR(__xludf.DUMMYFUNCTION("GOOGLETRANSLATE(B2458,""en"",""de"")"),"Salz")</f>
        <v>Salz</v>
      </c>
      <c r="H2458" s="2" t="str">
        <f ca="1">IFERROR(__xludf.DUMMYFUNCTION("GOOGLETRANSLATE(B2458,""en"",""zh"")"),"盐")</f>
        <v>盐</v>
      </c>
      <c r="I2458" s="2" t="str">
        <f ca="1">IFERROR(__xludf.DUMMYFUNCTION("GOOGLETRANSLATE(B2458,""en"",""gd"")"),"salann")</f>
        <v>salann</v>
      </c>
    </row>
    <row r="2459" spans="1:9" ht="14.25" customHeight="1" x14ac:dyDescent="0.3">
      <c r="A2459" s="2">
        <v>2458</v>
      </c>
      <c r="B2459" s="3" t="s">
        <v>2466</v>
      </c>
      <c r="C2459" s="2" t="str">
        <f ca="1">IFERROR(__xludf.DUMMYFUNCTION("GOOGLETRANSLATE(B2459, ""en"",""es"")"),"mirada")</f>
        <v>mirada</v>
      </c>
      <c r="D2459" s="2" t="str">
        <f ca="1">IFERROR(__xludf.DUMMYFUNCTION("GOOGLETRANSLATE(B2459,""en"",""ig"")"),"nlekiri")</f>
        <v>nlekiri</v>
      </c>
      <c r="E2459" s="2" t="str">
        <f ca="1">IFERROR(__xludf.DUMMYFUNCTION("GOOGLETRANSLATE(B2459,""en"",""fr"")"),"coup d'oeil")</f>
        <v>coup d'oeil</v>
      </c>
      <c r="F2459" s="2" t="str">
        <f ca="1">IFERROR(__xludf.DUMMYFUNCTION("GOOGLETRANSLATE(B2459,""en"",""it"")"),"occhiata")</f>
        <v>occhiata</v>
      </c>
      <c r="G2459" s="2" t="str">
        <f ca="1">IFERROR(__xludf.DUMMYFUNCTION("GOOGLETRANSLATE(B2459,""en"",""de"")"),"Blick")</f>
        <v>Blick</v>
      </c>
      <c r="H2459" s="2" t="str">
        <f ca="1">IFERROR(__xludf.DUMMYFUNCTION("GOOGLETRANSLATE(B2459,""en"",""zh"")"),"一眼")</f>
        <v>一眼</v>
      </c>
      <c r="I2459" s="2" t="str">
        <f ca="1">IFERROR(__xludf.DUMMYFUNCTION("GOOGLETRANSLATE(B2459,""en"",""gd"")"),"sùil")</f>
        <v>sùil</v>
      </c>
    </row>
    <row r="2460" spans="1:9" ht="14.25" customHeight="1" x14ac:dyDescent="0.3">
      <c r="A2460" s="2">
        <v>2459</v>
      </c>
      <c r="B2460" s="3" t="s">
        <v>2467</v>
      </c>
      <c r="C2460" s="2" t="str">
        <f ca="1">IFERROR(__xludf.DUMMYFUNCTION("GOOGLETRANSLATE(B2460, ""en"",""es"")"),"ópera")</f>
        <v>ópera</v>
      </c>
      <c r="D2460" s="2" t="str">
        <f ca="1">IFERROR(__xludf.DUMMYFUNCTION("GOOGLETRANSLATE(B2460,""en"",""ig"")"),"ejije uneghune")</f>
        <v>ejije uneghune</v>
      </c>
      <c r="E2460" s="2" t="str">
        <f ca="1">IFERROR(__xludf.DUMMYFUNCTION("GOOGLETRANSLATE(B2460,""en"",""fr"")"),"opéra")</f>
        <v>opéra</v>
      </c>
      <c r="F2460" s="2" t="str">
        <f ca="1">IFERROR(__xludf.DUMMYFUNCTION("GOOGLETRANSLATE(B2460,""en"",""it"")"),"musica lirica")</f>
        <v>musica lirica</v>
      </c>
      <c r="G2460" s="2" t="str">
        <f ca="1">IFERROR(__xludf.DUMMYFUNCTION("GOOGLETRANSLATE(B2460,""en"",""de"")"),"Oper")</f>
        <v>Oper</v>
      </c>
      <c r="H2460" s="2" t="str">
        <f ca="1">IFERROR(__xludf.DUMMYFUNCTION("GOOGLETRANSLATE(B2460,""en"",""zh"")"),"歌剧")</f>
        <v>歌剧</v>
      </c>
      <c r="I2460" s="2" t="str">
        <f ca="1">IFERROR(__xludf.DUMMYFUNCTION("GOOGLETRANSLATE(B2460,""en"",""gd"")"),"Opera")</f>
        <v>Opera</v>
      </c>
    </row>
    <row r="2461" spans="1:9" ht="14.25" customHeight="1" x14ac:dyDescent="0.3">
      <c r="A2461" s="2">
        <v>2460</v>
      </c>
      <c r="B2461" s="3" t="s">
        <v>2468</v>
      </c>
      <c r="C2461" s="2" t="str">
        <f ca="1">IFERROR(__xludf.DUMMYFUNCTION("GOOGLETRANSLATE(B2461, ""en"",""es"")"),"concurso")</f>
        <v>concurso</v>
      </c>
      <c r="D2461" s="2" t="str">
        <f ca="1">IFERROR(__xludf.DUMMYFUNCTION("GOOGLETRANSLATE(B2461,""en"",""ig"")"),"zoo")</f>
        <v>zoo</v>
      </c>
      <c r="E2461" s="2" t="str">
        <f ca="1">IFERROR(__xludf.DUMMYFUNCTION("GOOGLETRANSLATE(B2461,""en"",""fr"")"),"concours")</f>
        <v>concours</v>
      </c>
      <c r="F2461" s="2" t="str">
        <f ca="1">IFERROR(__xludf.DUMMYFUNCTION("GOOGLETRANSLATE(B2461,""en"",""it"")"),"concorso")</f>
        <v>concorso</v>
      </c>
      <c r="G2461" s="2" t="str">
        <f ca="1">IFERROR(__xludf.DUMMYFUNCTION("GOOGLETRANSLATE(B2461,""en"",""de"")"),"Wettbewerb")</f>
        <v>Wettbewerb</v>
      </c>
      <c r="H2461" s="2" t="str">
        <f ca="1">IFERROR(__xludf.DUMMYFUNCTION("GOOGLETRANSLATE(B2461,""en"",""zh"")"),"比赛")</f>
        <v>比赛</v>
      </c>
      <c r="I2461" s="2" t="str">
        <f ca="1">IFERROR(__xludf.DUMMYFUNCTION("GOOGLETRANSLATE(B2461,""en"",""gd"")"),"farpais")</f>
        <v>farpais</v>
      </c>
    </row>
    <row r="2462" spans="1:9" ht="14.25" customHeight="1" x14ac:dyDescent="0.3">
      <c r="A2462" s="2">
        <v>2461</v>
      </c>
      <c r="B2462" s="3" t="s">
        <v>2469</v>
      </c>
      <c r="C2462" s="2" t="str">
        <f ca="1">IFERROR(__xludf.DUMMYFUNCTION("GOOGLETRANSLATE(B2462, ""en"",""es"")"),"cepillar")</f>
        <v>cepillar</v>
      </c>
      <c r="D2462" s="2" t="str">
        <f ca="1">IFERROR(__xludf.DUMMYFUNCTION("GOOGLETRANSLATE(B2462,""en"",""ig"")"),"isa onu")</f>
        <v>isa onu</v>
      </c>
      <c r="E2462" s="2" t="str">
        <f ca="1">IFERROR(__xludf.DUMMYFUNCTION("GOOGLETRANSLATE(B2462,""en"",""fr"")"),"brosse")</f>
        <v>brosse</v>
      </c>
      <c r="F2462" s="2" t="str">
        <f ca="1">IFERROR(__xludf.DUMMYFUNCTION("GOOGLETRANSLATE(B2462,""en"",""it"")"),"spazzola")</f>
        <v>spazzola</v>
      </c>
      <c r="G2462" s="2" t="str">
        <f ca="1">IFERROR(__xludf.DUMMYFUNCTION("GOOGLETRANSLATE(B2462,""en"",""de"")"),"Bürste")</f>
        <v>Bürste</v>
      </c>
      <c r="H2462" s="2" t="str">
        <f ca="1">IFERROR(__xludf.DUMMYFUNCTION("GOOGLETRANSLATE(B2462,""en"",""zh"")"),"刷子")</f>
        <v>刷子</v>
      </c>
      <c r="I2462" s="2" t="str">
        <f ca="1">IFERROR(__xludf.DUMMYFUNCTION("GOOGLETRANSLATE(B2462,""en"",""gd"")"),"bruis")</f>
        <v>bruis</v>
      </c>
    </row>
    <row r="2463" spans="1:9" ht="14.25" customHeight="1" x14ac:dyDescent="0.3">
      <c r="A2463" s="2">
        <v>2462</v>
      </c>
      <c r="B2463" s="3" t="s">
        <v>2470</v>
      </c>
      <c r="C2463" s="2" t="str">
        <f ca="1">IFERROR(__xludf.DUMMYFUNCTION("GOOGLETRANSLATE(B2463, ""en"",""es"")"),"avergonzar")</f>
        <v>avergonzar</v>
      </c>
      <c r="D2463" s="2" t="str">
        <f ca="1">IFERROR(__xludf.DUMMYFUNCTION("GOOGLETRANSLATE(B2463,""en"",""ig"")"),"imebo")</f>
        <v>imebo</v>
      </c>
      <c r="E2463" s="2" t="str">
        <f ca="1">IFERROR(__xludf.DUMMYFUNCTION("GOOGLETRANSLATE(B2463,""en"",""fr"")"),"embarrasser")</f>
        <v>embarrasser</v>
      </c>
      <c r="F2463" s="2" t="str">
        <f ca="1">IFERROR(__xludf.DUMMYFUNCTION("GOOGLETRANSLATE(B2463,""en"",""it"")"),"imbarazzo")</f>
        <v>imbarazzo</v>
      </c>
      <c r="G2463" s="2" t="str">
        <f ca="1">IFERROR(__xludf.DUMMYFUNCTION("GOOGLETRANSLATE(B2463,""en"",""de"")"),"in Verlegenheit bringen")</f>
        <v>in Verlegenheit bringen</v>
      </c>
      <c r="H2463" s="2" t="str">
        <f ca="1">IFERROR(__xludf.DUMMYFUNCTION("GOOGLETRANSLATE(B2463,""en"",""zh"")"),"尴尬")</f>
        <v>尴尬</v>
      </c>
      <c r="I2463" s="2" t="str">
        <f ca="1">IFERROR(__xludf.DUMMYFUNCTION("GOOGLETRANSLATE(B2463,""en"",""gd"")"),"nàire")</f>
        <v>nàire</v>
      </c>
    </row>
    <row r="2464" spans="1:9" ht="14.25" customHeight="1" x14ac:dyDescent="0.3">
      <c r="A2464" s="2">
        <v>2463</v>
      </c>
      <c r="B2464" s="3" t="s">
        <v>2471</v>
      </c>
      <c r="C2464" s="2" t="str">
        <f ca="1">IFERROR(__xludf.DUMMYFUNCTION("GOOGLETRANSLATE(B2464, ""en"",""es"")"),"galería")</f>
        <v>galería</v>
      </c>
      <c r="D2464" s="2" t="str">
        <f ca="1">IFERROR(__xludf.DUMMYFUNCTION("GOOGLETRANSLATE(B2464,""en"",""ig"")"),"galari")</f>
        <v>galari</v>
      </c>
      <c r="E2464" s="2" t="str">
        <f ca="1">IFERROR(__xludf.DUMMYFUNCTION("GOOGLETRANSLATE(B2464,""en"",""fr"")"),"Galerie")</f>
        <v>Galerie</v>
      </c>
      <c r="F2464" s="2" t="str">
        <f ca="1">IFERROR(__xludf.DUMMYFUNCTION("GOOGLETRANSLATE(B2464,""en"",""it"")"),"galleria")</f>
        <v>galleria</v>
      </c>
      <c r="G2464" s="2" t="str">
        <f ca="1">IFERROR(__xludf.DUMMYFUNCTION("GOOGLETRANSLATE(B2464,""en"",""de"")"),"Galerie")</f>
        <v>Galerie</v>
      </c>
      <c r="H2464" s="2" t="str">
        <f ca="1">IFERROR(__xludf.DUMMYFUNCTION("GOOGLETRANSLATE(B2464,""en"",""zh"")"),"画廊")</f>
        <v>画廊</v>
      </c>
      <c r="I2464" s="2" t="str">
        <f ca="1">IFERROR(__xludf.DUMMYFUNCTION("GOOGLETRANSLATE(B2464,""en"",""gd"")"),"Gailearaidh")</f>
        <v>Gailearaidh</v>
      </c>
    </row>
    <row r="2465" spans="1:9" ht="14.25" customHeight="1" x14ac:dyDescent="0.3">
      <c r="A2465" s="2">
        <v>2464</v>
      </c>
      <c r="B2465" s="3" t="s">
        <v>2472</v>
      </c>
      <c r="C2465" s="2" t="str">
        <f ca="1">IFERROR(__xludf.DUMMYFUNCTION("GOOGLETRANSLATE(B2465, ""en"",""es"")"),"genético")</f>
        <v>genético</v>
      </c>
      <c r="D2465" s="2" t="str">
        <f ca="1">IFERROR(__xludf.DUMMYFUNCTION("GOOGLETRANSLATE(B2465,""en"",""ig"")"),"ihe ogugu")</f>
        <v>ihe ogugu</v>
      </c>
      <c r="E2465" s="2" t="str">
        <f ca="1">IFERROR(__xludf.DUMMYFUNCTION("GOOGLETRANSLATE(B2465,""en"",""fr"")"),"génétique")</f>
        <v>génétique</v>
      </c>
      <c r="F2465" s="2" t="str">
        <f ca="1">IFERROR(__xludf.DUMMYFUNCTION("GOOGLETRANSLATE(B2465,""en"",""it"")"),"genetico")</f>
        <v>genetico</v>
      </c>
      <c r="G2465" s="2" t="str">
        <f ca="1">IFERROR(__xludf.DUMMYFUNCTION("GOOGLETRANSLATE(B2465,""en"",""de"")"),"genetisch")</f>
        <v>genetisch</v>
      </c>
      <c r="H2465" s="2" t="str">
        <f ca="1">IFERROR(__xludf.DUMMYFUNCTION("GOOGLETRANSLATE(B2465,""en"",""zh"")"),"遗传")</f>
        <v>遗传</v>
      </c>
      <c r="I2465" s="2" t="str">
        <f ca="1">IFERROR(__xludf.DUMMYFUNCTION("GOOGLETRANSLATE(B2465,""en"",""gd"")"),"ginteil")</f>
        <v>ginteil</v>
      </c>
    </row>
    <row r="2466" spans="1:9" ht="14.25" customHeight="1" x14ac:dyDescent="0.3">
      <c r="A2466" s="2">
        <v>2465</v>
      </c>
      <c r="B2466" s="3" t="s">
        <v>2473</v>
      </c>
      <c r="C2466" s="2" t="str">
        <f ca="1">IFERROR(__xludf.DUMMYFUNCTION("GOOGLETRANSLATE(B2466, ""en"",""es"")"),"agresivo")</f>
        <v>agresivo</v>
      </c>
      <c r="D2466" s="2" t="str">
        <f ca="1">IFERROR(__xludf.DUMMYFUNCTION("GOOGLETRANSLATE(B2466,""en"",""ig"")"),"keesemokwu")</f>
        <v>keesemokwu</v>
      </c>
      <c r="E2466" s="2" t="str">
        <f ca="1">IFERROR(__xludf.DUMMYFUNCTION("GOOGLETRANSLATE(B2466,""en"",""fr"")"),"agressif")</f>
        <v>agressif</v>
      </c>
      <c r="F2466" s="2" t="str">
        <f ca="1">IFERROR(__xludf.DUMMYFUNCTION("GOOGLETRANSLATE(B2466,""en"",""it"")"),"aggressivo")</f>
        <v>aggressivo</v>
      </c>
      <c r="G2466" s="2" t="str">
        <f ca="1">IFERROR(__xludf.DUMMYFUNCTION("GOOGLETRANSLATE(B2466,""en"",""de"")"),"aggressiv")</f>
        <v>aggressiv</v>
      </c>
      <c r="H2466" s="2" t="str">
        <f ca="1">IFERROR(__xludf.DUMMYFUNCTION("GOOGLETRANSLATE(B2466,""en"",""zh"")"),"挑衅的")</f>
        <v>挑衅的</v>
      </c>
      <c r="I2466" s="2" t="str">
        <f ca="1">IFERROR(__xludf.DUMMYFUNCTION("GOOGLETRANSLATE(B2466,""en"",""gd"")"),"ionnsaigheach")</f>
        <v>ionnsaigheach</v>
      </c>
    </row>
    <row r="2467" spans="1:9" ht="14.25" customHeight="1" x14ac:dyDescent="0.3">
      <c r="A2467" s="2">
        <v>2466</v>
      </c>
      <c r="B2467" s="3" t="s">
        <v>2474</v>
      </c>
      <c r="C2467" s="2" t="str">
        <f ca="1">IFERROR(__xludf.DUMMYFUNCTION("GOOGLETRANSLATE(B2467, ""en"",""es"")"),"pecho")</f>
        <v>pecho</v>
      </c>
      <c r="D2467" s="2" t="str">
        <f ca="1">IFERROR(__xludf.DUMMYFUNCTION("GOOGLETRANSLATE(B2467,""en"",""ig"")"),"akpatiigwe")</f>
        <v>akpatiigwe</v>
      </c>
      <c r="E2467" s="2" t="str">
        <f ca="1">IFERROR(__xludf.DUMMYFUNCTION("GOOGLETRANSLATE(B2467,""en"",""fr"")"),"poitrine")</f>
        <v>poitrine</v>
      </c>
      <c r="F2467" s="2" t="str">
        <f ca="1">IFERROR(__xludf.DUMMYFUNCTION("GOOGLETRANSLATE(B2467,""en"",""it"")"),"Petto")</f>
        <v>Petto</v>
      </c>
      <c r="G2467" s="2" t="str">
        <f ca="1">IFERROR(__xludf.DUMMYFUNCTION("GOOGLETRANSLATE(B2467,""en"",""de"")"),"Brust")</f>
        <v>Brust</v>
      </c>
      <c r="H2467" s="2" t="str">
        <f ca="1">IFERROR(__xludf.DUMMYFUNCTION("GOOGLETRANSLATE(B2467,""en"",""zh"")"),"胸部")</f>
        <v>胸部</v>
      </c>
      <c r="I2467" s="2" t="str">
        <f ca="1">IFERROR(__xludf.DUMMYFUNCTION("GOOGLETRANSLATE(B2467,""en"",""gd"")"),"ciste")</f>
        <v>ciste</v>
      </c>
    </row>
    <row r="2468" spans="1:9" ht="14.25" customHeight="1" x14ac:dyDescent="0.3">
      <c r="A2468" s="2">
        <v>2467</v>
      </c>
      <c r="B2468" s="3" t="s">
        <v>2475</v>
      </c>
      <c r="C2468" s="2" t="str">
        <f ca="1">IFERROR(__xludf.DUMMYFUNCTION("GOOGLETRANSLATE(B2468, ""en"",""es"")"),"formato")</f>
        <v>formato</v>
      </c>
      <c r="D2468" s="2" t="str">
        <f ca="1">IFERROR(__xludf.DUMMYFUNCTION("GOOGLETRANSLATE(B2468,""en"",""ig"")"),"usoro")</f>
        <v>usoro</v>
      </c>
      <c r="E2468" s="2" t="str">
        <f ca="1">IFERROR(__xludf.DUMMYFUNCTION("GOOGLETRANSLATE(B2468,""en"",""fr"")"),"format")</f>
        <v>format</v>
      </c>
      <c r="F2468" s="2" t="str">
        <f ca="1">IFERROR(__xludf.DUMMYFUNCTION("GOOGLETRANSLATE(B2468,""en"",""it"")"),"formato")</f>
        <v>formato</v>
      </c>
      <c r="G2468" s="2" t="str">
        <f ca="1">IFERROR(__xludf.DUMMYFUNCTION("GOOGLETRANSLATE(B2468,""en"",""de"")"),"Format")</f>
        <v>Format</v>
      </c>
      <c r="H2468" s="2" t="str">
        <f ca="1">IFERROR(__xludf.DUMMYFUNCTION("GOOGLETRANSLATE(B2468,""en"",""zh"")"),"格式")</f>
        <v>格式</v>
      </c>
      <c r="I2468" s="2" t="str">
        <f ca="1">IFERROR(__xludf.DUMMYFUNCTION("GOOGLETRANSLATE(B2468,""en"",""gd"")"),"Cruth")</f>
        <v>Cruth</v>
      </c>
    </row>
    <row r="2469" spans="1:9" ht="14.25" customHeight="1" x14ac:dyDescent="0.3">
      <c r="A2469" s="2">
        <v>2468</v>
      </c>
      <c r="B2469" s="3" t="s">
        <v>2476</v>
      </c>
      <c r="C2469" s="2" t="str">
        <f ca="1">IFERROR(__xludf.DUMMYFUNCTION("GOOGLETRANSLATE(B2469, ""en"",""es"")"),"literario")</f>
        <v>literario</v>
      </c>
      <c r="D2469" s="2" t="str">
        <f ca="1">IFERROR(__xludf.DUMMYFUNCTION("GOOGLETRANSLATE(B2469,""en"",""ig"")"),"na-edegụ akwụkwọ")</f>
        <v>na-edegụ akwụkwọ</v>
      </c>
      <c r="E2469" s="2" t="str">
        <f ca="1">IFERROR(__xludf.DUMMYFUNCTION("GOOGLETRANSLATE(B2469,""en"",""fr"")"),"littéraire")</f>
        <v>littéraire</v>
      </c>
      <c r="F2469" s="2" t="str">
        <f ca="1">IFERROR(__xludf.DUMMYFUNCTION("GOOGLETRANSLATE(B2469,""en"",""it"")"),"letterario")</f>
        <v>letterario</v>
      </c>
      <c r="G2469" s="2" t="str">
        <f ca="1">IFERROR(__xludf.DUMMYFUNCTION("GOOGLETRANSLATE(B2469,""en"",""de"")"),"literarisch")</f>
        <v>literarisch</v>
      </c>
      <c r="H2469" s="2" t="str">
        <f ca="1">IFERROR(__xludf.DUMMYFUNCTION("GOOGLETRANSLATE(B2469,""en"",""zh"")"),"文学")</f>
        <v>文学</v>
      </c>
      <c r="I2469" s="2" t="str">
        <f ca="1">IFERROR(__xludf.DUMMYFUNCTION("GOOGLETRANSLATE(B2469,""en"",""gd"")"),"litreachadh")</f>
        <v>litreachadh</v>
      </c>
    </row>
    <row r="2470" spans="1:9" ht="14.25" customHeight="1" x14ac:dyDescent="0.3">
      <c r="A2470" s="2">
        <v>2469</v>
      </c>
      <c r="B2470" s="3" t="s">
        <v>2477</v>
      </c>
      <c r="C2470" s="2" t="str">
        <f ca="1">IFERROR(__xludf.DUMMYFUNCTION("GOOGLETRANSLATE(B2470, ""en"",""es"")"),"gobernar")</f>
        <v>gobernar</v>
      </c>
      <c r="D2470" s="2" t="str">
        <f ca="1">IFERROR(__xludf.DUMMYFUNCTION("GOOGLETRANSLATE(B2470,""en"",""ig"")"),"ichi achu")</f>
        <v>ichi achu</v>
      </c>
      <c r="E2470" s="2" t="str">
        <f ca="1">IFERROR(__xludf.DUMMYFUNCTION("GOOGLETRANSLATE(B2470,""en"",""fr"")"),"gouverne")</f>
        <v>gouverne</v>
      </c>
      <c r="F2470" s="2" t="str">
        <f ca="1">IFERROR(__xludf.DUMMYFUNCTION("GOOGLETRANSLATE(B2470,""en"",""it"")"),"governare")</f>
        <v>governare</v>
      </c>
      <c r="G2470" s="2" t="str">
        <f ca="1">IFERROR(__xludf.DUMMYFUNCTION("GOOGLETRANSLATE(B2470,""en"",""de"")"),"regieren")</f>
        <v>regieren</v>
      </c>
      <c r="H2470" s="2" t="str">
        <f ca="1">IFERROR(__xludf.DUMMYFUNCTION("GOOGLETRANSLATE(B2470,""en"",""zh"")"),"治理")</f>
        <v>治理</v>
      </c>
      <c r="I2470" s="2" t="str">
        <f ca="1">IFERROR(__xludf.DUMMYFUNCTION("GOOGLETRANSLATE(B2470,""en"",""gd"")"),"riaghladh")</f>
        <v>riaghladh</v>
      </c>
    </row>
    <row r="2471" spans="1:9" ht="14.25" customHeight="1" x14ac:dyDescent="0.3">
      <c r="A2471" s="2">
        <v>2470</v>
      </c>
      <c r="B2471" s="3" t="s">
        <v>2478</v>
      </c>
      <c r="C2471" s="2" t="str">
        <f ca="1">IFERROR(__xludf.DUMMYFUNCTION("GOOGLETRANSLATE(B2471, ""en"",""es"")"),"abarcar")</f>
        <v>abarcar</v>
      </c>
      <c r="D2471" s="2" t="str">
        <f ca="1">IFERROR(__xludf.DUMMYFUNCTION("GOOGLETRANSLATE(B2471,""en"",""ig"")"),"ida obi")</f>
        <v>ida obi</v>
      </c>
      <c r="E2471" s="2" t="str">
        <f ca="1">IFERROR(__xludf.DUMMYFUNCTION("GOOGLETRANSLATE(B2471,""en"",""fr"")"),"embrasser")</f>
        <v>embrasser</v>
      </c>
      <c r="F2471" s="2" t="str">
        <f ca="1">IFERROR(__xludf.DUMMYFUNCTION("GOOGLETRANSLATE(B2471,""en"",""it"")"),"abbraccio")</f>
        <v>abbraccio</v>
      </c>
      <c r="G2471" s="2" t="str">
        <f ca="1">IFERROR(__xludf.DUMMYFUNCTION("GOOGLETRANSLATE(B2471,""en"",""de"")"),"umarmen")</f>
        <v>umarmen</v>
      </c>
      <c r="H2471" s="2" t="str">
        <f ca="1">IFERROR(__xludf.DUMMYFUNCTION("GOOGLETRANSLATE(B2471,""en"",""zh"")"),"拥抱")</f>
        <v>拥抱</v>
      </c>
      <c r="I2471" s="2" t="str">
        <f ca="1">IFERROR(__xludf.DUMMYFUNCTION("GOOGLETRANSLATE(B2471,""en"",""gd"")"),"Gabhail")</f>
        <v>Gabhail</v>
      </c>
    </row>
    <row r="2472" spans="1:9" ht="14.25" customHeight="1" x14ac:dyDescent="0.3">
      <c r="A2472" s="2">
        <v>2471</v>
      </c>
      <c r="B2472" s="3" t="s">
        <v>2479</v>
      </c>
      <c r="C2472" s="2" t="str">
        <f ca="1">IFERROR(__xludf.DUMMYFUNCTION("GOOGLETRANSLATE(B2472, ""en"",""es"")"),"elogio")</f>
        <v>elogio</v>
      </c>
      <c r="D2472" s="2" t="str">
        <f ca="1">IFERROR(__xludf.DUMMYFUNCTION("GOOGLETRANSLATE(B2472,""en"",""ig"")"),"towe")</f>
        <v>towe</v>
      </c>
      <c r="E2472" s="2" t="str">
        <f ca="1">IFERROR(__xludf.DUMMYFUNCTION("GOOGLETRANSLATE(B2472,""en"",""fr"")"),"louer")</f>
        <v>louer</v>
      </c>
      <c r="F2472" s="2" t="str">
        <f ca="1">IFERROR(__xludf.DUMMYFUNCTION("GOOGLETRANSLATE(B2472,""en"",""it"")"),"lode")</f>
        <v>lode</v>
      </c>
      <c r="G2472" s="2" t="str">
        <f ca="1">IFERROR(__xludf.DUMMYFUNCTION("GOOGLETRANSLATE(B2472,""en"",""de"")"),"Lob")</f>
        <v>Lob</v>
      </c>
      <c r="H2472" s="2" t="str">
        <f ca="1">IFERROR(__xludf.DUMMYFUNCTION("GOOGLETRANSLATE(B2472,""en"",""zh"")"),"称赞")</f>
        <v>称赞</v>
      </c>
      <c r="I2472" s="2" t="str">
        <f ca="1">IFERROR(__xludf.DUMMYFUNCTION("GOOGLETRANSLATE(B2472,""en"",""gd"")"),"moladh")</f>
        <v>moladh</v>
      </c>
    </row>
    <row r="2473" spans="1:9" ht="14.25" customHeight="1" x14ac:dyDescent="0.3">
      <c r="A2473" s="2">
        <v>2472</v>
      </c>
      <c r="B2473" s="3" t="s">
        <v>2480</v>
      </c>
      <c r="C2473" s="2" t="str">
        <f ca="1">IFERROR(__xludf.DUMMYFUNCTION("GOOGLETRANSLATE(B2473, ""en"",""es"")"),"silencioso")</f>
        <v>silencioso</v>
      </c>
      <c r="D2473" s="2" t="str">
        <f ca="1">IFERROR(__xludf.DUMMYFUNCTION("GOOGLETRANSLATE(B2473,""en"",""ig"")"),"nke ekwughiokwu")</f>
        <v>nke ekwughiokwu</v>
      </c>
      <c r="E2473" s="2" t="str">
        <f ca="1">IFERROR(__xludf.DUMMYFUNCTION("GOOGLETRANSLATE(B2473,""en"",""fr"")"),"silencieux")</f>
        <v>silencieux</v>
      </c>
      <c r="F2473" s="2" t="str">
        <f ca="1">IFERROR(__xludf.DUMMYFUNCTION("GOOGLETRANSLATE(B2473,""en"",""it"")"),"silenzioso")</f>
        <v>silenzioso</v>
      </c>
      <c r="G2473" s="2" t="str">
        <f ca="1">IFERROR(__xludf.DUMMYFUNCTION("GOOGLETRANSLATE(B2473,""en"",""de"")"),"still")</f>
        <v>still</v>
      </c>
      <c r="H2473" s="2" t="str">
        <f ca="1">IFERROR(__xludf.DUMMYFUNCTION("GOOGLETRANSLATE(B2473,""en"",""zh"")"),"沉默的")</f>
        <v>沉默的</v>
      </c>
      <c r="I2473" s="2" t="str">
        <f ca="1">IFERROR(__xludf.DUMMYFUNCTION("GOOGLETRANSLATE(B2473,""en"",""gd"")"),"sàmhach")</f>
        <v>sàmhach</v>
      </c>
    </row>
    <row r="2474" spans="1:9" ht="14.25" customHeight="1" x14ac:dyDescent="0.3">
      <c r="A2474" s="2">
        <v>2473</v>
      </c>
      <c r="B2474" s="3" t="s">
        <v>2481</v>
      </c>
      <c r="C2474" s="2" t="str">
        <f ca="1">IFERROR(__xludf.DUMMYFUNCTION("GOOGLETRANSLATE(B2474, ""en"",""es"")"),"bomba")</f>
        <v>bomba</v>
      </c>
      <c r="D2474" s="2" t="str">
        <f ca="1">IFERROR(__xludf.DUMMYFUNCTION("GOOGLETRANSLATE(B2474,""en"",""ig"")"),"gbaputa mmiri")</f>
        <v>gbaputa mmiri</v>
      </c>
      <c r="E2474" s="2" t="str">
        <f ca="1">IFERROR(__xludf.DUMMYFUNCTION("GOOGLETRANSLATE(B2474,""en"",""fr"")"),"pompe")</f>
        <v>pompe</v>
      </c>
      <c r="F2474" s="2" t="str">
        <f ca="1">IFERROR(__xludf.DUMMYFUNCTION("GOOGLETRANSLATE(B2474,""en"",""it"")"),"pompa")</f>
        <v>pompa</v>
      </c>
      <c r="G2474" s="2" t="str">
        <f ca="1">IFERROR(__xludf.DUMMYFUNCTION("GOOGLETRANSLATE(B2474,""en"",""de"")"),"Pumpe")</f>
        <v>Pumpe</v>
      </c>
      <c r="H2474" s="2" t="str">
        <f ca="1">IFERROR(__xludf.DUMMYFUNCTION("GOOGLETRANSLATE(B2474,""en"",""zh"")"),"泵")</f>
        <v>泵</v>
      </c>
      <c r="I2474" s="2" t="str">
        <f ca="1">IFERROR(__xludf.DUMMYFUNCTION("GOOGLETRANSLATE(B2474,""en"",""gd"")"),"pumpa")</f>
        <v>pumpa</v>
      </c>
    </row>
    <row r="2475" spans="1:9" ht="14.25" customHeight="1" x14ac:dyDescent="0.3">
      <c r="A2475" s="2">
        <v>2474</v>
      </c>
      <c r="B2475" s="3" t="s">
        <v>2482</v>
      </c>
      <c r="C2475" s="2" t="str">
        <f ca="1">IFERROR(__xludf.DUMMYFUNCTION("GOOGLETRANSLATE(B2475, ""en"",""es"")"),"editor")</f>
        <v>editor</v>
      </c>
      <c r="D2475" s="2" t="str">
        <f ca="1">IFERROR(__xludf.DUMMYFUNCTION("GOOGLETRANSLATE(B2475,""en"",""ig"")"),"akwukwo maka ogugu")</f>
        <v>akwukwo maka ogugu</v>
      </c>
      <c r="E2475" s="2" t="str">
        <f ca="1">IFERROR(__xludf.DUMMYFUNCTION("GOOGLETRANSLATE(B2475,""en"",""fr"")"),"éditeur")</f>
        <v>éditeur</v>
      </c>
      <c r="F2475" s="2" t="str">
        <f ca="1">IFERROR(__xludf.DUMMYFUNCTION("GOOGLETRANSLATE(B2475,""en"",""it"")"),"editore")</f>
        <v>editore</v>
      </c>
      <c r="G2475" s="2" t="str">
        <f ca="1">IFERROR(__xludf.DUMMYFUNCTION("GOOGLETRANSLATE(B2475,""en"",""de"")"),"Herausgeber")</f>
        <v>Herausgeber</v>
      </c>
      <c r="H2475" s="2" t="str">
        <f ca="1">IFERROR(__xludf.DUMMYFUNCTION("GOOGLETRANSLATE(B2475,""en"",""zh"")"),"出版商")</f>
        <v>出版商</v>
      </c>
      <c r="I2475" s="2" t="str">
        <f ca="1">IFERROR(__xludf.DUMMYFUNCTION("GOOGLETRANSLATE(B2475,""en"",""gd"")"),"Foillsichear")</f>
        <v>Foillsichear</v>
      </c>
    </row>
    <row r="2476" spans="1:9" ht="14.25" customHeight="1" x14ac:dyDescent="0.3">
      <c r="A2476" s="2">
        <v>2475</v>
      </c>
      <c r="B2476" s="3" t="s">
        <v>2483</v>
      </c>
      <c r="C2476" s="2" t="str">
        <f ca="1">IFERROR(__xludf.DUMMYFUNCTION("GOOGLETRANSLATE(B2476, ""en"",""es"")"),"celebracion")</f>
        <v>celebracion</v>
      </c>
      <c r="D2476" s="2" t="str">
        <f ca="1">IFERROR(__xludf.DUMMYFUNCTION("GOOGLETRANSLATE(B2476,""en"",""ig"")"),"emume omumu")</f>
        <v>emume omumu</v>
      </c>
      <c r="E2476" s="2" t="str">
        <f ca="1">IFERROR(__xludf.DUMMYFUNCTION("GOOGLETRANSLATE(B2476,""en"",""fr"")"),"fête")</f>
        <v>fête</v>
      </c>
      <c r="F2476" s="2" t="str">
        <f ca="1">IFERROR(__xludf.DUMMYFUNCTION("GOOGLETRANSLATE(B2476,""en"",""it"")"),"celebrazione")</f>
        <v>celebrazione</v>
      </c>
      <c r="G2476" s="2" t="str">
        <f ca="1">IFERROR(__xludf.DUMMYFUNCTION("GOOGLETRANSLATE(B2476,""en"",""de"")"),"Feier")</f>
        <v>Feier</v>
      </c>
      <c r="H2476" s="2" t="str">
        <f ca="1">IFERROR(__xludf.DUMMYFUNCTION("GOOGLETRANSLATE(B2476,""en"",""zh"")"),"庆典")</f>
        <v>庆典</v>
      </c>
      <c r="I2476" s="2" t="str">
        <f ca="1">IFERROR(__xludf.DUMMYFUNCTION("GOOGLETRANSLATE(B2476,""en"",""gd"")"),"Comharrachadh")</f>
        <v>Comharrachadh</v>
      </c>
    </row>
    <row r="2477" spans="1:9" ht="14.25" customHeight="1" x14ac:dyDescent="0.3">
      <c r="A2477" s="2">
        <v>2476</v>
      </c>
      <c r="B2477" s="3" t="s">
        <v>2484</v>
      </c>
      <c r="C2477" s="2" t="str">
        <f ca="1">IFERROR(__xludf.DUMMYFUNCTION("GOOGLETRANSLATE(B2477, ""en"",""es"")"),"golf")</f>
        <v>golf</v>
      </c>
      <c r="D2477" s="2" t="str">
        <f ca="1">IFERROR(__xludf.DUMMYFUNCTION("GOOGLETRANSLATE(B2477,""en"",""ig"")"),"goofu")</f>
        <v>goofu</v>
      </c>
      <c r="E2477" s="2" t="str">
        <f ca="1">IFERROR(__xludf.DUMMYFUNCTION("GOOGLETRANSLATE(B2477,""en"",""fr"")"),"le golf")</f>
        <v>le golf</v>
      </c>
      <c r="F2477" s="2" t="str">
        <f ca="1">IFERROR(__xludf.DUMMYFUNCTION("GOOGLETRANSLATE(B2477,""en"",""it"")"),"golf")</f>
        <v>golf</v>
      </c>
      <c r="G2477" s="2" t="str">
        <f ca="1">IFERROR(__xludf.DUMMYFUNCTION("GOOGLETRANSLATE(B2477,""en"",""de"")"),"Golf")</f>
        <v>Golf</v>
      </c>
      <c r="H2477" s="2" t="str">
        <f ca="1">IFERROR(__xludf.DUMMYFUNCTION("GOOGLETRANSLATE(B2477,""en"",""zh"")"),"高尔夫球")</f>
        <v>高尔夫球</v>
      </c>
      <c r="I2477" s="2" t="str">
        <f ca="1">IFERROR(__xludf.DUMMYFUNCTION("GOOGLETRANSLATE(B2477,""en"",""gd"")"),"goilf")</f>
        <v>goilf</v>
      </c>
    </row>
    <row r="2478" spans="1:9" ht="14.25" customHeight="1" x14ac:dyDescent="0.3">
      <c r="A2478" s="2">
        <v>2477</v>
      </c>
      <c r="B2478" s="3" t="s">
        <v>2485</v>
      </c>
      <c r="C2478" s="2" t="str">
        <f ca="1">IFERROR(__xludf.DUMMYFUNCTION("GOOGLETRANSLATE(B2478, ""en"",""es"")"),"compensación")</f>
        <v>compensación</v>
      </c>
      <c r="D2478" s="2" t="str">
        <f ca="1">IFERROR(__xludf.DUMMYFUNCTION("GOOGLETRANSLATE(B2478,""en"",""ig"")"),"mmenyere")</f>
        <v>mmenyere</v>
      </c>
      <c r="E2478" s="2" t="str">
        <f ca="1">IFERROR(__xludf.DUMMYFUNCTION("GOOGLETRANSLATE(B2478,""en"",""fr"")"),"compensation")</f>
        <v>compensation</v>
      </c>
      <c r="F2478" s="2" t="str">
        <f ca="1">IFERROR(__xludf.DUMMYFUNCTION("GOOGLETRANSLATE(B2478,""en"",""it"")"),"compensazione")</f>
        <v>compensazione</v>
      </c>
      <c r="G2478" s="2" t="str">
        <f ca="1">IFERROR(__xludf.DUMMYFUNCTION("GOOGLETRANSLATE(B2478,""en"",""de"")"),"Entschädigung")</f>
        <v>Entschädigung</v>
      </c>
      <c r="H2478" s="2" t="str">
        <f ca="1">IFERROR(__xludf.DUMMYFUNCTION("GOOGLETRANSLATE(B2478,""en"",""zh"")"),"赔偿")</f>
        <v>赔偿</v>
      </c>
      <c r="I2478" s="2" t="str">
        <f ca="1">IFERROR(__xludf.DUMMYFUNCTION("GOOGLETRANSLATE(B2478,""en"",""gd"")"),"Dìoladh")</f>
        <v>Dìoladh</v>
      </c>
    </row>
    <row r="2479" spans="1:9" ht="14.25" customHeight="1" x14ac:dyDescent="0.3">
      <c r="A2479" s="2">
        <v>2478</v>
      </c>
      <c r="B2479" s="3" t="s">
        <v>2486</v>
      </c>
      <c r="C2479" s="2" t="str">
        <f ca="1">IFERROR(__xludf.DUMMYFUNCTION("GOOGLETRANSLATE(B2479, ""en"",""es"")"),"clásico")</f>
        <v>clásico</v>
      </c>
      <c r="D2479" s="2" t="str">
        <f ca="1">IFERROR(__xludf.DUMMYFUNCTION("GOOGLETRANSLATE(B2479,""en"",""ig"")"),"nke okpu")</f>
        <v>nke okpu</v>
      </c>
      <c r="E2479" s="2" t="str">
        <f ca="1">IFERROR(__xludf.DUMMYFUNCTION("GOOGLETRANSLATE(B2479,""en"",""fr"")"),"classique")</f>
        <v>classique</v>
      </c>
      <c r="F2479" s="2" t="str">
        <f ca="1">IFERROR(__xludf.DUMMYFUNCTION("GOOGLETRANSLATE(B2479,""en"",""it"")"),"classico")</f>
        <v>classico</v>
      </c>
      <c r="G2479" s="2" t="str">
        <f ca="1">IFERROR(__xludf.DUMMYFUNCTION("GOOGLETRANSLATE(B2479,""en"",""de"")"),"klassisch")</f>
        <v>klassisch</v>
      </c>
      <c r="H2479" s="2" t="str">
        <f ca="1">IFERROR(__xludf.DUMMYFUNCTION("GOOGLETRANSLATE(B2479,""en"",""zh"")"),"古典")</f>
        <v>古典</v>
      </c>
      <c r="I2479" s="2" t="str">
        <f ca="1">IFERROR(__xludf.DUMMYFUNCTION("GOOGLETRANSLATE(B2479,""en"",""gd"")"),"clasaigeach")</f>
        <v>clasaigeach</v>
      </c>
    </row>
    <row r="2480" spans="1:9" ht="14.25" customHeight="1" x14ac:dyDescent="0.3">
      <c r="A2480" s="2">
        <v>2479</v>
      </c>
      <c r="B2480" s="3" t="s">
        <v>2487</v>
      </c>
      <c r="C2480" s="2" t="str">
        <f ca="1">IFERROR(__xludf.DUMMYFUNCTION("GOOGLETRANSLATE(B2480, ""en"",""es"")"),"pesar")</f>
        <v>pesar</v>
      </c>
      <c r="D2480" s="2" t="str">
        <f ca="1">IFERROR(__xludf.DUMMYFUNCTION("GOOGLETRANSLATE(B2480,""en"",""ig"")"),"itu")</f>
        <v>itu</v>
      </c>
      <c r="E2480" s="2" t="str">
        <f ca="1">IFERROR(__xludf.DUMMYFUNCTION("GOOGLETRANSLATE(B2480,""en"",""fr"")"),"peser")</f>
        <v>peser</v>
      </c>
      <c r="F2480" s="2" t="str">
        <f ca="1">IFERROR(__xludf.DUMMYFUNCTION("GOOGLETRANSLATE(B2480,""en"",""it"")"),"pesare")</f>
        <v>pesare</v>
      </c>
      <c r="G2480" s="2" t="str">
        <f ca="1">IFERROR(__xludf.DUMMYFUNCTION("GOOGLETRANSLATE(B2480,""en"",""de"")"),"wiegen")</f>
        <v>wiegen</v>
      </c>
      <c r="H2480" s="2" t="str">
        <f ca="1">IFERROR(__xludf.DUMMYFUNCTION("GOOGLETRANSLATE(B2480,""en"",""zh"")"),"称重")</f>
        <v>称重</v>
      </c>
      <c r="I2480" s="2" t="str">
        <f ca="1">IFERROR(__xludf.DUMMYFUNCTION("GOOGLETRANSLATE(B2480,""en"",""gd"")"),"cuideam")</f>
        <v>cuideam</v>
      </c>
    </row>
    <row r="2481" spans="1:9" ht="14.25" customHeight="1" x14ac:dyDescent="0.3">
      <c r="A2481" s="2">
        <v>2480</v>
      </c>
      <c r="B2481" s="3" t="s">
        <v>2488</v>
      </c>
      <c r="C2481" s="2" t="str">
        <f ca="1">IFERROR(__xludf.DUMMYFUNCTION("GOOGLETRANSLATE(B2481, ""en"",""es"")"),"versus")</f>
        <v>versus</v>
      </c>
      <c r="D2481" s="2" t="str">
        <f ca="1">IFERROR(__xludf.DUMMYFUNCTION("GOOGLETRANSLATE(B2481,""en"",""ig"")"),"vesos")</f>
        <v>vesos</v>
      </c>
      <c r="E2481" s="2" t="str">
        <f ca="1">IFERROR(__xludf.DUMMYFUNCTION("GOOGLETRANSLATE(B2481,""en"",""fr"")"),"contre")</f>
        <v>contre</v>
      </c>
      <c r="F2481" s="2" t="str">
        <f ca="1">IFERROR(__xludf.DUMMYFUNCTION("GOOGLETRANSLATE(B2481,""en"",""it"")"),"contro")</f>
        <v>contro</v>
      </c>
      <c r="G2481" s="2" t="str">
        <f ca="1">IFERROR(__xludf.DUMMYFUNCTION("GOOGLETRANSLATE(B2481,""en"",""de"")"),"gegen")</f>
        <v>gegen</v>
      </c>
      <c r="H2481" s="2" t="str">
        <f ca="1">IFERROR(__xludf.DUMMYFUNCTION("GOOGLETRANSLATE(B2481,""en"",""zh"")"),"相对")</f>
        <v>相对</v>
      </c>
      <c r="I2481" s="2" t="str">
        <f ca="1">IFERROR(__xludf.DUMMYFUNCTION("GOOGLETRANSLATE(B2481,""en"",""gd"")"),"an aghaidh")</f>
        <v>an aghaidh</v>
      </c>
    </row>
    <row r="2482" spans="1:9" ht="14.25" customHeight="1" x14ac:dyDescent="0.3">
      <c r="A2482" s="2">
        <v>2481</v>
      </c>
      <c r="B2482" s="3" t="s">
        <v>2489</v>
      </c>
      <c r="C2482" s="2" t="str">
        <f ca="1">IFERROR(__xludf.DUMMYFUNCTION("GOOGLETRANSLATE(B2482, ""en"",""es"")"),"déficit")</f>
        <v>déficit</v>
      </c>
      <c r="D2482" s="2" t="str">
        <f ca="1">IFERROR(__xludf.DUMMYFUNCTION("GOOGLETRANSLATE(B2482,""en"",""ig"")"),"mpe")</f>
        <v>mpe</v>
      </c>
      <c r="E2482" s="2" t="str">
        <f ca="1">IFERROR(__xludf.DUMMYFUNCTION("GOOGLETRANSLATE(B2482,""en"",""fr"")"),"déficit")</f>
        <v>déficit</v>
      </c>
      <c r="F2482" s="2" t="str">
        <f ca="1">IFERROR(__xludf.DUMMYFUNCTION("GOOGLETRANSLATE(B2482,""en"",""it"")"),"disavanzo")</f>
        <v>disavanzo</v>
      </c>
      <c r="G2482" s="2" t="str">
        <f ca="1">IFERROR(__xludf.DUMMYFUNCTION("GOOGLETRANSLATE(B2482,""en"",""de"")"),"Defizit")</f>
        <v>Defizit</v>
      </c>
      <c r="H2482" s="2" t="str">
        <f ca="1">IFERROR(__xludf.DUMMYFUNCTION("GOOGLETRANSLATE(B2482,""en"",""zh"")"),"赤字")</f>
        <v>赤字</v>
      </c>
      <c r="I2482" s="2" t="str">
        <f ca="1">IFERROR(__xludf.DUMMYFUNCTION("GOOGLETRANSLATE(B2482,""en"",""gd"")"),"easbhaidh")</f>
        <v>easbhaidh</v>
      </c>
    </row>
    <row r="2483" spans="1:9" ht="14.25" customHeight="1" x14ac:dyDescent="0.3">
      <c r="A2483" s="2">
        <v>2482</v>
      </c>
      <c r="B2483" s="3" t="s">
        <v>2490</v>
      </c>
      <c r="C2483" s="2" t="str">
        <f ca="1">IFERROR(__xludf.DUMMYFUNCTION("GOOGLETRANSLATE(B2483, ""en"",""es"")"),"modificar")</f>
        <v>modificar</v>
      </c>
      <c r="D2483" s="2" t="str">
        <f ca="1">IFERROR(__xludf.DUMMYFUNCTION("GOOGLETRANSLATE(B2483,""en"",""ig"")"),"melata")</f>
        <v>melata</v>
      </c>
      <c r="E2483" s="2" t="str">
        <f ca="1">IFERROR(__xludf.DUMMYFUNCTION("GOOGLETRANSLATE(B2483,""en"",""fr"")"),"modifier")</f>
        <v>modifier</v>
      </c>
      <c r="F2483" s="2" t="str">
        <f ca="1">IFERROR(__xludf.DUMMYFUNCTION("GOOGLETRANSLATE(B2483,""en"",""it"")"),"modificare")</f>
        <v>modificare</v>
      </c>
      <c r="G2483" s="2" t="str">
        <f ca="1">IFERROR(__xludf.DUMMYFUNCTION("GOOGLETRANSLATE(B2483,""en"",""de"")"),"ändern")</f>
        <v>ändern</v>
      </c>
      <c r="H2483" s="2" t="str">
        <f ca="1">IFERROR(__xludf.DUMMYFUNCTION("GOOGLETRANSLATE(B2483,""en"",""zh"")"),"调整")</f>
        <v>调整</v>
      </c>
      <c r="I2483" s="2" t="str">
        <f ca="1">IFERROR(__xludf.DUMMYFUNCTION("GOOGLETRANSLATE(B2483,""en"",""gd"")"),"atharraich")</f>
        <v>atharraich</v>
      </c>
    </row>
    <row r="2484" spans="1:9" ht="14.25" customHeight="1" x14ac:dyDescent="0.3">
      <c r="A2484" s="2">
        <v>2483</v>
      </c>
      <c r="B2484" s="3" t="s">
        <v>2491</v>
      </c>
      <c r="C2484" s="2" t="str">
        <f ca="1">IFERROR(__xludf.DUMMYFUNCTION("GOOGLETRANSLATE(B2484, ""en"",""es"")"),"destello")</f>
        <v>destello</v>
      </c>
      <c r="D2484" s="2" t="str">
        <f ca="1">IFERROR(__xludf.DUMMYFUNCTION("GOOGLETRANSLATE(B2484,""en"",""ig"")"),"ogbugbu")</f>
        <v>ogbugbu</v>
      </c>
      <c r="E2484" s="2" t="str">
        <f ca="1">IFERROR(__xludf.DUMMYFUNCTION("GOOGLETRANSLATE(B2484,""en"",""fr"")"),"éclair")</f>
        <v>éclair</v>
      </c>
      <c r="F2484" s="2" t="str">
        <f ca="1">IFERROR(__xludf.DUMMYFUNCTION("GOOGLETRANSLATE(B2484,""en"",""it"")"),"veloce")</f>
        <v>veloce</v>
      </c>
      <c r="G2484" s="2" t="str">
        <f ca="1">IFERROR(__xludf.DUMMYFUNCTION("GOOGLETRANSLATE(B2484,""en"",""de"")"),"Blitz")</f>
        <v>Blitz</v>
      </c>
      <c r="H2484" s="2" t="str">
        <f ca="1">IFERROR(__xludf.DUMMYFUNCTION("GOOGLETRANSLATE(B2484,""en"",""zh"")"),"闪光")</f>
        <v>闪光</v>
      </c>
      <c r="I2484" s="2" t="str">
        <f ca="1">IFERROR(__xludf.DUMMYFUNCTION("GOOGLETRANSLATE(B2484,""en"",""gd"")"),"Flash")</f>
        <v>Flash</v>
      </c>
    </row>
    <row r="2485" spans="1:9" ht="14.25" customHeight="1" x14ac:dyDescent="0.3">
      <c r="A2485" s="2">
        <v>2484</v>
      </c>
      <c r="B2485" s="3" t="s">
        <v>2492</v>
      </c>
      <c r="C2485" s="2" t="str">
        <f ca="1">IFERROR(__xludf.DUMMYFUNCTION("GOOGLETRANSLATE(B2485, ""en"",""es"")"),"amistad")</f>
        <v>amistad</v>
      </c>
      <c r="D2485" s="2" t="str">
        <f ca="1">IFERROR(__xludf.DUMMYFUNCTION("GOOGLETRANSLATE(B2485,""en"",""ig"")"),"oyi")</f>
        <v>oyi</v>
      </c>
      <c r="E2485" s="2" t="str">
        <f ca="1">IFERROR(__xludf.DUMMYFUNCTION("GOOGLETRANSLATE(B2485,""en"",""fr"")"),"amitié")</f>
        <v>amitié</v>
      </c>
      <c r="F2485" s="2" t="str">
        <f ca="1">IFERROR(__xludf.DUMMYFUNCTION("GOOGLETRANSLATE(B2485,""en"",""it"")"),"amicizia")</f>
        <v>amicizia</v>
      </c>
      <c r="G2485" s="2" t="str">
        <f ca="1">IFERROR(__xludf.DUMMYFUNCTION("GOOGLETRANSLATE(B2485,""en"",""de"")"),"Freundschaft")</f>
        <v>Freundschaft</v>
      </c>
      <c r="H2485" s="2" t="str">
        <f ca="1">IFERROR(__xludf.DUMMYFUNCTION("GOOGLETRANSLATE(B2485,""en"",""zh"")"),"友谊")</f>
        <v>友谊</v>
      </c>
      <c r="I2485" s="2" t="str">
        <f ca="1">IFERROR(__xludf.DUMMYFUNCTION("GOOGLETRANSLATE(B2485,""en"",""gd"")"),"càirdeas")</f>
        <v>càirdeas</v>
      </c>
    </row>
    <row r="2486" spans="1:9" ht="14.25" customHeight="1" x14ac:dyDescent="0.3">
      <c r="A2486" s="2">
        <v>2485</v>
      </c>
      <c r="B2486" s="3" t="s">
        <v>2493</v>
      </c>
      <c r="C2486" s="2" t="str">
        <f ca="1">IFERROR(__xludf.DUMMYFUNCTION("GOOGLETRANSLATE(B2486, ""en"",""es"")"),"profesión")</f>
        <v>profesión</v>
      </c>
      <c r="D2486" s="2" t="str">
        <f ca="1">IFERROR(__xludf.DUMMYFUNCTION("GOOGLETRANSLATE(B2486,""en"",""ig"")"),"aka oru")</f>
        <v>aka oru</v>
      </c>
      <c r="E2486" s="2" t="str">
        <f ca="1">IFERROR(__xludf.DUMMYFUNCTION("GOOGLETRANSLATE(B2486,""en"",""fr"")"),"profession")</f>
        <v>profession</v>
      </c>
      <c r="F2486" s="2" t="str">
        <f ca="1">IFERROR(__xludf.DUMMYFUNCTION("GOOGLETRANSLATE(B2486,""en"",""it"")"),"professione")</f>
        <v>professione</v>
      </c>
      <c r="G2486" s="2" t="str">
        <f ca="1">IFERROR(__xludf.DUMMYFUNCTION("GOOGLETRANSLATE(B2486,""en"",""de"")"),"Beruf")</f>
        <v>Beruf</v>
      </c>
      <c r="H2486" s="2" t="str">
        <f ca="1">IFERROR(__xludf.DUMMYFUNCTION("GOOGLETRANSLATE(B2486,""en"",""zh"")"),"职业")</f>
        <v>职业</v>
      </c>
      <c r="I2486" s="2" t="str">
        <f ca="1">IFERROR(__xludf.DUMMYFUNCTION("GOOGLETRANSLATE(B2486,""en"",""gd"")"),"dreuchd")</f>
        <v>dreuchd</v>
      </c>
    </row>
    <row r="2487" spans="1:9" ht="14.25" customHeight="1" x14ac:dyDescent="0.3">
      <c r="A2487" s="2">
        <v>2486</v>
      </c>
      <c r="B2487" s="3" t="s">
        <v>2494</v>
      </c>
      <c r="C2487" s="2" t="str">
        <f ca="1">IFERROR(__xludf.DUMMYFUNCTION("GOOGLETRANSLATE(B2487, ""en"",""es"")"),"literalmente")</f>
        <v>literalmente</v>
      </c>
      <c r="D2487" s="2" t="str">
        <f ca="1">IFERROR(__xludf.DUMMYFUNCTION("GOOGLETRANSLATE(B2487,""en"",""ig"")"),"udi nkiti")</f>
        <v>udi nkiti</v>
      </c>
      <c r="E2487" s="2" t="str">
        <f ca="1">IFERROR(__xludf.DUMMYFUNCTION("GOOGLETRANSLATE(B2487,""en"",""fr"")"),"littéralement")</f>
        <v>littéralement</v>
      </c>
      <c r="F2487" s="2" t="str">
        <f ca="1">IFERROR(__xludf.DUMMYFUNCTION("GOOGLETRANSLATE(B2487,""en"",""it"")"),"letteralmente")</f>
        <v>letteralmente</v>
      </c>
      <c r="G2487" s="2" t="str">
        <f ca="1">IFERROR(__xludf.DUMMYFUNCTION("GOOGLETRANSLATE(B2487,""en"",""de"")"),"buchstäblich")</f>
        <v>buchstäblich</v>
      </c>
      <c r="H2487" s="2" t="str">
        <f ca="1">IFERROR(__xludf.DUMMYFUNCTION("GOOGLETRANSLATE(B2487,""en"",""zh"")"),"字面上地")</f>
        <v>字面上地</v>
      </c>
      <c r="I2487" s="2" t="str">
        <f ca="1">IFERROR(__xludf.DUMMYFUNCTION("GOOGLETRANSLATE(B2487,""en"",""gd"")"),"gu litearra")</f>
        <v>gu litearra</v>
      </c>
    </row>
    <row r="2488" spans="1:9" ht="14.25" customHeight="1" x14ac:dyDescent="0.3">
      <c r="A2488" s="2">
        <v>2487</v>
      </c>
      <c r="B2488" s="3" t="s">
        <v>2495</v>
      </c>
      <c r="C2488" s="2" t="str">
        <f ca="1">IFERROR(__xludf.DUMMYFUNCTION("GOOGLETRANSLATE(B2488, ""en"",""es"")"),"ecuación")</f>
        <v>ecuación</v>
      </c>
      <c r="D2488" s="2" t="str">
        <f ca="1">IFERROR(__xludf.DUMMYFUNCTION("GOOGLETRANSLATE(B2488,""en"",""ig"")"),"ohiha")</f>
        <v>ohiha</v>
      </c>
      <c r="E2488" s="2" t="str">
        <f ca="1">IFERROR(__xludf.DUMMYFUNCTION("GOOGLETRANSLATE(B2488,""en"",""fr"")"),"équation")</f>
        <v>équation</v>
      </c>
      <c r="F2488" s="2" t="str">
        <f ca="1">IFERROR(__xludf.DUMMYFUNCTION("GOOGLETRANSLATE(B2488,""en"",""it"")"),"equazione")</f>
        <v>equazione</v>
      </c>
      <c r="G2488" s="2" t="str">
        <f ca="1">IFERROR(__xludf.DUMMYFUNCTION("GOOGLETRANSLATE(B2488,""en"",""de"")"),"Gleichung")</f>
        <v>Gleichung</v>
      </c>
      <c r="H2488" s="2" t="str">
        <f ca="1">IFERROR(__xludf.DUMMYFUNCTION("GOOGLETRANSLATE(B2488,""en"",""zh"")"),"方程")</f>
        <v>方程</v>
      </c>
      <c r="I2488" s="2" t="str">
        <f ca="1">IFERROR(__xludf.DUMMYFUNCTION("GOOGLETRANSLATE(B2488,""en"",""gd"")"),"co-aontar")</f>
        <v>co-aontar</v>
      </c>
    </row>
    <row r="2489" spans="1:9" ht="14.25" customHeight="1" x14ac:dyDescent="0.3">
      <c r="A2489" s="2">
        <v>2488</v>
      </c>
      <c r="B2489" s="3" t="s">
        <v>2496</v>
      </c>
      <c r="C2489" s="2" t="str">
        <f ca="1">IFERROR(__xludf.DUMMYFUNCTION("GOOGLETRANSLATE(B2489, ""en"",""es"")"),"gesto")</f>
        <v>gesto</v>
      </c>
      <c r="D2489" s="2" t="str">
        <f ca="1">IFERROR(__xludf.DUMMYFUNCTION("GOOGLETRANSLATE(B2489,""en"",""ig"")"),"ihe ahu ekwu ekwu")</f>
        <v>ihe ahu ekwu ekwu</v>
      </c>
      <c r="E2489" s="2" t="str">
        <f ca="1">IFERROR(__xludf.DUMMYFUNCTION("GOOGLETRANSLATE(B2489,""en"",""fr"")"),"geste")</f>
        <v>geste</v>
      </c>
      <c r="F2489" s="2" t="str">
        <f ca="1">IFERROR(__xludf.DUMMYFUNCTION("GOOGLETRANSLATE(B2489,""en"",""it"")"),"gesto")</f>
        <v>gesto</v>
      </c>
      <c r="G2489" s="2" t="str">
        <f ca="1">IFERROR(__xludf.DUMMYFUNCTION("GOOGLETRANSLATE(B2489,""en"",""de"")"),"Geste")</f>
        <v>Geste</v>
      </c>
      <c r="H2489" s="2" t="str">
        <f ca="1">IFERROR(__xludf.DUMMYFUNCTION("GOOGLETRANSLATE(B2489,""en"",""zh"")"),"手势")</f>
        <v>手势</v>
      </c>
      <c r="I2489" s="2" t="str">
        <f ca="1">IFERROR(__xludf.DUMMYFUNCTION("GOOGLETRANSLATE(B2489,""en"",""gd"")"),"gluasad-bodhaig")</f>
        <v>gluasad-bodhaig</v>
      </c>
    </row>
    <row r="2490" spans="1:9" ht="14.25" customHeight="1" x14ac:dyDescent="0.3">
      <c r="A2490" s="2">
        <v>2489</v>
      </c>
      <c r="B2490" s="3" t="s">
        <v>2497</v>
      </c>
      <c r="C2490" s="2" t="str">
        <f ca="1">IFERROR(__xludf.DUMMYFUNCTION("GOOGLETRANSLATE(B2490, ""en"",""es"")"),"entretener")</f>
        <v>entretener</v>
      </c>
      <c r="D2490" s="2" t="str">
        <f ca="1">IFERROR(__xludf.DUMMYFUNCTION("GOOGLETRANSLATE(B2490,""en"",""ig"")"),"ikwo obia")</f>
        <v>ikwo obia</v>
      </c>
      <c r="E2490" s="2" t="str">
        <f ca="1">IFERROR(__xludf.DUMMYFUNCTION("GOOGLETRANSLATE(B2490,""en"",""fr"")"),"divertir")</f>
        <v>divertir</v>
      </c>
      <c r="F2490" s="2" t="str">
        <f ca="1">IFERROR(__xludf.DUMMYFUNCTION("GOOGLETRANSLATE(B2490,""en"",""it"")"),"intrattenere")</f>
        <v>intrattenere</v>
      </c>
      <c r="G2490" s="2" t="str">
        <f ca="1">IFERROR(__xludf.DUMMYFUNCTION("GOOGLETRANSLATE(B2490,""en"",""de"")"),"unterhalten")</f>
        <v>unterhalten</v>
      </c>
      <c r="H2490" s="2" t="str">
        <f ca="1">IFERROR(__xludf.DUMMYFUNCTION("GOOGLETRANSLATE(B2490,""en"",""zh"")"),"招待")</f>
        <v>招待</v>
      </c>
      <c r="I2490" s="2" t="str">
        <f ca="1">IFERROR(__xludf.DUMMYFUNCTION("GOOGLETRANSLATE(B2490,""en"",""gd"")"),"a 'toirt aoigheachd")</f>
        <v>a 'toirt aoigheachd</v>
      </c>
    </row>
    <row r="2491" spans="1:9" ht="14.25" customHeight="1" x14ac:dyDescent="0.3">
      <c r="A2491" s="2">
        <v>2490</v>
      </c>
      <c r="B2491" s="3" t="s">
        <v>2498</v>
      </c>
      <c r="C2491" s="2" t="str">
        <f ca="1">IFERROR(__xludf.DUMMYFUNCTION("GOOGLETRANSLATE(B2491, ""en"",""es"")"),"fantástico")</f>
        <v>fantástico</v>
      </c>
      <c r="D2491" s="2" t="str">
        <f ca="1">IFERROR(__xludf.DUMMYFUNCTION("GOOGLETRANSLATE(B2491,""en"",""ig"")"),"kediegwu")</f>
        <v>kediegwu</v>
      </c>
      <c r="E2491" s="2" t="str">
        <f ca="1">IFERROR(__xludf.DUMMYFUNCTION("GOOGLETRANSLATE(B2491,""en"",""fr"")"),"fantastique")</f>
        <v>fantastique</v>
      </c>
      <c r="F2491" s="2" t="str">
        <f ca="1">IFERROR(__xludf.DUMMYFUNCTION("GOOGLETRANSLATE(B2491,""en"",""it"")"),"fantastico")</f>
        <v>fantastico</v>
      </c>
      <c r="G2491" s="2" t="str">
        <f ca="1">IFERROR(__xludf.DUMMYFUNCTION("GOOGLETRANSLATE(B2491,""en"",""de"")"),"fantastisch")</f>
        <v>fantastisch</v>
      </c>
      <c r="H2491" s="2" t="str">
        <f ca="1">IFERROR(__xludf.DUMMYFUNCTION("GOOGLETRANSLATE(B2491,""en"",""zh"")"),"极好的")</f>
        <v>极好的</v>
      </c>
      <c r="I2491" s="2" t="str">
        <f ca="1">IFERROR(__xludf.DUMMYFUNCTION("GOOGLETRANSLATE(B2491,""en"",""gd"")"),"mìorbhuileach")</f>
        <v>mìorbhuileach</v>
      </c>
    </row>
    <row r="2492" spans="1:9" ht="14.25" customHeight="1" x14ac:dyDescent="0.3">
      <c r="A2492" s="2">
        <v>2491</v>
      </c>
      <c r="B2492" s="3" t="s">
        <v>2499</v>
      </c>
      <c r="C2492" s="2" t="str">
        <f ca="1">IFERROR(__xludf.DUMMYFUNCTION("GOOGLETRANSLATE(B2492, ""en"",""es"")"),"asignar")</f>
        <v>asignar</v>
      </c>
      <c r="D2492" s="2" t="str">
        <f ca="1">IFERROR(__xludf.DUMMYFUNCTION("GOOGLETRANSLATE(B2492,""en"",""ig"")"),"inye olu")</f>
        <v>inye olu</v>
      </c>
      <c r="E2492" s="2" t="str">
        <f ca="1">IFERROR(__xludf.DUMMYFUNCTION("GOOGLETRANSLATE(B2492,""en"",""fr"")"),"attribuer")</f>
        <v>attribuer</v>
      </c>
      <c r="F2492" s="2" t="str">
        <f ca="1">IFERROR(__xludf.DUMMYFUNCTION("GOOGLETRANSLATE(B2492,""en"",""it"")"),"assegnare")</f>
        <v>assegnare</v>
      </c>
      <c r="G2492" s="2" t="str">
        <f ca="1">IFERROR(__xludf.DUMMYFUNCTION("GOOGLETRANSLATE(B2492,""en"",""de"")"),"zuordnen")</f>
        <v>zuordnen</v>
      </c>
      <c r="H2492" s="2" t="str">
        <f ca="1">IFERROR(__xludf.DUMMYFUNCTION("GOOGLETRANSLATE(B2492,""en"",""zh"")"),"分配")</f>
        <v>分配</v>
      </c>
      <c r="I2492" s="2" t="str">
        <f ca="1">IFERROR(__xludf.DUMMYFUNCTION("GOOGLETRANSLATE(B2492,""en"",""gd"")"),"Sònrachadh")</f>
        <v>Sònrachadh</v>
      </c>
    </row>
    <row r="2493" spans="1:9" ht="14.25" customHeight="1" x14ac:dyDescent="0.3">
      <c r="A2493" s="2">
        <v>2492</v>
      </c>
      <c r="B2493" s="3" t="s">
        <v>2500</v>
      </c>
      <c r="C2493" s="2" t="str">
        <f ca="1">IFERROR(__xludf.DUMMYFUNCTION("GOOGLETRANSLATE(B2493, ""en"",""es"")"),"inflación")</f>
        <v>inflación</v>
      </c>
      <c r="D2493" s="2" t="str">
        <f ca="1">IFERROR(__xludf.DUMMYFUNCTION("GOOGLETRANSLATE(B2493,""en"",""ig"")"),"onu oriri")</f>
        <v>onu oriri</v>
      </c>
      <c r="E2493" s="2" t="str">
        <f ca="1">IFERROR(__xludf.DUMMYFUNCTION("GOOGLETRANSLATE(B2493,""en"",""fr"")"),"inflation")</f>
        <v>inflation</v>
      </c>
      <c r="F2493" s="2" t="str">
        <f ca="1">IFERROR(__xludf.DUMMYFUNCTION("GOOGLETRANSLATE(B2493,""en"",""it"")"),"inflazione")</f>
        <v>inflazione</v>
      </c>
      <c r="G2493" s="2" t="str">
        <f ca="1">IFERROR(__xludf.DUMMYFUNCTION("GOOGLETRANSLATE(B2493,""en"",""de"")"),"Inflation")</f>
        <v>Inflation</v>
      </c>
      <c r="H2493" s="2" t="str">
        <f ca="1">IFERROR(__xludf.DUMMYFUNCTION("GOOGLETRANSLATE(B2493,""en"",""zh"")"),"通货膨胀")</f>
        <v>通货膨胀</v>
      </c>
      <c r="I2493" s="2" t="str">
        <f ca="1">IFERROR(__xludf.DUMMYFUNCTION("GOOGLETRANSLATE(B2493,""en"",""gd"")"),"Atmhorachd")</f>
        <v>Atmhorachd</v>
      </c>
    </row>
    <row r="2494" spans="1:9" ht="14.25" customHeight="1" x14ac:dyDescent="0.3">
      <c r="A2494" s="2">
        <v>2493</v>
      </c>
      <c r="B2494" s="3" t="s">
        <v>2501</v>
      </c>
      <c r="C2494" s="2" t="str">
        <f ca="1">IFERROR(__xludf.DUMMYFUNCTION("GOOGLETRANSLATE(B2494, ""en"",""es"")"),"histórico")</f>
        <v>histórico</v>
      </c>
      <c r="D2494" s="2" t="str">
        <f ca="1">IFERROR(__xludf.DUMMYFUNCTION("GOOGLETRANSLATE(B2494,""en"",""ig"")"),"keakukoala")</f>
        <v>keakukoala</v>
      </c>
      <c r="E2494" s="2" t="str">
        <f ca="1">IFERROR(__xludf.DUMMYFUNCTION("GOOGLETRANSLATE(B2494,""en"",""fr"")"),"historique")</f>
        <v>historique</v>
      </c>
      <c r="F2494" s="2" t="str">
        <f ca="1">IFERROR(__xludf.DUMMYFUNCTION("GOOGLETRANSLATE(B2494,""en"",""it"")"),"storico")</f>
        <v>storico</v>
      </c>
      <c r="G2494" s="2" t="str">
        <f ca="1">IFERROR(__xludf.DUMMYFUNCTION("GOOGLETRANSLATE(B2494,""en"",""de"")"),"historisch")</f>
        <v>historisch</v>
      </c>
      <c r="H2494" s="2" t="str">
        <f ca="1">IFERROR(__xludf.DUMMYFUNCTION("GOOGLETRANSLATE(B2494,""en"",""zh"")"),"历史性")</f>
        <v>历史性</v>
      </c>
      <c r="I2494" s="2" t="str">
        <f ca="1">IFERROR(__xludf.DUMMYFUNCTION("GOOGLETRANSLATE(B2494,""en"",""gd"")"),"eachdraidheil")</f>
        <v>eachdraidheil</v>
      </c>
    </row>
    <row r="2495" spans="1:9" ht="14.25" customHeight="1" x14ac:dyDescent="0.3">
      <c r="A2495" s="2">
        <v>2494</v>
      </c>
      <c r="B2495" s="3" t="s">
        <v>2502</v>
      </c>
      <c r="C2495" s="2" t="str">
        <f ca="1">IFERROR(__xludf.DUMMYFUNCTION("GOOGLETRANSLATE(B2495, ""en"",""es"")"),"lesionar")</f>
        <v>lesionar</v>
      </c>
      <c r="D2495" s="2" t="str">
        <f ca="1">IFERROR(__xludf.DUMMYFUNCTION("GOOGLETRANSLATE(B2495,""en"",""ig"")"),"mmeru ahu")</f>
        <v>mmeru ahu</v>
      </c>
      <c r="E2495" s="2" t="str">
        <f ca="1">IFERROR(__xludf.DUMMYFUNCTION("GOOGLETRANSLATE(B2495,""en"",""fr"")"),"blesser")</f>
        <v>blesser</v>
      </c>
      <c r="F2495" s="2" t="str">
        <f ca="1">IFERROR(__xludf.DUMMYFUNCTION("GOOGLETRANSLATE(B2495,""en"",""it"")"),"ferire")</f>
        <v>ferire</v>
      </c>
      <c r="G2495" s="2" t="str">
        <f ca="1">IFERROR(__xludf.DUMMYFUNCTION("GOOGLETRANSLATE(B2495,""en"",""de"")"),"verletzen")</f>
        <v>verletzen</v>
      </c>
      <c r="H2495" s="2" t="str">
        <f ca="1">IFERROR(__xludf.DUMMYFUNCTION("GOOGLETRANSLATE(B2495,""en"",""zh"")"),"损伤")</f>
        <v>损伤</v>
      </c>
      <c r="I2495" s="2" t="str">
        <f ca="1">IFERROR(__xludf.DUMMYFUNCTION("GOOGLETRANSLATE(B2495,""en"",""gd"")"),"leòn")</f>
        <v>leòn</v>
      </c>
    </row>
    <row r="2496" spans="1:9" ht="14.25" customHeight="1" x14ac:dyDescent="0.3">
      <c r="A2496" s="2">
        <v>2495</v>
      </c>
      <c r="B2496" s="3" t="s">
        <v>2503</v>
      </c>
      <c r="C2496" s="2" t="str">
        <f ca="1">IFERROR(__xludf.DUMMYFUNCTION("GOOGLETRANSLATE(B2496, ""en"",""es"")"),"remoto")</f>
        <v>remoto</v>
      </c>
      <c r="D2496" s="2" t="str">
        <f ca="1">IFERROR(__xludf.DUMMYFUNCTION("GOOGLETRANSLATE(B2496,""en"",""ig"")"),"nke anya")</f>
        <v>nke anya</v>
      </c>
      <c r="E2496" s="2" t="str">
        <f ca="1">IFERROR(__xludf.DUMMYFUNCTION("GOOGLETRANSLATE(B2496,""en"",""fr"")"),"télécommande")</f>
        <v>télécommande</v>
      </c>
      <c r="F2496" s="2" t="str">
        <f ca="1">IFERROR(__xludf.DUMMYFUNCTION("GOOGLETRANSLATE(B2496,""en"",""it"")"),"a distanza")</f>
        <v>a distanza</v>
      </c>
      <c r="G2496" s="2" t="str">
        <f ca="1">IFERROR(__xludf.DUMMYFUNCTION("GOOGLETRANSLATE(B2496,""en"",""de"")"),"Fernbedienung")</f>
        <v>Fernbedienung</v>
      </c>
      <c r="H2496" s="2" t="str">
        <f ca="1">IFERROR(__xludf.DUMMYFUNCTION("GOOGLETRANSLATE(B2496,""en"",""zh"")"),"偏僻的")</f>
        <v>偏僻的</v>
      </c>
      <c r="I2496" s="2" t="str">
        <f ca="1">IFERROR(__xludf.DUMMYFUNCTION("GOOGLETRANSLATE(B2496,""en"",""gd"")"),"iomallach")</f>
        <v>iomallach</v>
      </c>
    </row>
    <row r="2497" spans="1:9" ht="14.25" customHeight="1" x14ac:dyDescent="0.3">
      <c r="A2497" s="2">
        <v>2496</v>
      </c>
      <c r="B2497" s="3" t="s">
        <v>2504</v>
      </c>
      <c r="C2497" s="2" t="str">
        <f ca="1">IFERROR(__xludf.DUMMYFUNCTION("GOOGLETRANSLATE(B2497, ""en"",""es"")"),"terapia")</f>
        <v>terapia</v>
      </c>
      <c r="D2497" s="2" t="str">
        <f ca="1">IFERROR(__xludf.DUMMYFUNCTION("GOOGLETRANSLATE(B2497,""en"",""ig"")"),"terapi")</f>
        <v>terapi</v>
      </c>
      <c r="E2497" s="2" t="str">
        <f ca="1">IFERROR(__xludf.DUMMYFUNCTION("GOOGLETRANSLATE(B2497,""en"",""fr"")"),"thérapie")</f>
        <v>thérapie</v>
      </c>
      <c r="F2497" s="2" t="str">
        <f ca="1">IFERROR(__xludf.DUMMYFUNCTION("GOOGLETRANSLATE(B2497,""en"",""it"")"),"terapia")</f>
        <v>terapia</v>
      </c>
      <c r="G2497" s="2" t="str">
        <f ca="1">IFERROR(__xludf.DUMMYFUNCTION("GOOGLETRANSLATE(B2497,""en"",""de"")"),"Therapie")</f>
        <v>Therapie</v>
      </c>
      <c r="H2497" s="2" t="str">
        <f ca="1">IFERROR(__xludf.DUMMYFUNCTION("GOOGLETRANSLATE(B2497,""en"",""zh"")"),"治疗")</f>
        <v>治疗</v>
      </c>
      <c r="I2497" s="2" t="str">
        <f ca="1">IFERROR(__xludf.DUMMYFUNCTION("GOOGLETRANSLATE(B2497,""en"",""gd"")"),"leigheas")</f>
        <v>leigheas</v>
      </c>
    </row>
    <row r="2498" spans="1:9" ht="14.25" customHeight="1" x14ac:dyDescent="0.3">
      <c r="A2498" s="2">
        <v>2497</v>
      </c>
      <c r="B2498" s="3" t="s">
        <v>2505</v>
      </c>
      <c r="C2498" s="2" t="str">
        <f ca="1">IFERROR(__xludf.DUMMYFUNCTION("GOOGLETRANSLATE(B2498, ""en"",""es"")"),"naranja")</f>
        <v>naranja</v>
      </c>
      <c r="D2498" s="2" t="str">
        <f ca="1">IFERROR(__xludf.DUMMYFUNCTION("GOOGLETRANSLATE(B2498,""en"",""ig"")"),"oroma")</f>
        <v>oroma</v>
      </c>
      <c r="E2498" s="2" t="str">
        <f ca="1">IFERROR(__xludf.DUMMYFUNCTION("GOOGLETRANSLATE(B2498,""en"",""fr"")"),"orange")</f>
        <v>orange</v>
      </c>
      <c r="F2498" s="2" t="str">
        <f ca="1">IFERROR(__xludf.DUMMYFUNCTION("GOOGLETRANSLATE(B2498,""en"",""it"")"),"arancia")</f>
        <v>arancia</v>
      </c>
      <c r="G2498" s="2" t="str">
        <f ca="1">IFERROR(__xludf.DUMMYFUNCTION("GOOGLETRANSLATE(B2498,""en"",""de"")"),"orange")</f>
        <v>orange</v>
      </c>
      <c r="H2498" s="2" t="str">
        <f ca="1">IFERROR(__xludf.DUMMYFUNCTION("GOOGLETRANSLATE(B2498,""en"",""zh"")"),"橙子")</f>
        <v>橙子</v>
      </c>
      <c r="I2498" s="2" t="str">
        <f ca="1">IFERROR(__xludf.DUMMYFUNCTION("GOOGLETRANSLATE(B2498,""en"",""gd"")"),"orains")</f>
        <v>orains</v>
      </c>
    </row>
    <row r="2499" spans="1:9" ht="14.25" customHeight="1" x14ac:dyDescent="0.3">
      <c r="A2499" s="2">
        <v>2498</v>
      </c>
      <c r="B2499" s="3" t="s">
        <v>2506</v>
      </c>
      <c r="C2499" s="2" t="str">
        <f ca="1">IFERROR(__xludf.DUMMYFUNCTION("GOOGLETRANSLATE(B2499, ""en"",""es"")"),"girar")</f>
        <v>girar</v>
      </c>
      <c r="D2499" s="2" t="str">
        <f ca="1">IFERROR(__xludf.DUMMYFUNCTION("GOOGLETRANSLATE(B2499,""en"",""ig"")"),"ighikota")</f>
        <v>ighikota</v>
      </c>
      <c r="E2499" s="2" t="str">
        <f ca="1">IFERROR(__xludf.DUMMYFUNCTION("GOOGLETRANSLATE(B2499,""en"",""fr"")"),"torsion")</f>
        <v>torsion</v>
      </c>
      <c r="F2499" s="2" t="str">
        <f ca="1">IFERROR(__xludf.DUMMYFUNCTION("GOOGLETRANSLATE(B2499,""en"",""it"")"),"intrecciare")</f>
        <v>intrecciare</v>
      </c>
      <c r="G2499" s="2" t="str">
        <f ca="1">IFERROR(__xludf.DUMMYFUNCTION("GOOGLETRANSLATE(B2499,""en"",""de"")"),"Twist")</f>
        <v>Twist</v>
      </c>
      <c r="H2499" s="2" t="str">
        <f ca="1">IFERROR(__xludf.DUMMYFUNCTION("GOOGLETRANSLATE(B2499,""en"",""zh"")"),"捻")</f>
        <v>捻</v>
      </c>
      <c r="I2499" s="2" t="str">
        <f ca="1">IFERROR(__xludf.DUMMYFUNCTION("GOOGLETRANSLATE(B2499,""en"",""gd"")"),"toinneamh")</f>
        <v>toinneamh</v>
      </c>
    </row>
    <row r="2500" spans="1:9" ht="14.25" customHeight="1" x14ac:dyDescent="0.3">
      <c r="A2500" s="2">
        <v>2499</v>
      </c>
      <c r="B2500" s="3" t="s">
        <v>2507</v>
      </c>
      <c r="C2500" s="2" t="str">
        <f ca="1">IFERROR(__xludf.DUMMYFUNCTION("GOOGLETRANSLATE(B2500, ""en"",""es"")"),"personal")</f>
        <v>personal</v>
      </c>
      <c r="D2500" s="2" t="str">
        <f ca="1">IFERROR(__xludf.DUMMYFUNCTION("GOOGLETRANSLATE(B2500,""en"",""ig"")"),"pesonel")</f>
        <v>pesonel</v>
      </c>
      <c r="E2500" s="2" t="str">
        <f ca="1">IFERROR(__xludf.DUMMYFUNCTION("GOOGLETRANSLATE(B2500,""en"",""fr"")"),"personnel")</f>
        <v>personnel</v>
      </c>
      <c r="F2500" s="2" t="str">
        <f ca="1">IFERROR(__xludf.DUMMYFUNCTION("GOOGLETRANSLATE(B2500,""en"",""it"")"),"personale")</f>
        <v>personale</v>
      </c>
      <c r="G2500" s="2" t="str">
        <f ca="1">IFERROR(__xludf.DUMMYFUNCTION("GOOGLETRANSLATE(B2500,""en"",""de"")"),"Personal")</f>
        <v>Personal</v>
      </c>
      <c r="H2500" s="2" t="str">
        <f ca="1">IFERROR(__xludf.DUMMYFUNCTION("GOOGLETRANSLATE(B2500,""en"",""zh"")"),"人员")</f>
        <v>人员</v>
      </c>
      <c r="I2500" s="2" t="str">
        <f ca="1">IFERROR(__xludf.DUMMYFUNCTION("GOOGLETRANSLATE(B2500,""en"",""gd"")"),"luchd-obrach")</f>
        <v>luchd-obrach</v>
      </c>
    </row>
    <row r="2501" spans="1:9" ht="14.25" customHeight="1" x14ac:dyDescent="0.3">
      <c r="A2501" s="2">
        <v>2500</v>
      </c>
      <c r="B2501" s="3" t="s">
        <v>2508</v>
      </c>
      <c r="C2501" s="2" t="str">
        <f ca="1">IFERROR(__xludf.DUMMYFUNCTION("GOOGLETRANSLATE(B2501, ""en"",""es"")"),"imaginación")</f>
        <v>imaginación</v>
      </c>
      <c r="D2501" s="2" t="str">
        <f ca="1">IFERROR(__xludf.DUMMYFUNCTION("GOOGLETRANSLATE(B2501,""en"",""ig"")"),"enyouche")</f>
        <v>enyouche</v>
      </c>
      <c r="E2501" s="2" t="str">
        <f ca="1">IFERROR(__xludf.DUMMYFUNCTION("GOOGLETRANSLATE(B2501,""en"",""fr"")"),"imagination")</f>
        <v>imagination</v>
      </c>
      <c r="F2501" s="2" t="str">
        <f ca="1">IFERROR(__xludf.DUMMYFUNCTION("GOOGLETRANSLATE(B2501,""en"",""it"")"),"immaginazione")</f>
        <v>immaginazione</v>
      </c>
      <c r="G2501" s="2" t="str">
        <f ca="1">IFERROR(__xludf.DUMMYFUNCTION("GOOGLETRANSLATE(B2501,""en"",""de"")"),"Vorstellung")</f>
        <v>Vorstellung</v>
      </c>
      <c r="H2501" s="2" t="str">
        <f ca="1">IFERROR(__xludf.DUMMYFUNCTION("GOOGLETRANSLATE(B2501,""en"",""zh"")"),"想像力")</f>
        <v>想像力</v>
      </c>
      <c r="I2501" s="2" t="str">
        <f ca="1">IFERROR(__xludf.DUMMYFUNCTION("GOOGLETRANSLATE(B2501,""en"",""gd"")"),"Ìomhaighean")</f>
        <v>Ìomhaighean</v>
      </c>
    </row>
    <row r="2502" spans="1:9" ht="14.25" customHeight="1" x14ac:dyDescent="0.3">
      <c r="A2502" s="2">
        <v>2501</v>
      </c>
      <c r="B2502" s="3" t="s">
        <v>2509</v>
      </c>
      <c r="C2502" s="2" t="str">
        <f ca="1">IFERROR(__xludf.DUMMYFUNCTION("GOOGLETRANSLATE(B2502, ""en"",""es"")"),"discrepar")</f>
        <v>discrepar</v>
      </c>
      <c r="D2502" s="2" t="str">
        <f ca="1">IFERROR(__xludf.DUMMYFUNCTION("GOOGLETRANSLATE(B2502,""en"",""ig"")"),"iju aju")</f>
        <v>iju aju</v>
      </c>
      <c r="E2502" s="2" t="str">
        <f ca="1">IFERROR(__xludf.DUMMYFUNCTION("GOOGLETRANSLATE(B2502,""en"",""fr"")"),"être en désaccord")</f>
        <v>être en désaccord</v>
      </c>
      <c r="F2502" s="2" t="str">
        <f ca="1">IFERROR(__xludf.DUMMYFUNCTION("GOOGLETRANSLATE(B2502,""en"",""it"")"),"disaccordo")</f>
        <v>disaccordo</v>
      </c>
      <c r="G2502" s="2" t="str">
        <f ca="1">IFERROR(__xludf.DUMMYFUNCTION("GOOGLETRANSLATE(B2502,""en"",""de"")"),"verschiedener Meinung sein")</f>
        <v>verschiedener Meinung sein</v>
      </c>
      <c r="H2502" s="2" t="str">
        <f ca="1">IFERROR(__xludf.DUMMYFUNCTION("GOOGLETRANSLATE(B2502,""en"",""zh"")"),"不同意")</f>
        <v>不同意</v>
      </c>
      <c r="I2502" s="2" t="str">
        <f ca="1">IFERROR(__xludf.DUMMYFUNCTION("GOOGLETRANSLATE(B2502,""en"",""gd"")"),"Eas-aonta")</f>
        <v>Eas-aonta</v>
      </c>
    </row>
    <row r="2503" spans="1:9" ht="14.25" customHeight="1" x14ac:dyDescent="0.3">
      <c r="A2503" s="2">
        <v>2502</v>
      </c>
      <c r="B2503" s="3" t="s">
        <v>2510</v>
      </c>
      <c r="C2503" s="2" t="str">
        <f ca="1">IFERROR(__xludf.DUMMYFUNCTION("GOOGLETRANSLATE(B2503, ""en"",""es"")"),"garganta")</f>
        <v>garganta</v>
      </c>
      <c r="D2503" s="2" t="str">
        <f ca="1">IFERROR(__xludf.DUMMYFUNCTION("GOOGLETRANSLATE(B2503,""en"",""ig"")"),"akpiri")</f>
        <v>akpiri</v>
      </c>
      <c r="E2503" s="2" t="str">
        <f ca="1">IFERROR(__xludf.DUMMYFUNCTION("GOOGLETRANSLATE(B2503,""en"",""fr"")"),"gorge")</f>
        <v>gorge</v>
      </c>
      <c r="F2503" s="2" t="str">
        <f ca="1">IFERROR(__xludf.DUMMYFUNCTION("GOOGLETRANSLATE(B2503,""en"",""it"")"),"gola")</f>
        <v>gola</v>
      </c>
      <c r="G2503" s="2" t="str">
        <f ca="1">IFERROR(__xludf.DUMMYFUNCTION("GOOGLETRANSLATE(B2503,""en"",""de"")"),"Kehle")</f>
        <v>Kehle</v>
      </c>
      <c r="H2503" s="2" t="str">
        <f ca="1">IFERROR(__xludf.DUMMYFUNCTION("GOOGLETRANSLATE(B2503,""en"",""zh"")"),"喉")</f>
        <v>喉</v>
      </c>
      <c r="I2503" s="2" t="str">
        <f ca="1">IFERROR(__xludf.DUMMYFUNCTION("GOOGLETRANSLATE(B2503,""en"",""gd"")"),"amhach")</f>
        <v>amhach</v>
      </c>
    </row>
    <row r="2504" spans="1:9" ht="14.25" customHeight="1" x14ac:dyDescent="0.3">
      <c r="A2504" s="2">
        <v>2503</v>
      </c>
      <c r="B2504" s="3" t="s">
        <v>2511</v>
      </c>
      <c r="C2504" s="2" t="str">
        <f ca="1">IFERROR(__xludf.DUMMYFUNCTION("GOOGLETRANSLATE(B2504, ""en"",""es"")"),"conocimiento")</f>
        <v>conocimiento</v>
      </c>
      <c r="D2504" s="2" t="str">
        <f ca="1">IFERROR(__xludf.DUMMYFUNCTION("GOOGLETRANSLATE(B2504,""en"",""ig"")"),"anya okenya")</f>
        <v>anya okenya</v>
      </c>
      <c r="E2504" s="2" t="str">
        <f ca="1">IFERROR(__xludf.DUMMYFUNCTION("GOOGLETRANSLATE(B2504,""en"",""fr"")"),"aperçu")</f>
        <v>aperçu</v>
      </c>
      <c r="F2504" s="2" t="str">
        <f ca="1">IFERROR(__xludf.DUMMYFUNCTION("GOOGLETRANSLATE(B2504,""en"",""it"")"),"intuizione")</f>
        <v>intuizione</v>
      </c>
      <c r="G2504" s="2" t="str">
        <f ca="1">IFERROR(__xludf.DUMMYFUNCTION("GOOGLETRANSLATE(B2504,""en"",""de"")"),"Einblick")</f>
        <v>Einblick</v>
      </c>
      <c r="H2504" s="2" t="str">
        <f ca="1">IFERROR(__xludf.DUMMYFUNCTION("GOOGLETRANSLATE(B2504,""en"",""zh"")"),"洞察力")</f>
        <v>洞察力</v>
      </c>
      <c r="I2504" s="2" t="str">
        <f ca="1">IFERROR(__xludf.DUMMYFUNCTION("GOOGLETRANSLATE(B2504,""en"",""gd"")"),"lèirsinn")</f>
        <v>lèirsinn</v>
      </c>
    </row>
    <row r="2505" spans="1:9" ht="14.25" customHeight="1" x14ac:dyDescent="0.3">
      <c r="A2505" s="2">
        <v>2504</v>
      </c>
      <c r="B2505" s="3" t="s">
        <v>2512</v>
      </c>
      <c r="C2505" s="2" t="str">
        <f ca="1">IFERROR(__xludf.DUMMYFUNCTION("GOOGLETRANSLATE(B2505, ""en"",""es"")"),"abordar")</f>
        <v>abordar</v>
      </c>
      <c r="D2505" s="2" t="str">
        <f ca="1">IFERROR(__xludf.DUMMYFUNCTION("GOOGLETRANSLATE(B2505,""en"",""ig"")"),"tackele")</f>
        <v>tackele</v>
      </c>
      <c r="E2505" s="2" t="str">
        <f ca="1">IFERROR(__xludf.DUMMYFUNCTION("GOOGLETRANSLATE(B2505,""en"",""fr"")"),"tacle")</f>
        <v>tacle</v>
      </c>
      <c r="F2505" s="2" t="str">
        <f ca="1">IFERROR(__xludf.DUMMYFUNCTION("GOOGLETRANSLATE(B2505,""en"",""it"")"),"attrezzatura")</f>
        <v>attrezzatura</v>
      </c>
      <c r="G2505" s="2" t="str">
        <f ca="1">IFERROR(__xludf.DUMMYFUNCTION("GOOGLETRANSLATE(B2505,""en"",""de"")"),"angehen")</f>
        <v>angehen</v>
      </c>
      <c r="H2505" s="2" t="str">
        <f ca="1">IFERROR(__xludf.DUMMYFUNCTION("GOOGLETRANSLATE(B2505,""en"",""zh"")"),"处理")</f>
        <v>处理</v>
      </c>
      <c r="I2505" s="2" t="str">
        <f ca="1">IFERROR(__xludf.DUMMYFUNCTION("GOOGLETRANSLATE(B2505,""en"",""gd"")"),"tac")</f>
        <v>tac</v>
      </c>
    </row>
    <row r="2506" spans="1:9" ht="14.25" customHeight="1" x14ac:dyDescent="0.3">
      <c r="A2506" s="2">
        <v>2505</v>
      </c>
      <c r="B2506" s="3" t="s">
        <v>2513</v>
      </c>
      <c r="C2506" s="2" t="str">
        <f ca="1">IFERROR(__xludf.DUMMYFUNCTION("GOOGLETRANSLATE(B2506, ""en"",""es"")"),"para siempre")</f>
        <v>para siempre</v>
      </c>
      <c r="D2506" s="2" t="str">
        <f ca="1">IFERROR(__xludf.DUMMYFUNCTION("GOOGLETRANSLATE(B2506,""en"",""ig"")"),"ebighi ebi")</f>
        <v>ebighi ebi</v>
      </c>
      <c r="E2506" s="2" t="str">
        <f ca="1">IFERROR(__xludf.DUMMYFUNCTION("GOOGLETRANSLATE(B2506,""en"",""fr"")"),"pour toujours")</f>
        <v>pour toujours</v>
      </c>
      <c r="F2506" s="2" t="str">
        <f ca="1">IFERROR(__xludf.DUMMYFUNCTION("GOOGLETRANSLATE(B2506,""en"",""it"")"),"per sempre")</f>
        <v>per sempre</v>
      </c>
      <c r="G2506" s="2" t="str">
        <f ca="1">IFERROR(__xludf.DUMMYFUNCTION("GOOGLETRANSLATE(B2506,""en"",""de"")"),"für immer")</f>
        <v>für immer</v>
      </c>
      <c r="H2506" s="2" t="str">
        <f ca="1">IFERROR(__xludf.DUMMYFUNCTION("GOOGLETRANSLATE(B2506,""en"",""zh"")"),"永远")</f>
        <v>永远</v>
      </c>
      <c r="I2506" s="2" t="str">
        <f ca="1">IFERROR(__xludf.DUMMYFUNCTION("GOOGLETRANSLATE(B2506,""en"",""gd"")"),"gu bràth")</f>
        <v>gu bràth</v>
      </c>
    </row>
    <row r="2507" spans="1:9" ht="14.25" customHeight="1" x14ac:dyDescent="0.3">
      <c r="A2507" s="2">
        <v>2506</v>
      </c>
      <c r="B2507" s="3" t="s">
        <v>2514</v>
      </c>
      <c r="C2507" s="2" t="str">
        <f ca="1">IFERROR(__xludf.DUMMYFUNCTION("GOOGLETRANSLATE(B2507, ""en"",""es"")"),"superar")</f>
        <v>superar</v>
      </c>
      <c r="D2507" s="2" t="str">
        <f ca="1">IFERROR(__xludf.DUMMYFUNCTION("GOOGLETRANSLATE(B2507,""en"",""ig"")"),"ikari")</f>
        <v>ikari</v>
      </c>
      <c r="E2507" s="2" t="str">
        <f ca="1">IFERROR(__xludf.DUMMYFUNCTION("GOOGLETRANSLATE(B2507,""en"",""fr"")"),"dépasser")</f>
        <v>dépasser</v>
      </c>
      <c r="F2507" s="2" t="str">
        <f ca="1">IFERROR(__xludf.DUMMYFUNCTION("GOOGLETRANSLATE(B2507,""en"",""it"")"),"superare")</f>
        <v>superare</v>
      </c>
      <c r="G2507" s="2" t="str">
        <f ca="1">IFERROR(__xludf.DUMMYFUNCTION("GOOGLETRANSLATE(B2507,""en"",""de"")"),"überschreiten")</f>
        <v>überschreiten</v>
      </c>
      <c r="H2507" s="2" t="str">
        <f ca="1">IFERROR(__xludf.DUMMYFUNCTION("GOOGLETRANSLATE(B2507,""en"",""zh"")"),"超过")</f>
        <v>超过</v>
      </c>
      <c r="I2507" s="2" t="str">
        <f ca="1">IFERROR(__xludf.DUMMYFUNCTION("GOOGLETRANSLATE(B2507,""en"",""gd"")"),"nas àirde na")</f>
        <v>nas àirde na</v>
      </c>
    </row>
    <row r="2508" spans="1:9" ht="14.25" customHeight="1" x14ac:dyDescent="0.3">
      <c r="A2508" s="2">
        <v>2507</v>
      </c>
      <c r="B2508" s="3" t="s">
        <v>2515</v>
      </c>
      <c r="C2508" s="2" t="str">
        <f ca="1">IFERROR(__xludf.DUMMYFUNCTION("GOOGLETRANSLATE(B2508, ""en"",""es"")"),"gasto")</f>
        <v>gasto</v>
      </c>
      <c r="D2508" s="2" t="str">
        <f ca="1">IFERROR(__xludf.DUMMYFUNCTION("GOOGLETRANSLATE(B2508,""en"",""ig"")"),"mmefu")</f>
        <v>mmefu</v>
      </c>
      <c r="E2508" s="2" t="str">
        <f ca="1">IFERROR(__xludf.DUMMYFUNCTION("GOOGLETRANSLATE(B2508,""en"",""fr"")"),"dépense")</f>
        <v>dépense</v>
      </c>
      <c r="F2508" s="2" t="str">
        <f ca="1">IFERROR(__xludf.DUMMYFUNCTION("GOOGLETRANSLATE(B2508,""en"",""it"")"),"spesa")</f>
        <v>spesa</v>
      </c>
      <c r="G2508" s="2" t="str">
        <f ca="1">IFERROR(__xludf.DUMMYFUNCTION("GOOGLETRANSLATE(B2508,""en"",""de"")"),"Ausgaben")</f>
        <v>Ausgaben</v>
      </c>
      <c r="H2508" s="2" t="str">
        <f ca="1">IFERROR(__xludf.DUMMYFUNCTION("GOOGLETRANSLATE(B2508,""en"",""zh"")"),"支出")</f>
        <v>支出</v>
      </c>
      <c r="I2508" s="2" t="str">
        <f ca="1">IFERROR(__xludf.DUMMYFUNCTION("GOOGLETRANSLATE(B2508,""en"",""gd"")"),"Caiteachas")</f>
        <v>Caiteachas</v>
      </c>
    </row>
    <row r="2509" spans="1:9" ht="14.25" customHeight="1" x14ac:dyDescent="0.3">
      <c r="A2509" s="2">
        <v>2508</v>
      </c>
      <c r="B2509" s="3" t="s">
        <v>2516</v>
      </c>
      <c r="C2509" s="2" t="str">
        <f ca="1">IFERROR(__xludf.DUMMYFUNCTION("GOOGLETRANSLATE(B2509, ""en"",""es"")"),"alegría")</f>
        <v>alegría</v>
      </c>
      <c r="D2509" s="2" t="str">
        <f ca="1">IFERROR(__xludf.DUMMYFUNCTION("GOOGLETRANSLATE(B2509,""en"",""ig"")"),"obiuto")</f>
        <v>obiuto</v>
      </c>
      <c r="E2509" s="2" t="str">
        <f ca="1">IFERROR(__xludf.DUMMYFUNCTION("GOOGLETRANSLATE(B2509,""en"",""fr"")"),"joie")</f>
        <v>joie</v>
      </c>
      <c r="F2509" s="2" t="str">
        <f ca="1">IFERROR(__xludf.DUMMYFUNCTION("GOOGLETRANSLATE(B2509,""en"",""it"")"),"gioia")</f>
        <v>gioia</v>
      </c>
      <c r="G2509" s="2" t="str">
        <f ca="1">IFERROR(__xludf.DUMMYFUNCTION("GOOGLETRANSLATE(B2509,""en"",""de"")"),"Freude")</f>
        <v>Freude</v>
      </c>
      <c r="H2509" s="2" t="str">
        <f ca="1">IFERROR(__xludf.DUMMYFUNCTION("GOOGLETRANSLATE(B2509,""en"",""zh"")"),"喜悦")</f>
        <v>喜悦</v>
      </c>
      <c r="I2509" s="2" t="str">
        <f ca="1">IFERROR(__xludf.DUMMYFUNCTION("GOOGLETRANSLATE(B2509,""en"",""gd"")"),"Joy")</f>
        <v>Joy</v>
      </c>
    </row>
    <row r="2510" spans="1:9" ht="14.25" customHeight="1" x14ac:dyDescent="0.3">
      <c r="A2510" s="2">
        <v>2509</v>
      </c>
      <c r="B2510" s="3" t="s">
        <v>2517</v>
      </c>
      <c r="C2510" s="2" t="str">
        <f ca="1">IFERROR(__xludf.DUMMYFUNCTION("GOOGLETRANSLATE(B2510, ""en"",""es"")"),"embarazada")</f>
        <v>embarazada</v>
      </c>
      <c r="D2510" s="2" t="str">
        <f ca="1">IFERROR(__xludf.DUMMYFUNCTION("GOOGLETRANSLATE(B2510,""en"",""ig"")"),"idi ime")</f>
        <v>idi ime</v>
      </c>
      <c r="E2510" s="2" t="str">
        <f ca="1">IFERROR(__xludf.DUMMYFUNCTION("GOOGLETRANSLATE(B2510,""en"",""fr"")"),"enceinte")</f>
        <v>enceinte</v>
      </c>
      <c r="F2510" s="2" t="str">
        <f ca="1">IFERROR(__xludf.DUMMYFUNCTION("GOOGLETRANSLATE(B2510,""en"",""it"")"),"incinta")</f>
        <v>incinta</v>
      </c>
      <c r="G2510" s="2" t="str">
        <f ca="1">IFERROR(__xludf.DUMMYFUNCTION("GOOGLETRANSLATE(B2510,""en"",""de"")"),"schwanger")</f>
        <v>schwanger</v>
      </c>
      <c r="H2510" s="2" t="str">
        <f ca="1">IFERROR(__xludf.DUMMYFUNCTION("GOOGLETRANSLATE(B2510,""en"",""zh"")"),"孕")</f>
        <v>孕</v>
      </c>
      <c r="I2510" s="2" t="str">
        <f ca="1">IFERROR(__xludf.DUMMYFUNCTION("GOOGLETRANSLATE(B2510,""en"",""gd"")"),"torrach")</f>
        <v>torrach</v>
      </c>
    </row>
    <row r="2511" spans="1:9" ht="14.25" customHeight="1" x14ac:dyDescent="0.3">
      <c r="A2511" s="2">
        <v>2510</v>
      </c>
      <c r="B2511" s="3" t="s">
        <v>2518</v>
      </c>
      <c r="C2511" s="2" t="str">
        <f ca="1">IFERROR(__xludf.DUMMYFUNCTION("GOOGLETRANSLATE(B2511, ""en"",""es"")"),"confiable")</f>
        <v>confiable</v>
      </c>
      <c r="D2511" s="2" t="str">
        <f ca="1">IFERROR(__xludf.DUMMYFUNCTION("GOOGLETRANSLATE(B2511,""en"",""ig"")"),"nke ntukwasiobi")</f>
        <v>nke ntukwasiobi</v>
      </c>
      <c r="E2511" s="2" t="str">
        <f ca="1">IFERROR(__xludf.DUMMYFUNCTION("GOOGLETRANSLATE(B2511,""en"",""fr"")"),"fiable")</f>
        <v>fiable</v>
      </c>
      <c r="F2511" s="2" t="str">
        <f ca="1">IFERROR(__xludf.DUMMYFUNCTION("GOOGLETRANSLATE(B2511,""en"",""it"")"),"affidabile")</f>
        <v>affidabile</v>
      </c>
      <c r="G2511" s="2" t="str">
        <f ca="1">IFERROR(__xludf.DUMMYFUNCTION("GOOGLETRANSLATE(B2511,""en"",""de"")"),"zuverlässig")</f>
        <v>zuverlässig</v>
      </c>
      <c r="H2511" s="2" t="str">
        <f ca="1">IFERROR(__xludf.DUMMYFUNCTION("GOOGLETRANSLATE(B2511,""en"",""zh"")"),"可靠的")</f>
        <v>可靠的</v>
      </c>
      <c r="I2511" s="2" t="str">
        <f ca="1">IFERROR(__xludf.DUMMYFUNCTION("GOOGLETRANSLATE(B2511,""en"",""gd"")"),"earbsach")</f>
        <v>earbsach</v>
      </c>
    </row>
    <row r="2512" spans="1:9" ht="14.25" customHeight="1" x14ac:dyDescent="0.3">
      <c r="A2512" s="2">
        <v>2511</v>
      </c>
      <c r="B2512" s="3" t="s">
        <v>2519</v>
      </c>
      <c r="C2512" s="2" t="str">
        <f ca="1">IFERROR(__xludf.DUMMYFUNCTION("GOOGLETRANSLATE(B2512, ""en"",""es"")"),"engranaje")</f>
        <v>engranaje</v>
      </c>
      <c r="D2512" s="2" t="str">
        <f ca="1">IFERROR(__xludf.DUMMYFUNCTION("GOOGLETRANSLATE(B2512,""en"",""ig"")"),"gia")</f>
        <v>gia</v>
      </c>
      <c r="E2512" s="2" t="str">
        <f ca="1">IFERROR(__xludf.DUMMYFUNCTION("GOOGLETRANSLATE(B2512,""en"",""fr"")"),"engrenage")</f>
        <v>engrenage</v>
      </c>
      <c r="F2512" s="2" t="str">
        <f ca="1">IFERROR(__xludf.DUMMYFUNCTION("GOOGLETRANSLATE(B2512,""en"",""it"")"),"ingranaggio")</f>
        <v>ingranaggio</v>
      </c>
      <c r="G2512" s="2" t="str">
        <f ca="1">IFERROR(__xludf.DUMMYFUNCTION("GOOGLETRANSLATE(B2512,""en"",""de"")"),"Gang")</f>
        <v>Gang</v>
      </c>
      <c r="H2512" s="2" t="str">
        <f ca="1">IFERROR(__xludf.DUMMYFUNCTION("GOOGLETRANSLATE(B2512,""en"",""zh"")"),"齿轮")</f>
        <v>齿轮</v>
      </c>
      <c r="I2512" s="2" t="str">
        <f ca="1">IFERROR(__xludf.DUMMYFUNCTION("GOOGLETRANSLATE(B2512,""en"",""gd"")"),"gèar")</f>
        <v>gèar</v>
      </c>
    </row>
    <row r="2513" spans="1:9" ht="14.25" customHeight="1" x14ac:dyDescent="0.3">
      <c r="A2513" s="2">
        <v>2512</v>
      </c>
      <c r="B2513" s="3" t="s">
        <v>2520</v>
      </c>
      <c r="C2513" s="2" t="str">
        <f ca="1">IFERROR(__xludf.DUMMYFUNCTION("GOOGLETRANSLATE(B2513, ""en"",""es"")"),"poeta")</f>
        <v>poeta</v>
      </c>
      <c r="D2513" s="2" t="str">
        <f ca="1">IFERROR(__xludf.DUMMYFUNCTION("GOOGLETRANSLATE(B2513,""en"",""ig"")"),"onye abu nwoke")</f>
        <v>onye abu nwoke</v>
      </c>
      <c r="E2513" s="2" t="str">
        <f ca="1">IFERROR(__xludf.DUMMYFUNCTION("GOOGLETRANSLATE(B2513,""en"",""fr"")"),"poète")</f>
        <v>poète</v>
      </c>
      <c r="F2513" s="2" t="str">
        <f ca="1">IFERROR(__xludf.DUMMYFUNCTION("GOOGLETRANSLATE(B2513,""en"",""it"")"),"poeta")</f>
        <v>poeta</v>
      </c>
      <c r="G2513" s="2" t="str">
        <f ca="1">IFERROR(__xludf.DUMMYFUNCTION("GOOGLETRANSLATE(B2513,""en"",""de"")"),"Dichter")</f>
        <v>Dichter</v>
      </c>
      <c r="H2513" s="2" t="str">
        <f ca="1">IFERROR(__xludf.DUMMYFUNCTION("GOOGLETRANSLATE(B2513,""en"",""zh"")"),"诗人")</f>
        <v>诗人</v>
      </c>
      <c r="I2513" s="2" t="str">
        <f ca="1">IFERROR(__xludf.DUMMYFUNCTION("GOOGLETRANSLATE(B2513,""en"",""gd"")"),"Bàrd")</f>
        <v>Bàrd</v>
      </c>
    </row>
    <row r="2514" spans="1:9" ht="14.25" customHeight="1" x14ac:dyDescent="0.3">
      <c r="A2514" s="2">
        <v>2513</v>
      </c>
      <c r="B2514" s="3" t="s">
        <v>2521</v>
      </c>
      <c r="C2514" s="2" t="str">
        <f ca="1">IFERROR(__xludf.DUMMYFUNCTION("GOOGLETRANSLATE(B2514, ""en"",""es"")"),"fortuna")</f>
        <v>fortuna</v>
      </c>
      <c r="D2514" s="2" t="str">
        <f ca="1">IFERROR(__xludf.DUMMYFUNCTION("GOOGLETRANSLATE(B2514,""en"",""ig"")"),"uba")</f>
        <v>uba</v>
      </c>
      <c r="E2514" s="2" t="str">
        <f ca="1">IFERROR(__xludf.DUMMYFUNCTION("GOOGLETRANSLATE(B2514,""en"",""fr"")"),"fortune")</f>
        <v>fortune</v>
      </c>
      <c r="F2514" s="2" t="str">
        <f ca="1">IFERROR(__xludf.DUMMYFUNCTION("GOOGLETRANSLATE(B2514,""en"",""it"")"),"fortuna")</f>
        <v>fortuna</v>
      </c>
      <c r="G2514" s="2" t="str">
        <f ca="1">IFERROR(__xludf.DUMMYFUNCTION("GOOGLETRANSLATE(B2514,""en"",""de"")"),"Vermögen")</f>
        <v>Vermögen</v>
      </c>
      <c r="H2514" s="2" t="str">
        <f ca="1">IFERROR(__xludf.DUMMYFUNCTION("GOOGLETRANSLATE(B2514,""en"",""zh"")"),"财富")</f>
        <v>财富</v>
      </c>
      <c r="I2514" s="2" t="str">
        <f ca="1">IFERROR(__xludf.DUMMYFUNCTION("GOOGLETRANSLATE(B2514,""en"",""gd"")"),"fortan")</f>
        <v>fortan</v>
      </c>
    </row>
    <row r="2515" spans="1:9" ht="14.25" customHeight="1" x14ac:dyDescent="0.3">
      <c r="A2515" s="2">
        <v>2514</v>
      </c>
      <c r="B2515" s="3" t="s">
        <v>2522</v>
      </c>
      <c r="C2515" s="2" t="str">
        <f ca="1">IFERROR(__xludf.DUMMYFUNCTION("GOOGLETRANSLATE(B2515, ""en"",""es"")"),"ceremonia")</f>
        <v>ceremonia</v>
      </c>
      <c r="D2515" s="2" t="str">
        <f ca="1">IFERROR(__xludf.DUMMYFUNCTION("GOOGLETRANSLATE(B2515,""en"",""ig"")"),"emume")</f>
        <v>emume</v>
      </c>
      <c r="E2515" s="2" t="str">
        <f ca="1">IFERROR(__xludf.DUMMYFUNCTION("GOOGLETRANSLATE(B2515,""en"",""fr"")"),"cérémonie")</f>
        <v>cérémonie</v>
      </c>
      <c r="F2515" s="2" t="str">
        <f ca="1">IFERROR(__xludf.DUMMYFUNCTION("GOOGLETRANSLATE(B2515,""en"",""it"")"),"cerimonia")</f>
        <v>cerimonia</v>
      </c>
      <c r="G2515" s="2" t="str">
        <f ca="1">IFERROR(__xludf.DUMMYFUNCTION("GOOGLETRANSLATE(B2515,""en"",""de"")"),"Zeremonie")</f>
        <v>Zeremonie</v>
      </c>
      <c r="H2515" s="2" t="str">
        <f ca="1">IFERROR(__xludf.DUMMYFUNCTION("GOOGLETRANSLATE(B2515,""en"",""zh"")"),"仪式")</f>
        <v>仪式</v>
      </c>
      <c r="I2515" s="2" t="str">
        <f ca="1">IFERROR(__xludf.DUMMYFUNCTION("GOOGLETRANSLATE(B2515,""en"",""gd"")"),"Cuirm")</f>
        <v>Cuirm</v>
      </c>
    </row>
    <row r="2516" spans="1:9" ht="14.25" customHeight="1" x14ac:dyDescent="0.3">
      <c r="A2516" s="2">
        <v>2515</v>
      </c>
      <c r="B2516" s="3" t="s">
        <v>2523</v>
      </c>
      <c r="C2516" s="2" t="str">
        <f ca="1">IFERROR(__xludf.DUMMYFUNCTION("GOOGLETRANSLATE(B2516, ""en"",""es"")"),"montón")</f>
        <v>montón</v>
      </c>
      <c r="D2516" s="2" t="str">
        <f ca="1">IFERROR(__xludf.DUMMYFUNCTION("GOOGLETRANSLATE(B2516,""en"",""ig"")"),"mbukota nku")</f>
        <v>mbukota nku</v>
      </c>
      <c r="E2516" s="2" t="str">
        <f ca="1">IFERROR(__xludf.DUMMYFUNCTION("GOOGLETRANSLATE(B2516,""en"",""fr"")"),"pile")</f>
        <v>pile</v>
      </c>
      <c r="F2516" s="2" t="str">
        <f ca="1">IFERROR(__xludf.DUMMYFUNCTION("GOOGLETRANSLATE(B2516,""en"",""it"")"),"mucchio")</f>
        <v>mucchio</v>
      </c>
      <c r="G2516" s="2" t="str">
        <f ca="1">IFERROR(__xludf.DUMMYFUNCTION("GOOGLETRANSLATE(B2516,""en"",""de"")"),"Haufen")</f>
        <v>Haufen</v>
      </c>
      <c r="H2516" s="2" t="str">
        <f ca="1">IFERROR(__xludf.DUMMYFUNCTION("GOOGLETRANSLATE(B2516,""en"",""zh"")"),"桩")</f>
        <v>桩</v>
      </c>
      <c r="I2516" s="2" t="str">
        <f ca="1">IFERROR(__xludf.DUMMYFUNCTION("GOOGLETRANSLATE(B2516,""en"",""gd"")"),"pile")</f>
        <v>pile</v>
      </c>
    </row>
    <row r="2517" spans="1:9" ht="14.25" customHeight="1" x14ac:dyDescent="0.3">
      <c r="A2517" s="2">
        <v>2516</v>
      </c>
      <c r="B2517" s="3" t="s">
        <v>2524</v>
      </c>
      <c r="C2517" s="2" t="str">
        <f ca="1">IFERROR(__xludf.DUMMYFUNCTION("GOOGLETRANSLATE(B2517, ""en"",""es"")"),"cerdo")</f>
        <v>cerdo</v>
      </c>
      <c r="D2517" s="2" t="str">
        <f ca="1">IFERROR(__xludf.DUMMYFUNCTION("GOOGLETRANSLATE(B2517,""en"",""ig"")"),"ezi")</f>
        <v>ezi</v>
      </c>
      <c r="E2517" s="2" t="str">
        <f ca="1">IFERROR(__xludf.DUMMYFUNCTION("GOOGLETRANSLATE(B2517,""en"",""fr"")"),"cochon")</f>
        <v>cochon</v>
      </c>
      <c r="F2517" s="2" t="str">
        <f ca="1">IFERROR(__xludf.DUMMYFUNCTION("GOOGLETRANSLATE(B2517,""en"",""it"")"),"maiale")</f>
        <v>maiale</v>
      </c>
      <c r="G2517" s="2" t="str">
        <f ca="1">IFERROR(__xludf.DUMMYFUNCTION("GOOGLETRANSLATE(B2517,""en"",""de"")"),"Schwein")</f>
        <v>Schwein</v>
      </c>
      <c r="H2517" s="2" t="str">
        <f ca="1">IFERROR(__xludf.DUMMYFUNCTION("GOOGLETRANSLATE(B2517,""en"",""zh"")"),"猪")</f>
        <v>猪</v>
      </c>
      <c r="I2517" s="2" t="str">
        <f ca="1">IFERROR(__xludf.DUMMYFUNCTION("GOOGLETRANSLATE(B2517,""en"",""gd"")"),"muc")</f>
        <v>muc</v>
      </c>
    </row>
    <row r="2518" spans="1:9" ht="14.25" customHeight="1" x14ac:dyDescent="0.3">
      <c r="A2518" s="2">
        <v>2517</v>
      </c>
      <c r="B2518" s="3" t="s">
        <v>2525</v>
      </c>
      <c r="C2518" s="2" t="str">
        <f ca="1">IFERROR(__xludf.DUMMYFUNCTION("GOOGLETRANSLATE(B2518, ""en"",""es"")"),"mezcla")</f>
        <v>mezcla</v>
      </c>
      <c r="D2518" s="2" t="str">
        <f ca="1">IFERROR(__xludf.DUMMYFUNCTION("GOOGLETRANSLATE(B2518,""en"",""ig"")"),"akwaoriri")</f>
        <v>akwaoriri</v>
      </c>
      <c r="E2518" s="2" t="str">
        <f ca="1">IFERROR(__xludf.DUMMYFUNCTION("GOOGLETRANSLATE(B2518,""en"",""fr"")"),"mélange")</f>
        <v>mélange</v>
      </c>
      <c r="F2518" s="2" t="str">
        <f ca="1">IFERROR(__xludf.DUMMYFUNCTION("GOOGLETRANSLATE(B2518,""en"",""it"")"),"miscela")</f>
        <v>miscela</v>
      </c>
      <c r="G2518" s="2" t="str">
        <f ca="1">IFERROR(__xludf.DUMMYFUNCTION("GOOGLETRANSLATE(B2518,""en"",""de"")"),"Mischung")</f>
        <v>Mischung</v>
      </c>
      <c r="H2518" s="2" t="str">
        <f ca="1">IFERROR(__xludf.DUMMYFUNCTION("GOOGLETRANSLATE(B2518,""en"",""zh"")"),"混合物")</f>
        <v>混合物</v>
      </c>
      <c r="I2518" s="2" t="str">
        <f ca="1">IFERROR(__xludf.DUMMYFUNCTION("GOOGLETRANSLATE(B2518,""en"",""gd"")"),"Measgachadh")</f>
        <v>Measgachadh</v>
      </c>
    </row>
    <row r="2519" spans="1:9" ht="14.25" customHeight="1" x14ac:dyDescent="0.3">
      <c r="A2519" s="2">
        <v>2518</v>
      </c>
      <c r="B2519" s="3" t="s">
        <v>2526</v>
      </c>
      <c r="C2519" s="2" t="str">
        <f ca="1">IFERROR(__xludf.DUMMYFUNCTION("GOOGLETRANSLATE(B2519, ""en"",""es"")"),"automáticamente")</f>
        <v>automáticamente</v>
      </c>
      <c r="D2519" s="2" t="str">
        <f ca="1">IFERROR(__xludf.DUMMYFUNCTION("GOOGLETRANSLATE(B2519,""en"",""ig"")"),"akpaghị aka")</f>
        <v>akpaghị aka</v>
      </c>
      <c r="E2519" s="2" t="str">
        <f ca="1">IFERROR(__xludf.DUMMYFUNCTION("GOOGLETRANSLATE(B2519,""en"",""fr"")"),"automatiquement")</f>
        <v>automatiquement</v>
      </c>
      <c r="F2519" s="2" t="str">
        <f ca="1">IFERROR(__xludf.DUMMYFUNCTION("GOOGLETRANSLATE(B2519,""en"",""it"")"),"automaticamente")</f>
        <v>automaticamente</v>
      </c>
      <c r="G2519" s="2" t="str">
        <f ca="1">IFERROR(__xludf.DUMMYFUNCTION("GOOGLETRANSLATE(B2519,""en"",""de"")"),"automatisch")</f>
        <v>automatisch</v>
      </c>
      <c r="H2519" s="2" t="str">
        <f ca="1">IFERROR(__xludf.DUMMYFUNCTION("GOOGLETRANSLATE(B2519,""en"",""zh"")"),"自动地")</f>
        <v>自动地</v>
      </c>
      <c r="I2519" s="2" t="str">
        <f ca="1">IFERROR(__xludf.DUMMYFUNCTION("GOOGLETRANSLATE(B2519,""en"",""gd"")"),"gu fèin-ghluasadach")</f>
        <v>gu fèin-ghluasadach</v>
      </c>
    </row>
    <row r="2520" spans="1:9" ht="14.25" customHeight="1" x14ac:dyDescent="0.3">
      <c r="A2520" s="2">
        <v>2519</v>
      </c>
      <c r="B2520" s="3" t="s">
        <v>2527</v>
      </c>
      <c r="C2520" s="2" t="str">
        <f ca="1">IFERROR(__xludf.DUMMYFUNCTION("GOOGLETRANSLATE(B2520, ""en"",""es"")"),"erudito")</f>
        <v>erudito</v>
      </c>
      <c r="D2520" s="2" t="str">
        <f ca="1">IFERROR(__xludf.DUMMYFUNCTION("GOOGLETRANSLATE(B2520,""en"",""ig"")"),"okammuta nwoke")</f>
        <v>okammuta nwoke</v>
      </c>
      <c r="E2520" s="2" t="str">
        <f ca="1">IFERROR(__xludf.DUMMYFUNCTION("GOOGLETRANSLATE(B2520,""en"",""fr"")"),"savant")</f>
        <v>savant</v>
      </c>
      <c r="F2520" s="2" t="str">
        <f ca="1">IFERROR(__xludf.DUMMYFUNCTION("GOOGLETRANSLATE(B2520,""en"",""it"")"),"studioso")</f>
        <v>studioso</v>
      </c>
      <c r="G2520" s="2" t="str">
        <f ca="1">IFERROR(__xludf.DUMMYFUNCTION("GOOGLETRANSLATE(B2520,""en"",""de"")"),"Gelehrte")</f>
        <v>Gelehrte</v>
      </c>
      <c r="H2520" s="2" t="str">
        <f ca="1">IFERROR(__xludf.DUMMYFUNCTION("GOOGLETRANSLATE(B2520,""en"",""zh"")"),"学者")</f>
        <v>学者</v>
      </c>
      <c r="I2520" s="2" t="str">
        <f ca="1">IFERROR(__xludf.DUMMYFUNCTION("GOOGLETRANSLATE(B2520,""en"",""gd"")"),"sgoilear")</f>
        <v>sgoilear</v>
      </c>
    </row>
    <row r="2521" spans="1:9" ht="14.25" customHeight="1" x14ac:dyDescent="0.3">
      <c r="A2521" s="2">
        <v>2520</v>
      </c>
      <c r="B2521" s="3" t="s">
        <v>2528</v>
      </c>
      <c r="C2521" s="2" t="str">
        <f ca="1">IFERROR(__xludf.DUMMYFUNCTION("GOOGLETRANSLATE(B2521, ""en"",""es"")"),"psicológico")</f>
        <v>psicológico</v>
      </c>
      <c r="D2521" s="2" t="str">
        <f ca="1">IFERROR(__xludf.DUMMYFUNCTION("GOOGLETRANSLATE(B2521,""en"",""ig"")"),"maka agwa na uche mmadu")</f>
        <v>maka agwa na uche mmadu</v>
      </c>
      <c r="E2521" s="2" t="str">
        <f ca="1">IFERROR(__xludf.DUMMYFUNCTION("GOOGLETRANSLATE(B2521,""en"",""fr"")"),"psychologique")</f>
        <v>psychologique</v>
      </c>
      <c r="F2521" s="2" t="str">
        <f ca="1">IFERROR(__xludf.DUMMYFUNCTION("GOOGLETRANSLATE(B2521,""en"",""it"")"),"psicologico")</f>
        <v>psicologico</v>
      </c>
      <c r="G2521" s="2" t="str">
        <f ca="1">IFERROR(__xludf.DUMMYFUNCTION("GOOGLETRANSLATE(B2521,""en"",""de"")"),"psychologisch")</f>
        <v>psychologisch</v>
      </c>
      <c r="H2521" s="2" t="str">
        <f ca="1">IFERROR(__xludf.DUMMYFUNCTION("GOOGLETRANSLATE(B2521,""en"",""zh"")"),"心理")</f>
        <v>心理</v>
      </c>
      <c r="I2521" s="2" t="str">
        <f ca="1">IFERROR(__xludf.DUMMYFUNCTION("GOOGLETRANSLATE(B2521,""en"",""gd"")"),"saidhgeòlach")</f>
        <v>saidhgeòlach</v>
      </c>
    </row>
    <row r="2522" spans="1:9" ht="14.25" customHeight="1" x14ac:dyDescent="0.3">
      <c r="A2522" s="2">
        <v>2521</v>
      </c>
      <c r="B2522" s="3" t="s">
        <v>2529</v>
      </c>
      <c r="C2522" s="2" t="str">
        <f ca="1">IFERROR(__xludf.DUMMYFUNCTION("GOOGLETRANSLATE(B2522, ""en"",""es"")"),"dramáticamente")</f>
        <v>dramáticamente</v>
      </c>
      <c r="D2522" s="2" t="str">
        <f ca="1">IFERROR(__xludf.DUMMYFUNCTION("GOOGLETRANSLATE(B2522,""en"",""ig"")"),"nke ukwuu")</f>
        <v>nke ukwuu</v>
      </c>
      <c r="E2522" s="2" t="str">
        <f ca="1">IFERROR(__xludf.DUMMYFUNCTION("GOOGLETRANSLATE(B2522,""en"",""fr"")"),"radicalement")</f>
        <v>radicalement</v>
      </c>
      <c r="F2522" s="2" t="str">
        <f ca="1">IFERROR(__xludf.DUMMYFUNCTION("GOOGLETRANSLATE(B2522,""en"",""it"")"),"drammaticamente")</f>
        <v>drammaticamente</v>
      </c>
      <c r="G2522" s="2" t="str">
        <f ca="1">IFERROR(__xludf.DUMMYFUNCTION("GOOGLETRANSLATE(B2522,""en"",""de"")"),"dramatisch")</f>
        <v>dramatisch</v>
      </c>
      <c r="H2522" s="2" t="str">
        <f ca="1">IFERROR(__xludf.DUMMYFUNCTION("GOOGLETRANSLATE(B2522,""en"",""zh"")"),"急剧")</f>
        <v>急剧</v>
      </c>
      <c r="I2522" s="2" t="str">
        <f ca="1">IFERROR(__xludf.DUMMYFUNCTION("GOOGLETRANSLATE(B2522,""en"",""gd"")"),"gu mòr")</f>
        <v>gu mòr</v>
      </c>
    </row>
    <row r="2523" spans="1:9" ht="14.25" customHeight="1" x14ac:dyDescent="0.3">
      <c r="A2523" s="2">
        <v>2522</v>
      </c>
      <c r="B2523" s="3" t="s">
        <v>2530</v>
      </c>
      <c r="C2523" s="2" t="str">
        <f ca="1">IFERROR(__xludf.DUMMYFUNCTION("GOOGLETRANSLATE(B2523, ""en"",""es"")"),"apostar")</f>
        <v>apostar</v>
      </c>
      <c r="D2523" s="2" t="str">
        <f ca="1">IFERROR(__xludf.DUMMYFUNCTION("GOOGLETRANSLATE(B2523,""en"",""ig"")"),"osisi osisi")</f>
        <v>osisi osisi</v>
      </c>
      <c r="E2523" s="2" t="str">
        <f ca="1">IFERROR(__xludf.DUMMYFUNCTION("GOOGLETRANSLATE(B2523,""en"",""fr"")"),"miser")</f>
        <v>miser</v>
      </c>
      <c r="F2523" s="2" t="str">
        <f ca="1">IFERROR(__xludf.DUMMYFUNCTION("GOOGLETRANSLATE(B2523,""en"",""it"")"),"palo")</f>
        <v>palo</v>
      </c>
      <c r="G2523" s="2" t="str">
        <f ca="1">IFERROR(__xludf.DUMMYFUNCTION("GOOGLETRANSLATE(B2523,""en"",""de"")"),"Einsatz")</f>
        <v>Einsatz</v>
      </c>
      <c r="H2523" s="2" t="str">
        <f ca="1">IFERROR(__xludf.DUMMYFUNCTION("GOOGLETRANSLATE(B2523,""en"",""zh"")"),"赌注")</f>
        <v>赌注</v>
      </c>
      <c r="I2523" s="2" t="str">
        <f ca="1">IFERROR(__xludf.DUMMYFUNCTION("GOOGLETRANSLATE(B2523,""en"",""gd"")"),"stake")</f>
        <v>stake</v>
      </c>
    </row>
    <row r="2524" spans="1:9" ht="14.25" customHeight="1" x14ac:dyDescent="0.3">
      <c r="A2524" s="2">
        <v>2523</v>
      </c>
      <c r="B2524" s="3" t="s">
        <v>2531</v>
      </c>
      <c r="C2524" s="2" t="str">
        <f ca="1">IFERROR(__xludf.DUMMYFUNCTION("GOOGLETRANSLATE(B2524, ""en"",""es"")"),"criatura")</f>
        <v>criatura</v>
      </c>
      <c r="D2524" s="2" t="str">
        <f ca="1">IFERROR(__xludf.DUMMYFUNCTION("GOOGLETRANSLATE(B2524,""en"",""ig"")"),"ihe e kere")</f>
        <v>ihe e kere</v>
      </c>
      <c r="E2524" s="2" t="str">
        <f ca="1">IFERROR(__xludf.DUMMYFUNCTION("GOOGLETRANSLATE(B2524,""en"",""fr"")"),"créature")</f>
        <v>créature</v>
      </c>
      <c r="F2524" s="2" t="str">
        <f ca="1">IFERROR(__xludf.DUMMYFUNCTION("GOOGLETRANSLATE(B2524,""en"",""it"")"),"creatura")</f>
        <v>creatura</v>
      </c>
      <c r="G2524" s="2" t="str">
        <f ca="1">IFERROR(__xludf.DUMMYFUNCTION("GOOGLETRANSLATE(B2524,""en"",""de"")"),"Kreatur")</f>
        <v>Kreatur</v>
      </c>
      <c r="H2524" s="2" t="str">
        <f ca="1">IFERROR(__xludf.DUMMYFUNCTION("GOOGLETRANSLATE(B2524,""en"",""zh"")"),"生物")</f>
        <v>生物</v>
      </c>
      <c r="I2524" s="2" t="str">
        <f ca="1">IFERROR(__xludf.DUMMYFUNCTION("GOOGLETRANSLATE(B2524,""en"",""gd"")"),"creutair")</f>
        <v>creutair</v>
      </c>
    </row>
    <row r="2525" spans="1:9" ht="14.25" customHeight="1" x14ac:dyDescent="0.3">
      <c r="A2525" s="2">
        <v>2524</v>
      </c>
      <c r="B2525" s="3" t="s">
        <v>2532</v>
      </c>
      <c r="C2525" s="2" t="str">
        <f ca="1">IFERROR(__xludf.DUMMYFUNCTION("GOOGLETRANSLATE(B2525, ""en"",""es"")"),"camaradería")</f>
        <v>camaradería</v>
      </c>
      <c r="D2525" s="2" t="str">
        <f ca="1">IFERROR(__xludf.DUMMYFUNCTION("GOOGLETRANSLATE(B2525,""en"",""ig"")"),"nrukooru")</f>
        <v>nrukooru</v>
      </c>
      <c r="E2525" s="2" t="str">
        <f ca="1">IFERROR(__xludf.DUMMYFUNCTION("GOOGLETRANSLATE(B2525,""en"",""fr"")"),"Partenariat")</f>
        <v>Partenariat</v>
      </c>
      <c r="F2525" s="2" t="str">
        <f ca="1">IFERROR(__xludf.DUMMYFUNCTION("GOOGLETRANSLATE(B2525,""en"",""it"")"),"associazione")</f>
        <v>associazione</v>
      </c>
      <c r="G2525" s="2" t="str">
        <f ca="1">IFERROR(__xludf.DUMMYFUNCTION("GOOGLETRANSLATE(B2525,""en"",""de"")"),"Partnerschaft")</f>
        <v>Partnerschaft</v>
      </c>
      <c r="H2525" s="2" t="str">
        <f ca="1">IFERROR(__xludf.DUMMYFUNCTION("GOOGLETRANSLATE(B2525,""en"",""zh"")"),"合伙")</f>
        <v>合伙</v>
      </c>
      <c r="I2525" s="2" t="str">
        <f ca="1">IFERROR(__xludf.DUMMYFUNCTION("GOOGLETRANSLATE(B2525,""en"",""gd"")"),"Com-pàirteachas")</f>
        <v>Com-pàirteachas</v>
      </c>
    </row>
    <row r="2526" spans="1:9" ht="14.25" customHeight="1" x14ac:dyDescent="0.3">
      <c r="A2526" s="2">
        <v>2525</v>
      </c>
      <c r="B2526" s="3" t="s">
        <v>2533</v>
      </c>
      <c r="C2526" s="2" t="str">
        <f ca="1">IFERROR(__xludf.DUMMYFUNCTION("GOOGLETRANSLATE(B2526, ""en"",""es"")"),"participación")</f>
        <v>participación</v>
      </c>
      <c r="D2526" s="2" t="str">
        <f ca="1">IFERROR(__xludf.DUMMYFUNCTION("GOOGLETRANSLATE(B2526,""en"",""ig"")"),"msoroibe")</f>
        <v>msoroibe</v>
      </c>
      <c r="E2526" s="2" t="str">
        <f ca="1">IFERROR(__xludf.DUMMYFUNCTION("GOOGLETRANSLATE(B2526,""en"",""fr"")"),"participation")</f>
        <v>participation</v>
      </c>
      <c r="F2526" s="2" t="str">
        <f ca="1">IFERROR(__xludf.DUMMYFUNCTION("GOOGLETRANSLATE(B2526,""en"",""it"")"),"partecipazione")</f>
        <v>partecipazione</v>
      </c>
      <c r="G2526" s="2" t="str">
        <f ca="1">IFERROR(__xludf.DUMMYFUNCTION("GOOGLETRANSLATE(B2526,""en"",""de"")"),"Beteiligung")</f>
        <v>Beteiligung</v>
      </c>
      <c r="H2526" s="2" t="str">
        <f ca="1">IFERROR(__xludf.DUMMYFUNCTION("GOOGLETRANSLATE(B2526,""en"",""zh"")"),"参与")</f>
        <v>参与</v>
      </c>
      <c r="I2526" s="2" t="str">
        <f ca="1">IFERROR(__xludf.DUMMYFUNCTION("GOOGLETRANSLATE(B2526,""en"",""gd"")"),"Com-pàirteachadh")</f>
        <v>Com-pàirteachadh</v>
      </c>
    </row>
    <row r="2527" spans="1:9" ht="14.25" customHeight="1" x14ac:dyDescent="0.3">
      <c r="A2527" s="2">
        <v>2526</v>
      </c>
      <c r="B2527" s="3" t="s">
        <v>2534</v>
      </c>
      <c r="C2527" s="2" t="str">
        <f ca="1">IFERROR(__xludf.DUMMYFUNCTION("GOOGLETRANSLATE(B2527, ""en"",""es"")"),"cláusula")</f>
        <v>cláusula</v>
      </c>
      <c r="D2527" s="2" t="str">
        <f ca="1">IFERROR(__xludf.DUMMYFUNCTION("GOOGLETRANSLATE(B2527,""en"",""ig"")"),"nkebiahiri")</f>
        <v>nkebiahiri</v>
      </c>
      <c r="E2527" s="2" t="str">
        <f ca="1">IFERROR(__xludf.DUMMYFUNCTION("GOOGLETRANSLATE(B2527,""en"",""fr"")"),"clause")</f>
        <v>clause</v>
      </c>
      <c r="F2527" s="2" t="str">
        <f ca="1">IFERROR(__xludf.DUMMYFUNCTION("GOOGLETRANSLATE(B2527,""en"",""it"")"),"clausola")</f>
        <v>clausola</v>
      </c>
      <c r="G2527" s="2" t="str">
        <f ca="1">IFERROR(__xludf.DUMMYFUNCTION("GOOGLETRANSLATE(B2527,""en"",""de"")"),"Klausel")</f>
        <v>Klausel</v>
      </c>
      <c r="H2527" s="2" t="str">
        <f ca="1">IFERROR(__xludf.DUMMYFUNCTION("GOOGLETRANSLATE(B2527,""en"",""zh"")"),"条款")</f>
        <v>条款</v>
      </c>
      <c r="I2527" s="2" t="str">
        <f ca="1">IFERROR(__xludf.DUMMYFUNCTION("GOOGLETRANSLATE(B2527,""en"",""gd"")"),"Clàs")</f>
        <v>Clàs</v>
      </c>
    </row>
    <row r="2528" spans="1:9" ht="14.25" customHeight="1" x14ac:dyDescent="0.3">
      <c r="A2528" s="2">
        <v>2527</v>
      </c>
      <c r="B2528" s="3" t="s">
        <v>2535</v>
      </c>
      <c r="C2528" s="2" t="str">
        <f ca="1">IFERROR(__xludf.DUMMYFUNCTION("GOOGLETRANSLATE(B2528, ""en"",""es"")"),"multa")</f>
        <v>multa</v>
      </c>
      <c r="D2528" s="2" t="str">
        <f ca="1">IFERROR(__xludf.DUMMYFUNCTION("GOOGLETRANSLATE(B2528,""en"",""ig"")"),"ita uta")</f>
        <v>ita uta</v>
      </c>
      <c r="E2528" s="2" t="str">
        <f ca="1">IFERROR(__xludf.DUMMYFUNCTION("GOOGLETRANSLATE(B2528,""en"",""fr"")"),"peine")</f>
        <v>peine</v>
      </c>
      <c r="F2528" s="2" t="str">
        <f ca="1">IFERROR(__xludf.DUMMYFUNCTION("GOOGLETRANSLATE(B2528,""en"",""it"")"),"pena")</f>
        <v>pena</v>
      </c>
      <c r="G2528" s="2" t="str">
        <f ca="1">IFERROR(__xludf.DUMMYFUNCTION("GOOGLETRANSLATE(B2528,""en"",""de"")"),"Strafe")</f>
        <v>Strafe</v>
      </c>
      <c r="H2528" s="2" t="str">
        <f ca="1">IFERROR(__xludf.DUMMYFUNCTION("GOOGLETRANSLATE(B2528,""en"",""zh"")"),"惩罚")</f>
        <v>惩罚</v>
      </c>
      <c r="I2528" s="2" t="str">
        <f ca="1">IFERROR(__xludf.DUMMYFUNCTION("GOOGLETRANSLATE(B2528,""en"",""gd"")"),"Peanas")</f>
        <v>Peanas</v>
      </c>
    </row>
    <row r="2529" spans="1:9" ht="14.25" customHeight="1" x14ac:dyDescent="0.3">
      <c r="A2529" s="2">
        <v>2528</v>
      </c>
      <c r="B2529" s="3" t="s">
        <v>2536</v>
      </c>
      <c r="C2529" s="2" t="str">
        <f ca="1">IFERROR(__xludf.DUMMYFUNCTION("GOOGLETRANSLATE(B2529, ""en"",""es"")"),"cámara")</f>
        <v>cámara</v>
      </c>
      <c r="D2529" s="2" t="str">
        <f ca="1">IFERROR(__xludf.DUMMYFUNCTION("GOOGLETRANSLATE(B2529,""en"",""ig"")"),"chemba")</f>
        <v>chemba</v>
      </c>
      <c r="E2529" s="2" t="str">
        <f ca="1">IFERROR(__xludf.DUMMYFUNCTION("GOOGLETRANSLATE(B2529,""en"",""fr"")"),"chambre")</f>
        <v>chambre</v>
      </c>
      <c r="F2529" s="2" t="str">
        <f ca="1">IFERROR(__xludf.DUMMYFUNCTION("GOOGLETRANSLATE(B2529,""en"",""it"")"),"Camera")</f>
        <v>Camera</v>
      </c>
      <c r="G2529" s="2" t="str">
        <f ca="1">IFERROR(__xludf.DUMMYFUNCTION("GOOGLETRANSLATE(B2529,""en"",""de"")"),"Kammer")</f>
        <v>Kammer</v>
      </c>
      <c r="H2529" s="2" t="str">
        <f ca="1">IFERROR(__xludf.DUMMYFUNCTION("GOOGLETRANSLATE(B2529,""en"",""zh"")"),"腔室")</f>
        <v>腔室</v>
      </c>
      <c r="I2529" s="2" t="str">
        <f ca="1">IFERROR(__xludf.DUMMYFUNCTION("GOOGLETRANSLATE(B2529,""en"",""gd"")"),"Seòmar")</f>
        <v>Seòmar</v>
      </c>
    </row>
    <row r="2530" spans="1:9" ht="14.25" customHeight="1" x14ac:dyDescent="0.3">
      <c r="A2530" s="2">
        <v>2529</v>
      </c>
      <c r="B2530" s="3" t="s">
        <v>2537</v>
      </c>
      <c r="C2530" s="2" t="str">
        <f ca="1">IFERROR(__xludf.DUMMYFUNCTION("GOOGLETRANSLATE(B2530, ""en"",""es"")"),"elegante")</f>
        <v>elegante</v>
      </c>
      <c r="D2530" s="2" t="str">
        <f ca="1">IFERROR(__xludf.DUMMYFUNCTION("GOOGLETRANSLATE(B2530,""en"",""ig"")"),"soank")</f>
        <v>soank</v>
      </c>
      <c r="E2530" s="2" t="str">
        <f ca="1">IFERROR(__xludf.DUMMYFUNCTION("GOOGLETRANSLATE(B2530,""en"",""fr"")"),"fantaisie")</f>
        <v>fantaisie</v>
      </c>
      <c r="F2530" s="2" t="str">
        <f ca="1">IFERROR(__xludf.DUMMYFUNCTION("GOOGLETRANSLATE(B2530,""en"",""it"")"),"fantasia")</f>
        <v>fantasia</v>
      </c>
      <c r="G2530" s="2" t="str">
        <f ca="1">IFERROR(__xludf.DUMMYFUNCTION("GOOGLETRANSLATE(B2530,""en"",""de"")"),"schick")</f>
        <v>schick</v>
      </c>
      <c r="H2530" s="2" t="str">
        <f ca="1">IFERROR(__xludf.DUMMYFUNCTION("GOOGLETRANSLATE(B2530,""en"",""zh"")"),"想要")</f>
        <v>想要</v>
      </c>
      <c r="I2530" s="2" t="str">
        <f ca="1">IFERROR(__xludf.DUMMYFUNCTION("GOOGLETRANSLATE(B2530,""en"",""gd"")"),"Fancy")</f>
        <v>Fancy</v>
      </c>
    </row>
    <row r="2531" spans="1:9" ht="14.25" customHeight="1" x14ac:dyDescent="0.3">
      <c r="A2531" s="2">
        <v>2530</v>
      </c>
      <c r="B2531" s="3" t="s">
        <v>2538</v>
      </c>
      <c r="C2531" s="2" t="str">
        <f ca="1">IFERROR(__xludf.DUMMYFUNCTION("GOOGLETRANSLATE(B2531, ""en"",""es"")"),"poesía")</f>
        <v>poesía</v>
      </c>
      <c r="D2531" s="2" t="str">
        <f ca="1">IFERROR(__xludf.DUMMYFUNCTION("GOOGLETRANSLATE(B2531,""en"",""ig"")"),"abu")</f>
        <v>abu</v>
      </c>
      <c r="E2531" s="2" t="str">
        <f ca="1">IFERROR(__xludf.DUMMYFUNCTION("GOOGLETRANSLATE(B2531,""en"",""fr"")"),"poésie")</f>
        <v>poésie</v>
      </c>
      <c r="F2531" s="2" t="str">
        <f ca="1">IFERROR(__xludf.DUMMYFUNCTION("GOOGLETRANSLATE(B2531,""en"",""it"")"),"poesia")</f>
        <v>poesia</v>
      </c>
      <c r="G2531" s="2" t="str">
        <f ca="1">IFERROR(__xludf.DUMMYFUNCTION("GOOGLETRANSLATE(B2531,""en"",""de"")"),"Poesie")</f>
        <v>Poesie</v>
      </c>
      <c r="H2531" s="2" t="str">
        <f ca="1">IFERROR(__xludf.DUMMYFUNCTION("GOOGLETRANSLATE(B2531,""en"",""zh"")"),"诗歌")</f>
        <v>诗歌</v>
      </c>
      <c r="I2531" s="2" t="str">
        <f ca="1">IFERROR(__xludf.DUMMYFUNCTION("GOOGLETRANSLATE(B2531,""en"",""gd"")"),"Bàrdachd")</f>
        <v>Bàrdachd</v>
      </c>
    </row>
    <row r="2532" spans="1:9" ht="14.25" customHeight="1" x14ac:dyDescent="0.3">
      <c r="A2532" s="2">
        <v>2531</v>
      </c>
      <c r="B2532" s="3" t="s">
        <v>2539</v>
      </c>
      <c r="C2532" s="2" t="str">
        <f ca="1">IFERROR(__xludf.DUMMYFUNCTION("GOOGLETRANSLATE(B2532, ""en"",""es"")"),"charlar")</f>
        <v>charlar</v>
      </c>
      <c r="D2532" s="2" t="str">
        <f ca="1">IFERROR(__xludf.DUMMYFUNCTION("GOOGLETRANSLATE(B2532,""en"",""ig"")"),"ikori")</f>
        <v>ikori</v>
      </c>
      <c r="E2532" s="2" t="str">
        <f ca="1">IFERROR(__xludf.DUMMYFUNCTION("GOOGLETRANSLATE(B2532,""en"",""fr"")"),"chat")</f>
        <v>chat</v>
      </c>
      <c r="F2532" s="2" t="str">
        <f ca="1">IFERROR(__xludf.DUMMYFUNCTION("GOOGLETRANSLATE(B2532,""en"",""it"")"),"chiacchierata")</f>
        <v>chiacchierata</v>
      </c>
      <c r="G2532" s="2" t="str">
        <f ca="1">IFERROR(__xludf.DUMMYFUNCTION("GOOGLETRANSLATE(B2532,""en"",""de"")"),"Plaudern")</f>
        <v>Plaudern</v>
      </c>
      <c r="H2532" s="2" t="str">
        <f ca="1">IFERROR(__xludf.DUMMYFUNCTION("GOOGLETRANSLATE(B2532,""en"",""zh"")"),"聊天")</f>
        <v>聊天</v>
      </c>
      <c r="I2532" s="2" t="str">
        <f ca="1">IFERROR(__xludf.DUMMYFUNCTION("GOOGLETRANSLATE(B2532,""en"",""gd"")"),"cabadaich")</f>
        <v>cabadaich</v>
      </c>
    </row>
    <row r="2533" spans="1:9" ht="14.25" customHeight="1" x14ac:dyDescent="0.3">
      <c r="A2533" s="2">
        <v>2532</v>
      </c>
      <c r="B2533" s="3" t="s">
        <v>2540</v>
      </c>
      <c r="C2533" s="2" t="str">
        <f ca="1">IFERROR(__xludf.DUMMYFUNCTION("GOOGLETRANSLATE(B2533, ""en"",""es"")"),"ropa")</f>
        <v>ropa</v>
      </c>
      <c r="D2533" s="2" t="str">
        <f ca="1">IFERROR(__xludf.DUMMYFUNCTION("GOOGLETRANSLATE(B2533,""en"",""ig"")"),"akwa")</f>
        <v>akwa</v>
      </c>
      <c r="E2533" s="2" t="str">
        <f ca="1">IFERROR(__xludf.DUMMYFUNCTION("GOOGLETRANSLATE(B2533,""en"",""fr"")"),"vêtements")</f>
        <v>vêtements</v>
      </c>
      <c r="F2533" s="2" t="str">
        <f ca="1">IFERROR(__xludf.DUMMYFUNCTION("GOOGLETRANSLATE(B2533,""en"",""it"")"),"vestiario")</f>
        <v>vestiario</v>
      </c>
      <c r="G2533" s="2" t="str">
        <f ca="1">IFERROR(__xludf.DUMMYFUNCTION("GOOGLETRANSLATE(B2533,""en"",""de"")"),"Kleidung")</f>
        <v>Kleidung</v>
      </c>
      <c r="H2533" s="2" t="str">
        <f ca="1">IFERROR(__xludf.DUMMYFUNCTION("GOOGLETRANSLATE(B2533,""en"",""zh"")"),"衣服")</f>
        <v>衣服</v>
      </c>
      <c r="I2533" s="2" t="str">
        <f ca="1">IFERROR(__xludf.DUMMYFUNCTION("GOOGLETRANSLATE(B2533,""en"",""gd"")"),"Aodach")</f>
        <v>Aodach</v>
      </c>
    </row>
    <row r="2534" spans="1:9" ht="14.25" customHeight="1" x14ac:dyDescent="0.3">
      <c r="A2534" s="2">
        <v>2533</v>
      </c>
      <c r="B2534" s="3" t="s">
        <v>2541</v>
      </c>
      <c r="C2534" s="2" t="str">
        <f ca="1">IFERROR(__xludf.DUMMYFUNCTION("GOOGLETRANSLATE(B2534, ""en"",""es"")"),"evolucionar")</f>
        <v>evolucionar</v>
      </c>
      <c r="D2534" s="2" t="str">
        <f ca="1">IFERROR(__xludf.DUMMYFUNCTION("GOOGLETRANSLATE(B2534,""en"",""ig"")"),"ibido")</f>
        <v>ibido</v>
      </c>
      <c r="E2534" s="2" t="str">
        <f ca="1">IFERROR(__xludf.DUMMYFUNCTION("GOOGLETRANSLATE(B2534,""en"",""fr"")"),"évoluer")</f>
        <v>évoluer</v>
      </c>
      <c r="F2534" s="2" t="str">
        <f ca="1">IFERROR(__xludf.DUMMYFUNCTION("GOOGLETRANSLATE(B2534,""en"",""it"")"),"evolversi")</f>
        <v>evolversi</v>
      </c>
      <c r="G2534" s="2" t="str">
        <f ca="1">IFERROR(__xludf.DUMMYFUNCTION("GOOGLETRANSLATE(B2534,""en"",""de"")"),"evolve")</f>
        <v>evolve</v>
      </c>
      <c r="H2534" s="2" t="str">
        <f ca="1">IFERROR(__xludf.DUMMYFUNCTION("GOOGLETRANSLATE(B2534,""en"",""zh"")"),"发展")</f>
        <v>发展</v>
      </c>
      <c r="I2534" s="2" t="str">
        <f ca="1">IFERROR(__xludf.DUMMYFUNCTION("GOOGLETRANSLATE(B2534,""en"",""gd"")"),"mean-fhàs")</f>
        <v>mean-fhàs</v>
      </c>
    </row>
    <row r="2535" spans="1:9" ht="14.25" customHeight="1" x14ac:dyDescent="0.3">
      <c r="A2535" s="2">
        <v>2534</v>
      </c>
      <c r="B2535" s="3" t="s">
        <v>2542</v>
      </c>
      <c r="C2535" s="2" t="str">
        <f ca="1">IFERROR(__xludf.DUMMYFUNCTION("GOOGLETRANSLATE(B2535, ""en"",""es"")"),"beneficio")</f>
        <v>beneficio</v>
      </c>
      <c r="D2535" s="2" t="str">
        <f ca="1">IFERROR(__xludf.DUMMYFUNCTION("GOOGLETRANSLATE(B2535,""en"",""ig"")"),"sia")</f>
        <v>sia</v>
      </c>
      <c r="E2535" s="2" t="str">
        <f ca="1">IFERROR(__xludf.DUMMYFUNCTION("GOOGLETRANSLATE(B2535,""en"",""fr"")"),"saké")</f>
        <v>saké</v>
      </c>
      <c r="F2535" s="2" t="str">
        <f ca="1">IFERROR(__xludf.DUMMYFUNCTION("GOOGLETRANSLATE(B2535,""en"",""it"")"),"scopo")</f>
        <v>scopo</v>
      </c>
      <c r="G2535" s="2" t="str">
        <f ca="1">IFERROR(__xludf.DUMMYFUNCTION("GOOGLETRANSLATE(B2535,""en"",""de"")"),"willen")</f>
        <v>willen</v>
      </c>
      <c r="H2535" s="2" t="str">
        <f ca="1">IFERROR(__xludf.DUMMYFUNCTION("GOOGLETRANSLATE(B2535,""en"",""zh"")"),"清酒")</f>
        <v>清酒</v>
      </c>
      <c r="I2535" s="2" t="str">
        <f ca="1">IFERROR(__xludf.DUMMYFUNCTION("GOOGLETRANSLATE(B2535,""en"",""gd"")"),"Son")</f>
        <v>Son</v>
      </c>
    </row>
    <row r="2536" spans="1:9" ht="14.25" customHeight="1" x14ac:dyDescent="0.3">
      <c r="A2536" s="2">
        <v>2535</v>
      </c>
      <c r="B2536" s="3" t="s">
        <v>2543</v>
      </c>
      <c r="C2536" s="2" t="str">
        <f ca="1">IFERROR(__xludf.DUMMYFUNCTION("GOOGLETRANSLATE(B2536, ""en"",""es"")"),"estante")</f>
        <v>estante</v>
      </c>
      <c r="D2536" s="2" t="str">
        <f ca="1">IFERROR(__xludf.DUMMYFUNCTION("GOOGLETRANSLATE(B2536,""en"",""ig"")"),"uko")</f>
        <v>uko</v>
      </c>
      <c r="E2536" s="2" t="str">
        <f ca="1">IFERROR(__xludf.DUMMYFUNCTION("GOOGLETRANSLATE(B2536,""en"",""fr"")"),"étagère")</f>
        <v>étagère</v>
      </c>
      <c r="F2536" s="2" t="str">
        <f ca="1">IFERROR(__xludf.DUMMYFUNCTION("GOOGLETRANSLATE(B2536,""en"",""it"")"),"mensola")</f>
        <v>mensola</v>
      </c>
      <c r="G2536" s="2" t="str">
        <f ca="1">IFERROR(__xludf.DUMMYFUNCTION("GOOGLETRANSLATE(B2536,""en"",""de"")"),"Regal")</f>
        <v>Regal</v>
      </c>
      <c r="H2536" s="2" t="str">
        <f ca="1">IFERROR(__xludf.DUMMYFUNCTION("GOOGLETRANSLATE(B2536,""en"",""zh"")"),"架子")</f>
        <v>架子</v>
      </c>
      <c r="I2536" s="2" t="str">
        <f ca="1">IFERROR(__xludf.DUMMYFUNCTION("GOOGLETRANSLATE(B2536,""en"",""gd"")"),"sgeilp")</f>
        <v>sgeilp</v>
      </c>
    </row>
    <row r="2537" spans="1:9" ht="14.25" customHeight="1" x14ac:dyDescent="0.3">
      <c r="A2537" s="2">
        <v>2536</v>
      </c>
      <c r="B2537" s="3" t="s">
        <v>2544</v>
      </c>
      <c r="C2537" s="2" t="str">
        <f ca="1">IFERROR(__xludf.DUMMYFUNCTION("GOOGLETRANSLATE(B2537, ""en"",""es"")"),"aumentar")</f>
        <v>aumentar</v>
      </c>
      <c r="D2537" s="2" t="str">
        <f ca="1">IFERROR(__xludf.DUMMYFUNCTION("GOOGLETRANSLATE(B2537,""en"",""ig"")"),"ikwado")</f>
        <v>ikwado</v>
      </c>
      <c r="E2537" s="2" t="str">
        <f ca="1">IFERROR(__xludf.DUMMYFUNCTION("GOOGLETRANSLATE(B2537,""en"",""fr"")"),"booster")</f>
        <v>booster</v>
      </c>
      <c r="F2537" s="2" t="str">
        <f ca="1">IFERROR(__xludf.DUMMYFUNCTION("GOOGLETRANSLATE(B2537,""en"",""it"")"),"aumento")</f>
        <v>aumento</v>
      </c>
      <c r="G2537" s="2" t="str">
        <f ca="1">IFERROR(__xludf.DUMMYFUNCTION("GOOGLETRANSLATE(B2537,""en"",""de"")"),"Schub")</f>
        <v>Schub</v>
      </c>
      <c r="H2537" s="2" t="str">
        <f ca="1">IFERROR(__xludf.DUMMYFUNCTION("GOOGLETRANSLATE(B2537,""en"",""zh"")"),"促进")</f>
        <v>促进</v>
      </c>
      <c r="I2537" s="2" t="str">
        <f ca="1">IFERROR(__xludf.DUMMYFUNCTION("GOOGLETRANSLATE(B2537,""en"",""gd"")"),"àrdachadh")</f>
        <v>àrdachadh</v>
      </c>
    </row>
    <row r="2538" spans="1:9" ht="14.25" customHeight="1" x14ac:dyDescent="0.3">
      <c r="A2538" s="2">
        <v>2537</v>
      </c>
      <c r="B2538" s="3" t="s">
        <v>2545</v>
      </c>
      <c r="C2538" s="2" t="str">
        <f ca="1">IFERROR(__xludf.DUMMYFUNCTION("GOOGLETRANSLATE(B2538, ""en"",""es"")"),"cola")</f>
        <v>cola</v>
      </c>
      <c r="D2538" s="2" t="str">
        <f ca="1">IFERROR(__xludf.DUMMYFUNCTION("GOOGLETRANSLATE(B2538,""en"",""ig"")"),"odudu")</f>
        <v>odudu</v>
      </c>
      <c r="E2538" s="2" t="str">
        <f ca="1">IFERROR(__xludf.DUMMYFUNCTION("GOOGLETRANSLATE(B2538,""en"",""fr"")"),"queue")</f>
        <v>queue</v>
      </c>
      <c r="F2538" s="2" t="str">
        <f ca="1">IFERROR(__xludf.DUMMYFUNCTION("GOOGLETRANSLATE(B2538,""en"",""it"")"),"coda")</f>
        <v>coda</v>
      </c>
      <c r="G2538" s="2" t="str">
        <f ca="1">IFERROR(__xludf.DUMMYFUNCTION("GOOGLETRANSLATE(B2538,""en"",""de"")"),"Schwanz")</f>
        <v>Schwanz</v>
      </c>
      <c r="H2538" s="2" t="str">
        <f ca="1">IFERROR(__xludf.DUMMYFUNCTION("GOOGLETRANSLATE(B2538,""en"",""zh"")"),"尾巴")</f>
        <v>尾巴</v>
      </c>
      <c r="I2538" s="2" t="str">
        <f ca="1">IFERROR(__xludf.DUMMYFUNCTION("GOOGLETRANSLATE(B2538,""en"",""gd"")"),"earball")</f>
        <v>earball</v>
      </c>
    </row>
    <row r="2539" spans="1:9" ht="14.25" customHeight="1" x14ac:dyDescent="0.3">
      <c r="A2539" s="2">
        <v>2538</v>
      </c>
      <c r="B2539" s="3" t="s">
        <v>2546</v>
      </c>
      <c r="C2539" s="2" t="str">
        <f ca="1">IFERROR(__xludf.DUMMYFUNCTION("GOOGLETRANSLATE(B2539, ""en"",""es"")"),"posesión")</f>
        <v>posesión</v>
      </c>
      <c r="D2539" s="2" t="str">
        <f ca="1">IFERROR(__xludf.DUMMYFUNCTION("GOOGLETRANSLATE(B2539,""en"",""ig"")"),"aku")</f>
        <v>aku</v>
      </c>
      <c r="E2539" s="2" t="str">
        <f ca="1">IFERROR(__xludf.DUMMYFUNCTION("GOOGLETRANSLATE(B2539,""en"",""fr"")"),"possession")</f>
        <v>possession</v>
      </c>
      <c r="F2539" s="2" t="str">
        <f ca="1">IFERROR(__xludf.DUMMYFUNCTION("GOOGLETRANSLATE(B2539,""en"",""it"")"),"possesso")</f>
        <v>possesso</v>
      </c>
      <c r="G2539" s="2" t="str">
        <f ca="1">IFERROR(__xludf.DUMMYFUNCTION("GOOGLETRANSLATE(B2539,""en"",""de"")"),"Besitz")</f>
        <v>Besitz</v>
      </c>
      <c r="H2539" s="2" t="str">
        <f ca="1">IFERROR(__xludf.DUMMYFUNCTION("GOOGLETRANSLATE(B2539,""en"",""zh"")"),"拥有")</f>
        <v>拥有</v>
      </c>
      <c r="I2539" s="2" t="str">
        <f ca="1">IFERROR(__xludf.DUMMYFUNCTION("GOOGLETRANSLATE(B2539,""en"",""gd"")"),"Seilbh")</f>
        <v>Seilbh</v>
      </c>
    </row>
    <row r="2540" spans="1:9" ht="14.25" customHeight="1" x14ac:dyDescent="0.3">
      <c r="A2540" s="2">
        <v>2539</v>
      </c>
      <c r="B2540" s="3" t="s">
        <v>2547</v>
      </c>
      <c r="C2540" s="2" t="str">
        <f ca="1">IFERROR(__xludf.DUMMYFUNCTION("GOOGLETRANSLATE(B2540, ""en"",""es"")"),"aborto")</f>
        <v>aborto</v>
      </c>
      <c r="D2540" s="2" t="str">
        <f ca="1">IFERROR(__xludf.DUMMYFUNCTION("GOOGLETRANSLATE(B2540,""en"",""ig"")"),"mwepu")</f>
        <v>mwepu</v>
      </c>
      <c r="E2540" s="2" t="str">
        <f ca="1">IFERROR(__xludf.DUMMYFUNCTION("GOOGLETRANSLATE(B2540,""en"",""fr"")"),"avortement")</f>
        <v>avortement</v>
      </c>
      <c r="F2540" s="2" t="str">
        <f ca="1">IFERROR(__xludf.DUMMYFUNCTION("GOOGLETRANSLATE(B2540,""en"",""it"")"),"aborto")</f>
        <v>aborto</v>
      </c>
      <c r="G2540" s="2" t="str">
        <f ca="1">IFERROR(__xludf.DUMMYFUNCTION("GOOGLETRANSLATE(B2540,""en"",""de"")"),"Abtreibung")</f>
        <v>Abtreibung</v>
      </c>
      <c r="H2540" s="2" t="str">
        <f ca="1">IFERROR(__xludf.DUMMYFUNCTION("GOOGLETRANSLATE(B2540,""en"",""zh"")"),"流产")</f>
        <v>流产</v>
      </c>
      <c r="I2540" s="2" t="str">
        <f ca="1">IFERROR(__xludf.DUMMYFUNCTION("GOOGLETRANSLATE(B2540,""en"",""gd"")"),"CACRETION")</f>
        <v>CACRETION</v>
      </c>
    </row>
    <row r="2541" spans="1:9" ht="14.25" customHeight="1" x14ac:dyDescent="0.3">
      <c r="A2541" s="2">
        <v>2540</v>
      </c>
      <c r="B2541" s="3" t="s">
        <v>2548</v>
      </c>
      <c r="C2541" s="2" t="str">
        <f ca="1">IFERROR(__xludf.DUMMYFUNCTION("GOOGLETRANSLATE(B2541, ""en"",""es"")"),"curioso")</f>
        <v>curioso</v>
      </c>
      <c r="D2541" s="2" t="str">
        <f ca="1">IFERROR(__xludf.DUMMYFUNCTION("GOOGLETRANSLATE(B2541,""en"",""ig"")"),"kemmasi")</f>
        <v>kemmasi</v>
      </c>
      <c r="E2541" s="2" t="str">
        <f ca="1">IFERROR(__xludf.DUMMYFUNCTION("GOOGLETRANSLATE(B2541,""en"",""fr"")"),"curieux")</f>
        <v>curieux</v>
      </c>
      <c r="F2541" s="2" t="str">
        <f ca="1">IFERROR(__xludf.DUMMYFUNCTION("GOOGLETRANSLATE(B2541,""en"",""it"")"),"curioso")</f>
        <v>curioso</v>
      </c>
      <c r="G2541" s="2" t="str">
        <f ca="1">IFERROR(__xludf.DUMMYFUNCTION("GOOGLETRANSLATE(B2541,""en"",""de"")"),"neugierig")</f>
        <v>neugierig</v>
      </c>
      <c r="H2541" s="2" t="str">
        <f ca="1">IFERROR(__xludf.DUMMYFUNCTION("GOOGLETRANSLATE(B2541,""en"",""zh"")"),"好奇的")</f>
        <v>好奇的</v>
      </c>
      <c r="I2541" s="2" t="str">
        <f ca="1">IFERROR(__xludf.DUMMYFUNCTION("GOOGLETRANSLATE(B2541,""en"",""gd"")"),"fiosrach")</f>
        <v>fiosrach</v>
      </c>
    </row>
    <row r="2542" spans="1:9" ht="14.25" customHeight="1" x14ac:dyDescent="0.3">
      <c r="A2542" s="2">
        <v>2541</v>
      </c>
      <c r="B2542" s="3" t="s">
        <v>2549</v>
      </c>
      <c r="C2542" s="2" t="str">
        <f ca="1">IFERROR(__xludf.DUMMYFUNCTION("GOOGLETRANSLATE(B2542, ""en"",""es"")"),"de madera")</f>
        <v>de madera</v>
      </c>
      <c r="D2542" s="2" t="str">
        <f ca="1">IFERROR(__xludf.DUMMYFUNCTION("GOOGLETRANSLATE(B2542,""en"",""ig"")"),"keosisi")</f>
        <v>keosisi</v>
      </c>
      <c r="E2542" s="2" t="str">
        <f ca="1">IFERROR(__xludf.DUMMYFUNCTION("GOOGLETRANSLATE(B2542,""en"",""fr"")"),"en bois")</f>
        <v>en bois</v>
      </c>
      <c r="F2542" s="2" t="str">
        <f ca="1">IFERROR(__xludf.DUMMYFUNCTION("GOOGLETRANSLATE(B2542,""en"",""it"")"),"di legno")</f>
        <v>di legno</v>
      </c>
      <c r="G2542" s="2" t="str">
        <f ca="1">IFERROR(__xludf.DUMMYFUNCTION("GOOGLETRANSLATE(B2542,""en"",""de"")"),"hölzern")</f>
        <v>hölzern</v>
      </c>
      <c r="H2542" s="2" t="str">
        <f ca="1">IFERROR(__xludf.DUMMYFUNCTION("GOOGLETRANSLATE(B2542,""en"",""zh"")"),"木制的")</f>
        <v>木制的</v>
      </c>
      <c r="I2542" s="2" t="str">
        <f ca="1">IFERROR(__xludf.DUMMYFUNCTION("GOOGLETRANSLATE(B2542,""en"",""gd"")"),"fiodh fiodha")</f>
        <v>fiodh fiodha</v>
      </c>
    </row>
    <row r="2543" spans="1:9" ht="14.25" customHeight="1" x14ac:dyDescent="0.3">
      <c r="A2543" s="2">
        <v>2542</v>
      </c>
      <c r="B2543" s="3" t="s">
        <v>2550</v>
      </c>
      <c r="C2543" s="2" t="str">
        <f ca="1">IFERROR(__xludf.DUMMYFUNCTION("GOOGLETRANSLATE(B2543, ""en"",""es"")"),"auge")</f>
        <v>auge</v>
      </c>
      <c r="D2543" s="2" t="str">
        <f ca="1">IFERROR(__xludf.DUMMYFUNCTION("GOOGLETRANSLATE(B2543,""en"",""ig"")"),"buru ibu")</f>
        <v>buru ibu</v>
      </c>
      <c r="E2543" s="2" t="str">
        <f ca="1">IFERROR(__xludf.DUMMYFUNCTION("GOOGLETRANSLATE(B2543,""en"",""fr"")"),"boom")</f>
        <v>boom</v>
      </c>
      <c r="F2543" s="2" t="str">
        <f ca="1">IFERROR(__xludf.DUMMYFUNCTION("GOOGLETRANSLATE(B2543,""en"",""it"")"),"boom")</f>
        <v>boom</v>
      </c>
      <c r="G2543" s="2" t="str">
        <f ca="1">IFERROR(__xludf.DUMMYFUNCTION("GOOGLETRANSLATE(B2543,""en"",""de"")"),"Boom")</f>
        <v>Boom</v>
      </c>
      <c r="H2543" s="2" t="str">
        <f ca="1">IFERROR(__xludf.DUMMYFUNCTION("GOOGLETRANSLATE(B2543,""en"",""zh"")"),"繁荣")</f>
        <v>繁荣</v>
      </c>
      <c r="I2543" s="2" t="str">
        <f ca="1">IFERROR(__xludf.DUMMYFUNCTION("GOOGLETRANSLATE(B2543,""en"",""gd"")"),"BOOM")</f>
        <v>BOOM</v>
      </c>
    </row>
    <row r="2544" spans="1:9" ht="14.25" customHeight="1" x14ac:dyDescent="0.3">
      <c r="A2544" s="2">
        <v>2543</v>
      </c>
      <c r="B2544" s="3" t="s">
        <v>2551</v>
      </c>
      <c r="C2544" s="2" t="str">
        <f ca="1">IFERROR(__xludf.DUMMYFUNCTION("GOOGLETRANSLATE(B2544, ""en"",""es"")"),"cuento")</f>
        <v>cuento</v>
      </c>
      <c r="D2544" s="2" t="str">
        <f ca="1">IFERROR(__xludf.DUMMYFUNCTION("GOOGLETRANSLATE(B2544,""en"",""ig"")"),"akukoifo")</f>
        <v>akukoifo</v>
      </c>
      <c r="E2544" s="2" t="str">
        <f ca="1">IFERROR(__xludf.DUMMYFUNCTION("GOOGLETRANSLATE(B2544,""en"",""fr"")"),"conte")</f>
        <v>conte</v>
      </c>
      <c r="F2544" s="2" t="str">
        <f ca="1">IFERROR(__xludf.DUMMYFUNCTION("GOOGLETRANSLATE(B2544,""en"",""it"")"),"racconto")</f>
        <v>racconto</v>
      </c>
      <c r="G2544" s="2" t="str">
        <f ca="1">IFERROR(__xludf.DUMMYFUNCTION("GOOGLETRANSLATE(B2544,""en"",""de"")"),"Geschichte")</f>
        <v>Geschichte</v>
      </c>
      <c r="H2544" s="2" t="str">
        <f ca="1">IFERROR(__xludf.DUMMYFUNCTION("GOOGLETRANSLATE(B2544,""en"",""zh"")"),"故事")</f>
        <v>故事</v>
      </c>
      <c r="I2544" s="2" t="str">
        <f ca="1">IFERROR(__xludf.DUMMYFUNCTION("GOOGLETRANSLATE(B2544,""en"",""gd"")"),"Sgeulachd")</f>
        <v>Sgeulachd</v>
      </c>
    </row>
    <row r="2545" spans="1:9" ht="14.25" customHeight="1" x14ac:dyDescent="0.3">
      <c r="A2545" s="2">
        <v>2544</v>
      </c>
      <c r="B2545" s="3" t="s">
        <v>2552</v>
      </c>
      <c r="C2545" s="2" t="str">
        <f ca="1">IFERROR(__xludf.DUMMYFUNCTION("GOOGLETRANSLATE(B2545, ""en"",""es"")"),"democrático")</f>
        <v>democrático</v>
      </c>
      <c r="D2545" s="2" t="str">
        <f ca="1">IFERROR(__xludf.DUMMYFUNCTION("GOOGLETRANSLATE(B2545,""en"",""ig"")"),"keochichi ndi nkiti")</f>
        <v>keochichi ndi nkiti</v>
      </c>
      <c r="E2545" s="2" t="str">
        <f ca="1">IFERROR(__xludf.DUMMYFUNCTION("GOOGLETRANSLATE(B2545,""en"",""fr"")"),"démocratique")</f>
        <v>démocratique</v>
      </c>
      <c r="F2545" s="2" t="str">
        <f ca="1">IFERROR(__xludf.DUMMYFUNCTION("GOOGLETRANSLATE(B2545,""en"",""it"")"),"democratico")</f>
        <v>democratico</v>
      </c>
      <c r="G2545" s="2" t="str">
        <f ca="1">IFERROR(__xludf.DUMMYFUNCTION("GOOGLETRANSLATE(B2545,""en"",""de"")"),"demokratisch")</f>
        <v>demokratisch</v>
      </c>
      <c r="H2545" s="2" t="str">
        <f ca="1">IFERROR(__xludf.DUMMYFUNCTION("GOOGLETRANSLATE(B2545,""en"",""zh"")"),"民主")</f>
        <v>民主</v>
      </c>
      <c r="I2545" s="2" t="str">
        <f ca="1">IFERROR(__xludf.DUMMYFUNCTION("GOOGLETRANSLATE(B2545,""en"",""gd"")"),"Deamocratach")</f>
        <v>Deamocratach</v>
      </c>
    </row>
    <row r="2546" spans="1:9" ht="14.25" customHeight="1" x14ac:dyDescent="0.3">
      <c r="A2546" s="2">
        <v>2545</v>
      </c>
      <c r="B2546" s="3" t="s">
        <v>2553</v>
      </c>
      <c r="C2546" s="2" t="str">
        <f ca="1">IFERROR(__xludf.DUMMYFUNCTION("GOOGLETRANSLATE(B2546, ""en"",""es"")"),"mantenimiento")</f>
        <v>mantenimiento</v>
      </c>
      <c r="D2546" s="2" t="str">
        <f ca="1">IFERROR(__xludf.DUMMYFUNCTION("GOOGLETRANSLATE(B2546,""en"",""ig"")"),"nlekwa anya")</f>
        <v>nlekwa anya</v>
      </c>
      <c r="E2546" s="2" t="str">
        <f ca="1">IFERROR(__xludf.DUMMYFUNCTION("GOOGLETRANSLATE(B2546,""en"",""fr"")"),"entretien")</f>
        <v>entretien</v>
      </c>
      <c r="F2546" s="2" t="str">
        <f ca="1">IFERROR(__xludf.DUMMYFUNCTION("GOOGLETRANSLATE(B2546,""en"",""it"")"),"manutenzione")</f>
        <v>manutenzione</v>
      </c>
      <c r="G2546" s="2" t="str">
        <f ca="1">IFERROR(__xludf.DUMMYFUNCTION("GOOGLETRANSLATE(B2546,""en"",""de"")"),"Wartung")</f>
        <v>Wartung</v>
      </c>
      <c r="H2546" s="2" t="str">
        <f ca="1">IFERROR(__xludf.DUMMYFUNCTION("GOOGLETRANSLATE(B2546,""en"",""zh"")"),"维护")</f>
        <v>维护</v>
      </c>
      <c r="I2546" s="2" t="str">
        <f ca="1">IFERROR(__xludf.DUMMYFUNCTION("GOOGLETRANSLATE(B2546,""en"",""gd"")"),"cumail suas")</f>
        <v>cumail suas</v>
      </c>
    </row>
    <row r="2547" spans="1:9" ht="14.25" customHeight="1" x14ac:dyDescent="0.3">
      <c r="A2547" s="2">
        <v>2546</v>
      </c>
      <c r="B2547" s="3" t="s">
        <v>2554</v>
      </c>
      <c r="C2547" s="2" t="str">
        <f ca="1">IFERROR(__xludf.DUMMYFUNCTION("GOOGLETRANSLATE(B2547, ""en"",""es"")"),"como consecuencia")</f>
        <v>como consecuencia</v>
      </c>
      <c r="D2547" s="2" t="str">
        <f ca="1">IFERROR(__xludf.DUMMYFUNCTION("GOOGLETRANSLATE(B2547,""en"",""ig"")"),"si Yana")</f>
        <v>si Yana</v>
      </c>
      <c r="E2547" s="2" t="str">
        <f ca="1">IFERROR(__xludf.DUMMYFUNCTION("GOOGLETRANSLATE(B2547,""en"",""fr"")"),"par conséquent")</f>
        <v>par conséquent</v>
      </c>
      <c r="F2547" s="2" t="str">
        <f ca="1">IFERROR(__xludf.DUMMYFUNCTION("GOOGLETRANSLATE(B2547,""en"",""it"")"),"di conseguenza")</f>
        <v>di conseguenza</v>
      </c>
      <c r="G2547" s="2" t="str">
        <f ca="1">IFERROR(__xludf.DUMMYFUNCTION("GOOGLETRANSLATE(B2547,""en"",""de"")"),"Folglich")</f>
        <v>Folglich</v>
      </c>
      <c r="H2547" s="2" t="str">
        <f ca="1">IFERROR(__xludf.DUMMYFUNCTION("GOOGLETRANSLATE(B2547,""en"",""zh"")"),"最后")</f>
        <v>最后</v>
      </c>
      <c r="I2547" s="2" t="str">
        <f ca="1">IFERROR(__xludf.DUMMYFUNCTION("GOOGLETRANSLATE(B2547,""en"",""gd"")"),"Mar thoradh air sin")</f>
        <v>Mar thoradh air sin</v>
      </c>
    </row>
    <row r="2548" spans="1:9" ht="14.25" customHeight="1" x14ac:dyDescent="0.3">
      <c r="A2548" s="2">
        <v>2547</v>
      </c>
      <c r="B2548" s="3" t="s">
        <v>2555</v>
      </c>
      <c r="C2548" s="2" t="str">
        <f ca="1">IFERROR(__xludf.DUMMYFUNCTION("GOOGLETRANSLATE(B2548, ""en"",""es"")"),"maceta")</f>
        <v>maceta</v>
      </c>
      <c r="D2548" s="2" t="str">
        <f ca="1">IFERROR(__xludf.DUMMYFUNCTION("GOOGLETRANSLATE(B2548,""en"",""ig"")"),"ite")</f>
        <v>ite</v>
      </c>
      <c r="E2548" s="2" t="str">
        <f ca="1">IFERROR(__xludf.DUMMYFUNCTION("GOOGLETRANSLATE(B2548,""en"",""fr"")"),"pot")</f>
        <v>pot</v>
      </c>
      <c r="F2548" s="2" t="str">
        <f ca="1">IFERROR(__xludf.DUMMYFUNCTION("GOOGLETRANSLATE(B2548,""en"",""it"")"),"vaso")</f>
        <v>vaso</v>
      </c>
      <c r="G2548" s="2" t="str">
        <f ca="1">IFERROR(__xludf.DUMMYFUNCTION("GOOGLETRANSLATE(B2548,""en"",""de"")"),"Topf")</f>
        <v>Topf</v>
      </c>
      <c r="H2548" s="2" t="str">
        <f ca="1">IFERROR(__xludf.DUMMYFUNCTION("GOOGLETRANSLATE(B2548,""en"",""zh"")"),"锅")</f>
        <v>锅</v>
      </c>
      <c r="I2548" s="2" t="str">
        <f ca="1">IFERROR(__xludf.DUMMYFUNCTION("GOOGLETRANSLATE(B2548,""en"",""gd"")"),"Pot")</f>
        <v>Pot</v>
      </c>
    </row>
    <row r="2549" spans="1:9" ht="14.25" customHeight="1" x14ac:dyDescent="0.3">
      <c r="A2549" s="2">
        <v>2548</v>
      </c>
      <c r="B2549" s="3" t="s">
        <v>2556</v>
      </c>
      <c r="C2549" s="2" t="str">
        <f ca="1">IFERROR(__xludf.DUMMYFUNCTION("GOOGLETRANSLATE(B2549, ""en"",""es"")"),"vaca")</f>
        <v>vaca</v>
      </c>
      <c r="D2549" s="2" t="str">
        <f ca="1">IFERROR(__xludf.DUMMYFUNCTION("GOOGLETRANSLATE(B2549,""en"",""ig"")"),"ehi")</f>
        <v>ehi</v>
      </c>
      <c r="E2549" s="2" t="str">
        <f ca="1">IFERROR(__xludf.DUMMYFUNCTION("GOOGLETRANSLATE(B2549,""en"",""fr"")"),"vache")</f>
        <v>vache</v>
      </c>
      <c r="F2549" s="2" t="str">
        <f ca="1">IFERROR(__xludf.DUMMYFUNCTION("GOOGLETRANSLATE(B2549,""en"",""it"")"),"mucca")</f>
        <v>mucca</v>
      </c>
      <c r="G2549" s="2" t="str">
        <f ca="1">IFERROR(__xludf.DUMMYFUNCTION("GOOGLETRANSLATE(B2549,""en"",""de"")"),"Kuh")</f>
        <v>Kuh</v>
      </c>
      <c r="H2549" s="2" t="str">
        <f ca="1">IFERROR(__xludf.DUMMYFUNCTION("GOOGLETRANSLATE(B2549,""en"",""zh"")"),"奶牛")</f>
        <v>奶牛</v>
      </c>
      <c r="I2549" s="2" t="str">
        <f ca="1">IFERROR(__xludf.DUMMYFUNCTION("GOOGLETRANSLATE(B2549,""en"",""gd"")"),"bò")</f>
        <v>bò</v>
      </c>
    </row>
    <row r="2550" spans="1:9" ht="14.25" customHeight="1" x14ac:dyDescent="0.3">
      <c r="A2550" s="2">
        <v>2549</v>
      </c>
      <c r="B2550" s="3" t="s">
        <v>2557</v>
      </c>
      <c r="C2550" s="2" t="str">
        <f ca="1">IFERROR(__xludf.DUMMYFUNCTION("GOOGLETRANSLATE(B2550, ""en"",""es"")"),"fortalecer")</f>
        <v>fortalecer</v>
      </c>
      <c r="D2550" s="2" t="str">
        <f ca="1">IFERROR(__xludf.DUMMYFUNCTION("GOOGLETRANSLATE(B2550,""en"",""ig"")"),"igbaume")</f>
        <v>igbaume</v>
      </c>
      <c r="E2550" s="2" t="str">
        <f ca="1">IFERROR(__xludf.DUMMYFUNCTION("GOOGLETRANSLATE(B2550,""en"",""fr"")"),"renforcer")</f>
        <v>renforcer</v>
      </c>
      <c r="F2550" s="2" t="str">
        <f ca="1">IFERROR(__xludf.DUMMYFUNCTION("GOOGLETRANSLATE(B2550,""en"",""it"")"),"rafforzare")</f>
        <v>rafforzare</v>
      </c>
      <c r="G2550" s="2" t="str">
        <f ca="1">IFERROR(__xludf.DUMMYFUNCTION("GOOGLETRANSLATE(B2550,""en"",""de"")"),"stärken")</f>
        <v>stärken</v>
      </c>
      <c r="H2550" s="2" t="str">
        <f ca="1">IFERROR(__xludf.DUMMYFUNCTION("GOOGLETRANSLATE(B2550,""en"",""zh"")"),"加强")</f>
        <v>加强</v>
      </c>
      <c r="I2550" s="2" t="str">
        <f ca="1">IFERROR(__xludf.DUMMYFUNCTION("GOOGLETRANSLATE(B2550,""en"",""gd"")"),"Neartaich")</f>
        <v>Neartaich</v>
      </c>
    </row>
    <row r="2551" spans="1:9" ht="14.25" customHeight="1" x14ac:dyDescent="0.3">
      <c r="A2551" s="2">
        <v>2550</v>
      </c>
      <c r="B2551" s="3" t="s">
        <v>2558</v>
      </c>
      <c r="C2551" s="2" t="str">
        <f ca="1">IFERROR(__xludf.DUMMYFUNCTION("GOOGLETRANSLATE(B2551, ""en"",""es"")"),"mientras que")</f>
        <v>mientras que</v>
      </c>
      <c r="D2551" s="2" t="str">
        <f ca="1">IFERROR(__xludf.DUMMYFUNCTION("GOOGLETRANSLATE(B2551,""en"",""ig"")"),"kedu")</f>
        <v>kedu</v>
      </c>
      <c r="E2551" s="2" t="str">
        <f ca="1">IFERROR(__xludf.DUMMYFUNCTION("GOOGLETRANSLATE(B2551,""en"",""fr"")"),"alors que")</f>
        <v>alors que</v>
      </c>
      <c r="F2551" s="2" t="str">
        <f ca="1">IFERROR(__xludf.DUMMYFUNCTION("GOOGLETRANSLATE(B2551,""en"",""it"")"),"mentre")</f>
        <v>mentre</v>
      </c>
      <c r="G2551" s="2" t="str">
        <f ca="1">IFERROR(__xludf.DUMMYFUNCTION("GOOGLETRANSLATE(B2551,""en"",""de"")"),"während")</f>
        <v>während</v>
      </c>
      <c r="H2551" s="2" t="str">
        <f ca="1">IFERROR(__xludf.DUMMYFUNCTION("GOOGLETRANSLATE(B2551,""en"",""zh"")"),"同时")</f>
        <v>同时</v>
      </c>
      <c r="I2551" s="2" t="str">
        <f ca="1">IFERROR(__xludf.DUMMYFUNCTION("GOOGLETRANSLATE(B2551,""en"",""gd"")"),"Fhad 's a bha e")</f>
        <v>Fhad 's a bha e</v>
      </c>
    </row>
    <row r="2552" spans="1:9" ht="14.25" customHeight="1" x14ac:dyDescent="0.3">
      <c r="A2552" s="2">
        <v>2551</v>
      </c>
      <c r="B2552" s="3" t="s">
        <v>2559</v>
      </c>
      <c r="C2552" s="2" t="str">
        <f ca="1">IFERROR(__xludf.DUMMYFUNCTION("GOOGLETRANSLATE(B2552, ""en"",""es"")"),"restricción")</f>
        <v>restricción</v>
      </c>
      <c r="D2552" s="2" t="str">
        <f ca="1">IFERROR(__xludf.DUMMYFUNCTION("GOOGLETRANSLATE(B2552,""en"",""ig"")"),"igbochi")</f>
        <v>igbochi</v>
      </c>
      <c r="E2552" s="2" t="str">
        <f ca="1">IFERROR(__xludf.DUMMYFUNCTION("GOOGLETRANSLATE(B2552,""en"",""fr"")"),"contrainte")</f>
        <v>contrainte</v>
      </c>
      <c r="F2552" s="2" t="str">
        <f ca="1">IFERROR(__xludf.DUMMYFUNCTION("GOOGLETRANSLATE(B2552,""en"",""it"")"),"vincolo")</f>
        <v>vincolo</v>
      </c>
      <c r="G2552" s="2" t="str">
        <f ca="1">IFERROR(__xludf.DUMMYFUNCTION("GOOGLETRANSLATE(B2552,""en"",""de"")"),"Zwang")</f>
        <v>Zwang</v>
      </c>
      <c r="H2552" s="2" t="str">
        <f ca="1">IFERROR(__xludf.DUMMYFUNCTION("GOOGLETRANSLATE(B2552,""en"",""zh"")"),"约束")</f>
        <v>约束</v>
      </c>
      <c r="I2552" s="2" t="str">
        <f ca="1">IFERROR(__xludf.DUMMYFUNCTION("GOOGLETRANSLATE(B2552,""en"",""gd"")"),"cuingealachadh")</f>
        <v>cuingealachadh</v>
      </c>
    </row>
    <row r="2553" spans="1:9" ht="14.25" customHeight="1" x14ac:dyDescent="0.3">
      <c r="A2553" s="2">
        <v>2552</v>
      </c>
      <c r="B2553" s="3" t="s">
        <v>2560</v>
      </c>
      <c r="C2553" s="2" t="str">
        <f ca="1">IFERROR(__xludf.DUMMYFUNCTION("GOOGLETRANSLATE(B2553, ""en"",""es"")"),"doblar")</f>
        <v>doblar</v>
      </c>
      <c r="D2553" s="2" t="str">
        <f ca="1">IFERROR(__xludf.DUMMYFUNCTION("GOOGLETRANSLATE(B2553,""en"",""ig"")"),"imeshi")</f>
        <v>imeshi</v>
      </c>
      <c r="E2553" s="2" t="str">
        <f ca="1">IFERROR(__xludf.DUMMYFUNCTION("GOOGLETRANSLATE(B2553,""en"",""fr"")"),"pli")</f>
        <v>pli</v>
      </c>
      <c r="F2553" s="2" t="str">
        <f ca="1">IFERROR(__xludf.DUMMYFUNCTION("GOOGLETRANSLATE(B2553,""en"",""it"")"),"piega")</f>
        <v>piega</v>
      </c>
      <c r="G2553" s="2" t="str">
        <f ca="1">IFERROR(__xludf.DUMMYFUNCTION("GOOGLETRANSLATE(B2553,""en"",""de"")"),"falten")</f>
        <v>falten</v>
      </c>
      <c r="H2553" s="2" t="str">
        <f ca="1">IFERROR(__xludf.DUMMYFUNCTION("GOOGLETRANSLATE(B2553,""en"",""zh"")"),"折叠")</f>
        <v>折叠</v>
      </c>
      <c r="I2553" s="2" t="str">
        <f ca="1">IFERROR(__xludf.DUMMYFUNCTION("GOOGLETRANSLATE(B2553,""en"",""gd"")"),"filleadh")</f>
        <v>filleadh</v>
      </c>
    </row>
    <row r="2554" spans="1:9" ht="14.25" customHeight="1" x14ac:dyDescent="0.3">
      <c r="A2554" s="2">
        <v>2553</v>
      </c>
      <c r="B2554" s="3" t="s">
        <v>2561</v>
      </c>
      <c r="C2554" s="2" t="str">
        <f ca="1">IFERROR(__xludf.DUMMYFUNCTION("GOOGLETRANSLATE(B2554, ""en"",""es"")"),"papelera")</f>
        <v>papelera</v>
      </c>
      <c r="D2554" s="2" t="str">
        <f ca="1">IFERROR(__xludf.DUMMYFUNCTION("GOOGLETRANSLATE(B2554,""en"",""ig"")"),"biini")</f>
        <v>biini</v>
      </c>
      <c r="E2554" s="2" t="str">
        <f ca="1">IFERROR(__xludf.DUMMYFUNCTION("GOOGLETRANSLATE(B2554,""en"",""fr"")"),"poubelle")</f>
        <v>poubelle</v>
      </c>
      <c r="F2554" s="2" t="str">
        <f ca="1">IFERROR(__xludf.DUMMYFUNCTION("GOOGLETRANSLATE(B2554,""en"",""it"")"),"bidone")</f>
        <v>bidone</v>
      </c>
      <c r="G2554" s="2" t="str">
        <f ca="1">IFERROR(__xludf.DUMMYFUNCTION("GOOGLETRANSLATE(B2554,""en"",""de"")"),"Behälter")</f>
        <v>Behälter</v>
      </c>
      <c r="H2554" s="2" t="str">
        <f ca="1">IFERROR(__xludf.DUMMYFUNCTION("GOOGLETRANSLATE(B2554,""en"",""zh"")"),"垃圾桶")</f>
        <v>垃圾桶</v>
      </c>
      <c r="I2554" s="2" t="str">
        <f ca="1">IFERROR(__xludf.DUMMYFUNCTION("GOOGLETRANSLATE(B2554,""en"",""gd"")"),"bin")</f>
        <v>bin</v>
      </c>
    </row>
    <row r="2555" spans="1:9" ht="14.25" customHeight="1" x14ac:dyDescent="0.3">
      <c r="A2555" s="2">
        <v>2554</v>
      </c>
      <c r="B2555" s="3" t="s">
        <v>2562</v>
      </c>
      <c r="C2555" s="2" t="str">
        <f ca="1">IFERROR(__xludf.DUMMYFUNCTION("GOOGLETRANSLATE(B2555, ""en"",""es"")"),"someterse")</f>
        <v>someterse</v>
      </c>
      <c r="D2555" s="2" t="str">
        <f ca="1">IFERROR(__xludf.DUMMYFUNCTION("GOOGLETRANSLATE(B2555,""en"",""ig"")"),"na -aga")</f>
        <v>na -aga</v>
      </c>
      <c r="E2555" s="2" t="str">
        <f ca="1">IFERROR(__xludf.DUMMYFUNCTION("GOOGLETRANSLATE(B2555,""en"",""fr"")"),"subir")</f>
        <v>subir</v>
      </c>
      <c r="F2555" s="2" t="str">
        <f ca="1">IFERROR(__xludf.DUMMYFUNCTION("GOOGLETRANSLATE(B2555,""en"",""it"")"),"sottoporsi")</f>
        <v>sottoporsi</v>
      </c>
      <c r="G2555" s="2" t="str">
        <f ca="1">IFERROR(__xludf.DUMMYFUNCTION("GOOGLETRANSLATE(B2555,""en"",""de"")"),"unterziehen")</f>
        <v>unterziehen</v>
      </c>
      <c r="H2555" s="2" t="str">
        <f ca="1">IFERROR(__xludf.DUMMYFUNCTION("GOOGLETRANSLATE(B2555,""en"",""zh"")"),"经历")</f>
        <v>经历</v>
      </c>
      <c r="I2555" s="2" t="str">
        <f ca="1">IFERROR(__xludf.DUMMYFUNCTION("GOOGLETRANSLATE(B2555,""en"",""gd"")"),"air a dhol troimhe")</f>
        <v>air a dhol troimhe</v>
      </c>
    </row>
    <row r="2556" spans="1:9" ht="14.25" customHeight="1" x14ac:dyDescent="0.3">
      <c r="A2556" s="2">
        <v>2555</v>
      </c>
      <c r="B2556" s="3" t="s">
        <v>2563</v>
      </c>
      <c r="C2556" s="2" t="str">
        <f ca="1">IFERROR(__xludf.DUMMYFUNCTION("GOOGLETRANSLATE(B2556, ""en"",""es"")"),"potencialmente")</f>
        <v>potencialmente</v>
      </c>
      <c r="D2556" s="2" t="str">
        <f ca="1">IFERROR(__xludf.DUMMYFUNCTION("GOOGLETRANSLATE(B2556,""en"",""ig"")"),"enwere ike")</f>
        <v>enwere ike</v>
      </c>
      <c r="E2556" s="2" t="str">
        <f ca="1">IFERROR(__xludf.DUMMYFUNCTION("GOOGLETRANSLATE(B2556,""en"",""fr"")"),"potentiellement")</f>
        <v>potentiellement</v>
      </c>
      <c r="F2556" s="2" t="str">
        <f ca="1">IFERROR(__xludf.DUMMYFUNCTION("GOOGLETRANSLATE(B2556,""en"",""it"")"),"potenzialmente")</f>
        <v>potenzialmente</v>
      </c>
      <c r="G2556" s="2" t="str">
        <f ca="1">IFERROR(__xludf.DUMMYFUNCTION("GOOGLETRANSLATE(B2556,""en"",""de"")"),"möglicherweise")</f>
        <v>möglicherweise</v>
      </c>
      <c r="H2556" s="2" t="str">
        <f ca="1">IFERROR(__xludf.DUMMYFUNCTION("GOOGLETRANSLATE(B2556,""en"",""zh"")"),"可能")</f>
        <v>可能</v>
      </c>
      <c r="I2556" s="2" t="str">
        <f ca="1">IFERROR(__xludf.DUMMYFUNCTION("GOOGLETRANSLATE(B2556,""en"",""gd"")"),"comasach")</f>
        <v>comasach</v>
      </c>
    </row>
    <row r="2557" spans="1:9" ht="14.25" customHeight="1" x14ac:dyDescent="0.3">
      <c r="A2557" s="2">
        <v>2556</v>
      </c>
      <c r="B2557" s="3" t="s">
        <v>2564</v>
      </c>
      <c r="C2557" s="2" t="str">
        <f ca="1">IFERROR(__xludf.DUMMYFUNCTION("GOOGLETRANSLATE(B2557, ""en"",""es"")"),"alcance")</f>
        <v>alcance</v>
      </c>
      <c r="D2557" s="2" t="str">
        <f ca="1">IFERROR(__xludf.DUMMYFUNCTION("GOOGLETRANSLATE(B2557,""en"",""ig"")"),"oke")</f>
        <v>oke</v>
      </c>
      <c r="E2557" s="2" t="str">
        <f ca="1">IFERROR(__xludf.DUMMYFUNCTION("GOOGLETRANSLATE(B2557,""en"",""fr"")"),"portée")</f>
        <v>portée</v>
      </c>
      <c r="F2557" s="2" t="str">
        <f ca="1">IFERROR(__xludf.DUMMYFUNCTION("GOOGLETRANSLATE(B2557,""en"",""it"")"),"scopo")</f>
        <v>scopo</v>
      </c>
      <c r="G2557" s="2" t="str">
        <f ca="1">IFERROR(__xludf.DUMMYFUNCTION("GOOGLETRANSLATE(B2557,""en"",""de"")"),"Umfang")</f>
        <v>Umfang</v>
      </c>
      <c r="H2557" s="2" t="str">
        <f ca="1">IFERROR(__xludf.DUMMYFUNCTION("GOOGLETRANSLATE(B2557,""en"",""zh"")"),"范围")</f>
        <v>范围</v>
      </c>
      <c r="I2557" s="2" t="str">
        <f ca="1">IFERROR(__xludf.DUMMYFUNCTION("GOOGLETRANSLATE(B2557,""en"",""gd"")"),"farsaingeachd")</f>
        <v>farsaingeachd</v>
      </c>
    </row>
    <row r="2558" spans="1:9" ht="14.25" customHeight="1" x14ac:dyDescent="0.3">
      <c r="A2558" s="2">
        <v>2557</v>
      </c>
      <c r="B2558" s="3" t="s">
        <v>2565</v>
      </c>
      <c r="C2558" s="2" t="str">
        <f ca="1">IFERROR(__xludf.DUMMYFUNCTION("GOOGLETRANSLATE(B2558, ""en"",""es"")"),"pretender")</f>
        <v>pretender</v>
      </c>
      <c r="D2558" s="2" t="str">
        <f ca="1">IFERROR(__xludf.DUMMYFUNCTION("GOOGLETRANSLATE(B2558,""en"",""ig"")"),"nghogbu")</f>
        <v>nghogbu</v>
      </c>
      <c r="E2558" s="2" t="str">
        <f ca="1">IFERROR(__xludf.DUMMYFUNCTION("GOOGLETRANSLATE(B2558,""en"",""fr"")"),"prétendre")</f>
        <v>prétendre</v>
      </c>
      <c r="F2558" s="2" t="str">
        <f ca="1">IFERROR(__xludf.DUMMYFUNCTION("GOOGLETRANSLATE(B2558,""en"",""it"")"),"fare finta")</f>
        <v>fare finta</v>
      </c>
      <c r="G2558" s="2" t="str">
        <f ca="1">IFERROR(__xludf.DUMMYFUNCTION("GOOGLETRANSLATE(B2558,""en"",""de"")"),"vorgeben")</f>
        <v>vorgeben</v>
      </c>
      <c r="H2558" s="2" t="str">
        <f ca="1">IFERROR(__xludf.DUMMYFUNCTION("GOOGLETRANSLATE(B2558,""en"",""zh"")"),"假装")</f>
        <v>假装</v>
      </c>
      <c r="I2558" s="2" t="str">
        <f ca="1">IFERROR(__xludf.DUMMYFUNCTION("GOOGLETRANSLATE(B2558,""en"",""gd"")"),"Leig ort")</f>
        <v>Leig ort</v>
      </c>
    </row>
    <row r="2559" spans="1:9" ht="14.25" customHeight="1" x14ac:dyDescent="0.3">
      <c r="A2559" s="2">
        <v>2558</v>
      </c>
      <c r="B2559" s="3" t="s">
        <v>2566</v>
      </c>
      <c r="C2559" s="2" t="str">
        <f ca="1">IFERROR(__xludf.DUMMYFUNCTION("GOOGLETRANSLATE(B2559, ""en"",""es"")"),"diversidad")</f>
        <v>diversidad</v>
      </c>
      <c r="D2559" s="2" t="str">
        <f ca="1">IFERROR(__xludf.DUMMYFUNCTION("GOOGLETRANSLATE(B2559,""en"",""ig"")"),"fee")</f>
        <v>fee</v>
      </c>
      <c r="E2559" s="2" t="str">
        <f ca="1">IFERROR(__xludf.DUMMYFUNCTION("GOOGLETRANSLATE(B2559,""en"",""fr"")"),"diversité")</f>
        <v>diversité</v>
      </c>
      <c r="F2559" s="2" t="str">
        <f ca="1">IFERROR(__xludf.DUMMYFUNCTION("GOOGLETRANSLATE(B2559,""en"",""it"")"),"diversità")</f>
        <v>diversità</v>
      </c>
      <c r="G2559" s="2" t="str">
        <f ca="1">IFERROR(__xludf.DUMMYFUNCTION("GOOGLETRANSLATE(B2559,""en"",""de"")"),"Diversität")</f>
        <v>Diversität</v>
      </c>
      <c r="H2559" s="2" t="str">
        <f ca="1">IFERROR(__xludf.DUMMYFUNCTION("GOOGLETRANSLATE(B2559,""en"",""zh"")"),"多样性")</f>
        <v>多样性</v>
      </c>
      <c r="I2559" s="2" t="str">
        <f ca="1">IFERROR(__xludf.DUMMYFUNCTION("GOOGLETRANSLATE(B2559,""en"",""gd"")"),"Iomadachd")</f>
        <v>Iomadachd</v>
      </c>
    </row>
    <row r="2560" spans="1:9" ht="14.25" customHeight="1" x14ac:dyDescent="0.3">
      <c r="A2560" s="2">
        <v>2559</v>
      </c>
      <c r="B2560" s="3" t="s">
        <v>2567</v>
      </c>
      <c r="C2560" s="2" t="str">
        <f ca="1">IFERROR(__xludf.DUMMYFUNCTION("GOOGLETRANSLATE(B2560, ""en"",""es"")"),"alegar")</f>
        <v>alegar</v>
      </c>
      <c r="D2560" s="2" t="str">
        <f ca="1">IFERROR(__xludf.DUMMYFUNCTION("GOOGLETRANSLATE(B2560,""en"",""ig"")"),"ndi aha")</f>
        <v>ndi aha</v>
      </c>
      <c r="E2560" s="2" t="str">
        <f ca="1">IFERROR(__xludf.DUMMYFUNCTION("GOOGLETRANSLATE(B2560,""en"",""fr"")"),"alléguer")</f>
        <v>alléguer</v>
      </c>
      <c r="F2560" s="2" t="str">
        <f ca="1">IFERROR(__xludf.DUMMYFUNCTION("GOOGLETRANSLATE(B2560,""en"",""it"")"),"sostenere")</f>
        <v>sostenere</v>
      </c>
      <c r="G2560" s="2" t="str">
        <f ca="1">IFERROR(__xludf.DUMMYFUNCTION("GOOGLETRANSLATE(B2560,""en"",""de"")"),"behaupten")</f>
        <v>behaupten</v>
      </c>
      <c r="H2560" s="2" t="str">
        <f ca="1">IFERROR(__xludf.DUMMYFUNCTION("GOOGLETRANSLATE(B2560,""en"",""zh"")"),"指控")</f>
        <v>指控</v>
      </c>
      <c r="I2560" s="2" t="str">
        <f ca="1">IFERROR(__xludf.DUMMYFUNCTION("GOOGLETRANSLATE(B2560,""en"",""gd"")"),"allege")</f>
        <v>allege</v>
      </c>
    </row>
    <row r="2561" spans="1:9" ht="14.25" customHeight="1" x14ac:dyDescent="0.3">
      <c r="A2561" s="2">
        <v>2560</v>
      </c>
      <c r="B2561" s="3" t="s">
        <v>2568</v>
      </c>
      <c r="C2561" s="2" t="str">
        <f ca="1">IFERROR(__xludf.DUMMYFUNCTION("GOOGLETRANSLATE(B2561, ""en"",""es"")"),"orgullo")</f>
        <v>orgullo</v>
      </c>
      <c r="D2561" s="2" t="str">
        <f ca="1">IFERROR(__xludf.DUMMYFUNCTION("GOOGLETRANSLATE(B2561,""en"",""ig"")"),"nganga")</f>
        <v>nganga</v>
      </c>
      <c r="E2561" s="2" t="str">
        <f ca="1">IFERROR(__xludf.DUMMYFUNCTION("GOOGLETRANSLATE(B2561,""en"",""fr"")"),"fierté")</f>
        <v>fierté</v>
      </c>
      <c r="F2561" s="2" t="str">
        <f ca="1">IFERROR(__xludf.DUMMYFUNCTION("GOOGLETRANSLATE(B2561,""en"",""it"")"),"orgoglio")</f>
        <v>orgoglio</v>
      </c>
      <c r="G2561" s="2" t="str">
        <f ca="1">IFERROR(__xludf.DUMMYFUNCTION("GOOGLETRANSLATE(B2561,""en"",""de"")"),"Stolz")</f>
        <v>Stolz</v>
      </c>
      <c r="H2561" s="2" t="str">
        <f ca="1">IFERROR(__xludf.DUMMYFUNCTION("GOOGLETRANSLATE(B2561,""en"",""zh"")"),"自豪")</f>
        <v>自豪</v>
      </c>
      <c r="I2561" s="2" t="str">
        <f ca="1">IFERROR(__xludf.DUMMYFUNCTION("GOOGLETRANSLATE(B2561,""en"",""gd"")"),"uaill")</f>
        <v>uaill</v>
      </c>
    </row>
    <row r="2562" spans="1:9" ht="14.25" customHeight="1" x14ac:dyDescent="0.3">
      <c r="A2562" s="2">
        <v>2561</v>
      </c>
      <c r="B2562" s="3" t="s">
        <v>2569</v>
      </c>
      <c r="C2562" s="2" t="str">
        <f ca="1">IFERROR(__xludf.DUMMYFUNCTION("GOOGLETRANSLATE(B2562, ""en"",""es"")"),"intenso")</f>
        <v>intenso</v>
      </c>
      <c r="D2562" s="2" t="str">
        <f ca="1">IFERROR(__xludf.DUMMYFUNCTION("GOOGLETRANSLATE(B2562,""en"",""ig"")"),"keike")</f>
        <v>keike</v>
      </c>
      <c r="E2562" s="2" t="str">
        <f ca="1">IFERROR(__xludf.DUMMYFUNCTION("GOOGLETRANSLATE(B2562,""en"",""fr"")"),"intense")</f>
        <v>intense</v>
      </c>
      <c r="F2562" s="2" t="str">
        <f ca="1">IFERROR(__xludf.DUMMYFUNCTION("GOOGLETRANSLATE(B2562,""en"",""it"")"),"intenso")</f>
        <v>intenso</v>
      </c>
      <c r="G2562" s="2" t="str">
        <f ca="1">IFERROR(__xludf.DUMMYFUNCTION("GOOGLETRANSLATE(B2562,""en"",""de"")"),"intensiv")</f>
        <v>intensiv</v>
      </c>
      <c r="H2562" s="2" t="str">
        <f ca="1">IFERROR(__xludf.DUMMYFUNCTION("GOOGLETRANSLATE(B2562,""en"",""zh"")"),"激烈的")</f>
        <v>激烈的</v>
      </c>
      <c r="I2562" s="2" t="str">
        <f ca="1">IFERROR(__xludf.DUMMYFUNCTION("GOOGLETRANSLATE(B2562,""en"",""gd"")"),"dian")</f>
        <v>dian</v>
      </c>
    </row>
    <row r="2563" spans="1:9" ht="14.25" customHeight="1" x14ac:dyDescent="0.3">
      <c r="A2563" s="2">
        <v>2562</v>
      </c>
      <c r="B2563" s="3" t="s">
        <v>2570</v>
      </c>
      <c r="C2563" s="2" t="str">
        <f ca="1">IFERROR(__xludf.DUMMYFUNCTION("GOOGLETRANSLATE(B2563, ""en"",""es"")"),"consulta")</f>
        <v>consulta</v>
      </c>
      <c r="D2563" s="2" t="str">
        <f ca="1">IFERROR(__xludf.DUMMYFUNCTION("GOOGLETRANSLATE(B2563,""en"",""ig"")"),"njuputa")</f>
        <v>njuputa</v>
      </c>
      <c r="E2563" s="2" t="str">
        <f ca="1">IFERROR(__xludf.DUMMYFUNCTION("GOOGLETRANSLATE(B2563,""en"",""fr"")"),"enquête")</f>
        <v>enquête</v>
      </c>
      <c r="F2563" s="2" t="str">
        <f ca="1">IFERROR(__xludf.DUMMYFUNCTION("GOOGLETRANSLATE(B2563,""en"",""it"")"),"inchiesta")</f>
        <v>inchiesta</v>
      </c>
      <c r="G2563" s="2" t="str">
        <f ca="1">IFERROR(__xludf.DUMMYFUNCTION("GOOGLETRANSLATE(B2563,""en"",""de"")"),"Anfrage")</f>
        <v>Anfrage</v>
      </c>
      <c r="H2563" s="2" t="str">
        <f ca="1">IFERROR(__xludf.DUMMYFUNCTION("GOOGLETRANSLATE(B2563,""en"",""zh"")"),"询问")</f>
        <v>询问</v>
      </c>
      <c r="I2563" s="2" t="str">
        <f ca="1">IFERROR(__xludf.DUMMYFUNCTION("GOOGLETRANSLATE(B2563,""en"",""gd"")"),"Rannsachadh")</f>
        <v>Rannsachadh</v>
      </c>
    </row>
    <row r="2564" spans="1:9" ht="14.25" customHeight="1" x14ac:dyDescent="0.3">
      <c r="A2564" s="2">
        <v>2563</v>
      </c>
      <c r="B2564" s="3" t="s">
        <v>2571</v>
      </c>
      <c r="C2564" s="2" t="str">
        <f ca="1">IFERROR(__xludf.DUMMYFUNCTION("GOOGLETRANSLATE(B2564, ""en"",""es"")"),"renunciar")</f>
        <v>renunciar</v>
      </c>
      <c r="D2564" s="2" t="str">
        <f ca="1">IFERROR(__xludf.DUMMYFUNCTION("GOOGLETRANSLATE(B2564,""en"",""ig"")"),"ikwusioru")</f>
        <v>ikwusioru</v>
      </c>
      <c r="E2564" s="2" t="str">
        <f ca="1">IFERROR(__xludf.DUMMYFUNCTION("GOOGLETRANSLATE(B2564,""en"",""fr"")"),"démissionner")</f>
        <v>démissionner</v>
      </c>
      <c r="F2564" s="2" t="str">
        <f ca="1">IFERROR(__xludf.DUMMYFUNCTION("GOOGLETRANSLATE(B2564,""en"",""it"")"),"dimettersi")</f>
        <v>dimettersi</v>
      </c>
      <c r="G2564" s="2" t="str">
        <f ca="1">IFERROR(__xludf.DUMMYFUNCTION("GOOGLETRANSLATE(B2564,""en"",""de"")"),"zurücktreten")</f>
        <v>zurücktreten</v>
      </c>
      <c r="H2564" s="2" t="str">
        <f ca="1">IFERROR(__xludf.DUMMYFUNCTION("GOOGLETRANSLATE(B2564,""en"",""zh"")"),"辞职")</f>
        <v>辞职</v>
      </c>
      <c r="I2564" s="2" t="str">
        <f ca="1">IFERROR(__xludf.DUMMYFUNCTION("GOOGLETRANSLATE(B2564,""en"",""gd"")"),"Thoir suas")</f>
        <v>Thoir suas</v>
      </c>
    </row>
    <row r="2565" spans="1:9" ht="14.25" customHeight="1" x14ac:dyDescent="0.3">
      <c r="A2565" s="2">
        <v>2564</v>
      </c>
      <c r="B2565" s="3" t="s">
        <v>2572</v>
      </c>
      <c r="C2565" s="2" t="str">
        <f ca="1">IFERROR(__xludf.DUMMYFUNCTION("GOOGLETRANSLATE(B2565, ""en"",""es"")"),"artesanía")</f>
        <v>artesanía</v>
      </c>
      <c r="D2565" s="2" t="str">
        <f ca="1">IFERROR(__xludf.DUMMYFUNCTION("GOOGLETRANSLATE(B2565,""en"",""ig"")"),"oru oru")</f>
        <v>oru oru</v>
      </c>
      <c r="E2565" s="2" t="str">
        <f ca="1">IFERROR(__xludf.DUMMYFUNCTION("GOOGLETRANSLATE(B2565,""en"",""fr"")"),"artisanat")</f>
        <v>artisanat</v>
      </c>
      <c r="F2565" s="2" t="str">
        <f ca="1">IFERROR(__xludf.DUMMYFUNCTION("GOOGLETRANSLATE(B2565,""en"",""it"")"),"mestiere")</f>
        <v>mestiere</v>
      </c>
      <c r="G2565" s="2" t="str">
        <f ca="1">IFERROR(__xludf.DUMMYFUNCTION("GOOGLETRANSLATE(B2565,""en"",""de"")"),"Handwerk")</f>
        <v>Handwerk</v>
      </c>
      <c r="H2565" s="2" t="str">
        <f ca="1">IFERROR(__xludf.DUMMYFUNCTION("GOOGLETRANSLATE(B2565,""en"",""zh"")"),"工艺")</f>
        <v>工艺</v>
      </c>
      <c r="I2565" s="2" t="str">
        <f ca="1">IFERROR(__xludf.DUMMYFUNCTION("GOOGLETRANSLATE(B2565,""en"",""gd"")"),"ciùird")</f>
        <v>ciùird</v>
      </c>
    </row>
    <row r="2566" spans="1:9" ht="14.25" customHeight="1" x14ac:dyDescent="0.3">
      <c r="A2566" s="2">
        <v>2565</v>
      </c>
      <c r="B2566" s="3" t="s">
        <v>2573</v>
      </c>
      <c r="C2566" s="2" t="str">
        <f ca="1">IFERROR(__xludf.DUMMYFUNCTION("GOOGLETRANSLATE(B2566, ""en"",""es"")"),"estricto")</f>
        <v>estricto</v>
      </c>
      <c r="D2566" s="2" t="str">
        <f ca="1">IFERROR(__xludf.DUMMYFUNCTION("GOOGLETRANSLATE(B2566,""en"",""ig"")"),"strikt")</f>
        <v>strikt</v>
      </c>
      <c r="E2566" s="2" t="str">
        <f ca="1">IFERROR(__xludf.DUMMYFUNCTION("GOOGLETRANSLATE(B2566,""en"",""fr"")"),"strict")</f>
        <v>strict</v>
      </c>
      <c r="F2566" s="2" t="str">
        <f ca="1">IFERROR(__xludf.DUMMYFUNCTION("GOOGLETRANSLATE(B2566,""en"",""it"")"),"rigoroso")</f>
        <v>rigoroso</v>
      </c>
      <c r="G2566" s="2" t="str">
        <f ca="1">IFERROR(__xludf.DUMMYFUNCTION("GOOGLETRANSLATE(B2566,""en"",""de"")"),"strikt")</f>
        <v>strikt</v>
      </c>
      <c r="H2566" s="2" t="str">
        <f ca="1">IFERROR(__xludf.DUMMYFUNCTION("GOOGLETRANSLATE(B2566,""en"",""zh"")"),"严格的")</f>
        <v>严格的</v>
      </c>
      <c r="I2566" s="2" t="str">
        <f ca="1">IFERROR(__xludf.DUMMYFUNCTION("GOOGLETRANSLATE(B2566,""en"",""gd"")"),"teann")</f>
        <v>teann</v>
      </c>
    </row>
    <row r="2567" spans="1:9" ht="14.25" customHeight="1" x14ac:dyDescent="0.3">
      <c r="A2567" s="2">
        <v>2566</v>
      </c>
      <c r="B2567" s="3" t="s">
        <v>2574</v>
      </c>
      <c r="C2567" s="2" t="str">
        <f ca="1">IFERROR(__xludf.DUMMYFUNCTION("GOOGLETRANSLATE(B2567, ""en"",""es"")"),"concreto")</f>
        <v>concreto</v>
      </c>
      <c r="D2567" s="2" t="str">
        <f ca="1">IFERROR(__xludf.DUMMYFUNCTION("GOOGLETRANSLATE(B2567,""en"",""ig"")"),"ihe")</f>
        <v>ihe</v>
      </c>
      <c r="E2567" s="2" t="str">
        <f ca="1">IFERROR(__xludf.DUMMYFUNCTION("GOOGLETRANSLATE(B2567,""en"",""fr"")"),"béton")</f>
        <v>béton</v>
      </c>
      <c r="F2567" s="2" t="str">
        <f ca="1">IFERROR(__xludf.DUMMYFUNCTION("GOOGLETRANSLATE(B2567,""en"",""it"")"),"calcestruzzo")</f>
        <v>calcestruzzo</v>
      </c>
      <c r="G2567" s="2" t="str">
        <f ca="1">IFERROR(__xludf.DUMMYFUNCTION("GOOGLETRANSLATE(B2567,""en"",""de"")"),"Beton")</f>
        <v>Beton</v>
      </c>
      <c r="H2567" s="2" t="str">
        <f ca="1">IFERROR(__xludf.DUMMYFUNCTION("GOOGLETRANSLATE(B2567,""en"",""zh"")"),"具体的")</f>
        <v>具体的</v>
      </c>
      <c r="I2567" s="2" t="str">
        <f ca="1">IFERROR(__xludf.DUMMYFUNCTION("GOOGLETRANSLATE(B2567,""en"",""gd"")"),"cruadhtan")</f>
        <v>cruadhtan</v>
      </c>
    </row>
    <row r="2568" spans="1:9" ht="14.25" customHeight="1" x14ac:dyDescent="0.3">
      <c r="A2568" s="2">
        <v>2567</v>
      </c>
      <c r="B2568" s="3" t="s">
        <v>2575</v>
      </c>
      <c r="C2568" s="2" t="str">
        <f ca="1">IFERROR(__xludf.DUMMYFUNCTION("GOOGLETRANSLATE(B2568, ""en"",""es"")"),"caparazón")</f>
        <v>caparazón</v>
      </c>
      <c r="D2568" s="2" t="str">
        <f ca="1">IFERROR(__xludf.DUMMYFUNCTION("GOOGLETRANSLATE(B2568,""en"",""ig"")"),"shei")</f>
        <v>shei</v>
      </c>
      <c r="E2568" s="2" t="str">
        <f ca="1">IFERROR(__xludf.DUMMYFUNCTION("GOOGLETRANSLATE(B2568,""en"",""fr"")"),"coquille")</f>
        <v>coquille</v>
      </c>
      <c r="F2568" s="2" t="str">
        <f ca="1">IFERROR(__xludf.DUMMYFUNCTION("GOOGLETRANSLATE(B2568,""en"",""it"")"),"conchiglia")</f>
        <v>conchiglia</v>
      </c>
      <c r="G2568" s="2" t="str">
        <f ca="1">IFERROR(__xludf.DUMMYFUNCTION("GOOGLETRANSLATE(B2568,""en"",""de"")"),"Hülse")</f>
        <v>Hülse</v>
      </c>
      <c r="H2568" s="2" t="str">
        <f ca="1">IFERROR(__xludf.DUMMYFUNCTION("GOOGLETRANSLATE(B2568,""en"",""zh"")"),"壳")</f>
        <v>壳</v>
      </c>
      <c r="I2568" s="2" t="str">
        <f ca="1">IFERROR(__xludf.DUMMYFUNCTION("GOOGLETRANSLATE(B2568,""en"",""gd"")"),"slige")</f>
        <v>slige</v>
      </c>
    </row>
    <row r="2569" spans="1:9" ht="14.25" customHeight="1" x14ac:dyDescent="0.3">
      <c r="A2569" s="2">
        <v>2568</v>
      </c>
      <c r="B2569" s="3" t="s">
        <v>2576</v>
      </c>
      <c r="C2569" s="2" t="str">
        <f ca="1">IFERROR(__xludf.DUMMYFUNCTION("GOOGLETRANSLATE(B2569, ""en"",""es"")"),"maldición")</f>
        <v>maldición</v>
      </c>
      <c r="D2569" s="2" t="str">
        <f ca="1">IFERROR(__xludf.DUMMYFUNCTION("GOOGLETRANSLATE(B2569,""en"",""ig"")"),"Ụchụ")</f>
        <v>Ụchụ</v>
      </c>
      <c r="E2569" s="2" t="str">
        <f ca="1">IFERROR(__xludf.DUMMYFUNCTION("GOOGLETRANSLATE(B2569,""en"",""fr"")"),"condamner")</f>
        <v>condamner</v>
      </c>
      <c r="F2569" s="2" t="str">
        <f ca="1">IFERROR(__xludf.DUMMYFUNCTION("GOOGLETRANSLATE(B2569,""en"",""it"")"),"Dannazione")</f>
        <v>Dannazione</v>
      </c>
      <c r="G2569" s="2" t="str">
        <f ca="1">IFERROR(__xludf.DUMMYFUNCTION("GOOGLETRANSLATE(B2569,""en"",""de"")"),"Verdammt")</f>
        <v>Verdammt</v>
      </c>
      <c r="H2569" s="2" t="str">
        <f ca="1">IFERROR(__xludf.DUMMYFUNCTION("GOOGLETRANSLATE(B2569,""en"",""zh"")"),"该死")</f>
        <v>该死</v>
      </c>
      <c r="I2569" s="2" t="str">
        <f ca="1">IFERROR(__xludf.DUMMYFUNCTION("GOOGLETRANSLATE(B2569,""en"",""gd"")"),"damn")</f>
        <v>damn</v>
      </c>
    </row>
    <row r="2570" spans="1:9" ht="14.25" customHeight="1" x14ac:dyDescent="0.3">
      <c r="A2570" s="2">
        <v>2569</v>
      </c>
      <c r="B2570" s="3" t="s">
        <v>2577</v>
      </c>
      <c r="C2570" s="2" t="str">
        <f ca="1">IFERROR(__xludf.DUMMYFUNCTION("GOOGLETRANSLATE(B2570, ""en"",""es"")"),"distinto")</f>
        <v>distinto</v>
      </c>
      <c r="D2570" s="2" t="str">
        <f ca="1">IFERROR(__xludf.DUMMYFUNCTION("GOOGLETRANSLATE(B2570,""en"",""ig"")"),"keniche")</f>
        <v>keniche</v>
      </c>
      <c r="E2570" s="2" t="str">
        <f ca="1">IFERROR(__xludf.DUMMYFUNCTION("GOOGLETRANSLATE(B2570,""en"",""fr"")"),"distinct")</f>
        <v>distinct</v>
      </c>
      <c r="F2570" s="2" t="str">
        <f ca="1">IFERROR(__xludf.DUMMYFUNCTION("GOOGLETRANSLATE(B2570,""en"",""it"")"),"distinto")</f>
        <v>distinto</v>
      </c>
      <c r="G2570" s="2" t="str">
        <f ca="1">IFERROR(__xludf.DUMMYFUNCTION("GOOGLETRANSLATE(B2570,""en"",""de"")"),"unterscheidbar")</f>
        <v>unterscheidbar</v>
      </c>
      <c r="H2570" s="2" t="str">
        <f ca="1">IFERROR(__xludf.DUMMYFUNCTION("GOOGLETRANSLATE(B2570,""en"",""zh"")"),"清楚的")</f>
        <v>清楚的</v>
      </c>
      <c r="I2570" s="2" t="str">
        <f ca="1">IFERROR(__xludf.DUMMYFUNCTION("GOOGLETRANSLATE(B2570,""en"",""gd"")"),"eadar-dhealaichte")</f>
        <v>eadar-dhealaichte</v>
      </c>
    </row>
    <row r="2571" spans="1:9" ht="14.25" customHeight="1" x14ac:dyDescent="0.3">
      <c r="A2571" s="2">
        <v>2570</v>
      </c>
      <c r="B2571" s="3" t="s">
        <v>2578</v>
      </c>
      <c r="C2571" s="2" t="str">
        <f ca="1">IFERROR(__xludf.DUMMYFUNCTION("GOOGLETRANSLATE(B2571, ""en"",""es"")"),"humor")</f>
        <v>humor</v>
      </c>
      <c r="D2571" s="2" t="str">
        <f ca="1">IFERROR(__xludf.DUMMYFUNCTION("GOOGLETRANSLATE(B2571,""en"",""ig"")"),"mmeochi")</f>
        <v>mmeochi</v>
      </c>
      <c r="E2571" s="2" t="str">
        <f ca="1">IFERROR(__xludf.DUMMYFUNCTION("GOOGLETRANSLATE(B2571,""en"",""fr"")"),"humour")</f>
        <v>humour</v>
      </c>
      <c r="F2571" s="2" t="str">
        <f ca="1">IFERROR(__xludf.DUMMYFUNCTION("GOOGLETRANSLATE(B2571,""en"",""it"")"),"umorismo")</f>
        <v>umorismo</v>
      </c>
      <c r="G2571" s="2" t="str">
        <f ca="1">IFERROR(__xludf.DUMMYFUNCTION("GOOGLETRANSLATE(B2571,""en"",""de"")"),"Humor")</f>
        <v>Humor</v>
      </c>
      <c r="H2571" s="2" t="str">
        <f ca="1">IFERROR(__xludf.DUMMYFUNCTION("GOOGLETRANSLATE(B2571,""en"",""zh"")"),"幽默")</f>
        <v>幽默</v>
      </c>
      <c r="I2571" s="2" t="str">
        <f ca="1">IFERROR(__xludf.DUMMYFUNCTION("GOOGLETRANSLATE(B2571,""en"",""gd"")"),"àbhachdas")</f>
        <v>àbhachdas</v>
      </c>
    </row>
    <row r="2572" spans="1:9" ht="14.25" customHeight="1" x14ac:dyDescent="0.3">
      <c r="A2572" s="2">
        <v>2571</v>
      </c>
      <c r="B2572" s="3" t="s">
        <v>2579</v>
      </c>
      <c r="C2572" s="2" t="str">
        <f ca="1">IFERROR(__xludf.DUMMYFUNCTION("GOOGLETRANSLATE(B2572, ""en"",""es"")"),"limitación")</f>
        <v>limitación</v>
      </c>
      <c r="D2572" s="2" t="str">
        <f ca="1">IFERROR(__xludf.DUMMYFUNCTION("GOOGLETRANSLATE(B2572,""en"",""ig"")"),"mmachi")</f>
        <v>mmachi</v>
      </c>
      <c r="E2572" s="2" t="str">
        <f ca="1">IFERROR(__xludf.DUMMYFUNCTION("GOOGLETRANSLATE(B2572,""en"",""fr"")"),"limitation")</f>
        <v>limitation</v>
      </c>
      <c r="F2572" s="2" t="str">
        <f ca="1">IFERROR(__xludf.DUMMYFUNCTION("GOOGLETRANSLATE(B2572,""en"",""it"")"),"limitazione")</f>
        <v>limitazione</v>
      </c>
      <c r="G2572" s="2" t="str">
        <f ca="1">IFERROR(__xludf.DUMMYFUNCTION("GOOGLETRANSLATE(B2572,""en"",""de"")"),"Einschränkung")</f>
        <v>Einschränkung</v>
      </c>
      <c r="H2572" s="2" t="str">
        <f ca="1">IFERROR(__xludf.DUMMYFUNCTION("GOOGLETRANSLATE(B2572,""en"",""zh"")"),"局限性")</f>
        <v>局限性</v>
      </c>
      <c r="I2572" s="2" t="str">
        <f ca="1">IFERROR(__xludf.DUMMYFUNCTION("GOOGLETRANSLATE(B2572,""en"",""gd"")"),"Cuingealachadh")</f>
        <v>Cuingealachadh</v>
      </c>
    </row>
    <row r="2573" spans="1:9" ht="14.25" customHeight="1" x14ac:dyDescent="0.3">
      <c r="A2573" s="2">
        <v>2572</v>
      </c>
      <c r="B2573" s="3" t="s">
        <v>2580</v>
      </c>
      <c r="C2573" s="2" t="str">
        <f ca="1">IFERROR(__xludf.DUMMYFUNCTION("GOOGLETRANSLATE(B2573, ""en"",""es"")"),"indicación")</f>
        <v>indicación</v>
      </c>
      <c r="D2573" s="2" t="str">
        <f ca="1">IFERROR(__xludf.DUMMYFUNCTION("GOOGLETRANSLATE(B2573,""en"",""ig"")"),"ngosi")</f>
        <v>ngosi</v>
      </c>
      <c r="E2573" s="2" t="str">
        <f ca="1">IFERROR(__xludf.DUMMYFUNCTION("GOOGLETRANSLATE(B2573,""en"",""fr"")"),"indication")</f>
        <v>indication</v>
      </c>
      <c r="F2573" s="2" t="str">
        <f ca="1">IFERROR(__xludf.DUMMYFUNCTION("GOOGLETRANSLATE(B2573,""en"",""it"")"),"indicazione")</f>
        <v>indicazione</v>
      </c>
      <c r="G2573" s="2" t="str">
        <f ca="1">IFERROR(__xludf.DUMMYFUNCTION("GOOGLETRANSLATE(B2573,""en"",""de"")"),"Indikation")</f>
        <v>Indikation</v>
      </c>
      <c r="H2573" s="2" t="str">
        <f ca="1">IFERROR(__xludf.DUMMYFUNCTION("GOOGLETRANSLATE(B2573,""en"",""zh"")"),"指示")</f>
        <v>指示</v>
      </c>
      <c r="I2573" s="2" t="str">
        <f ca="1">IFERROR(__xludf.DUMMYFUNCTION("GOOGLETRANSLATE(B2573,""en"",""gd"")"),"comharra")</f>
        <v>comharra</v>
      </c>
    </row>
    <row r="2574" spans="1:9" ht="14.25" customHeight="1" x14ac:dyDescent="0.3">
      <c r="A2574" s="2">
        <v>2573</v>
      </c>
      <c r="B2574" s="3" t="s">
        <v>2581</v>
      </c>
      <c r="C2574" s="2" t="str">
        <f ca="1">IFERROR(__xludf.DUMMYFUNCTION("GOOGLETRANSLATE(B2574, ""en"",""es"")"),"estabilidad")</f>
        <v>estabilidad</v>
      </c>
      <c r="D2574" s="2" t="str">
        <f ca="1">IFERROR(__xludf.DUMMYFUNCTION("GOOGLETRANSLATE(B2574,""en"",""ig"")"),"stebul")</f>
        <v>stebul</v>
      </c>
      <c r="E2574" s="2" t="str">
        <f ca="1">IFERROR(__xludf.DUMMYFUNCTION("GOOGLETRANSLATE(B2574,""en"",""fr"")"),"la stabilité")</f>
        <v>la stabilité</v>
      </c>
      <c r="F2574" s="2" t="str">
        <f ca="1">IFERROR(__xludf.DUMMYFUNCTION("GOOGLETRANSLATE(B2574,""en"",""it"")"),"stabilità")</f>
        <v>stabilità</v>
      </c>
      <c r="G2574" s="2" t="str">
        <f ca="1">IFERROR(__xludf.DUMMYFUNCTION("GOOGLETRANSLATE(B2574,""en"",""de"")"),"Stabilität")</f>
        <v>Stabilität</v>
      </c>
      <c r="H2574" s="2" t="str">
        <f ca="1">IFERROR(__xludf.DUMMYFUNCTION("GOOGLETRANSLATE(B2574,""en"",""zh"")"),"稳定")</f>
        <v>稳定</v>
      </c>
      <c r="I2574" s="2" t="str">
        <f ca="1">IFERROR(__xludf.DUMMYFUNCTION("GOOGLETRANSLATE(B2574,""en"",""gd"")"),"seasmhachd")</f>
        <v>seasmhachd</v>
      </c>
    </row>
    <row r="2575" spans="1:9" ht="14.25" customHeight="1" x14ac:dyDescent="0.3">
      <c r="A2575" s="2">
        <v>2574</v>
      </c>
      <c r="B2575" s="3" t="s">
        <v>2582</v>
      </c>
      <c r="C2575" s="2" t="str">
        <f ca="1">IFERROR(__xludf.DUMMYFUNCTION("GOOGLETRANSLATE(B2575, ""en"",""es"")"),"inteligente")</f>
        <v>inteligente</v>
      </c>
      <c r="D2575" s="2" t="str">
        <f ca="1">IFERROR(__xludf.DUMMYFUNCTION("GOOGLETRANSLATE(B2575,""en"",""ig"")"),"keamamihe")</f>
        <v>keamamihe</v>
      </c>
      <c r="E2575" s="2" t="str">
        <f ca="1">IFERROR(__xludf.DUMMYFUNCTION("GOOGLETRANSLATE(B2575,""en"",""fr"")"),"sage")</f>
        <v>sage</v>
      </c>
      <c r="F2575" s="2" t="str">
        <f ca="1">IFERROR(__xludf.DUMMYFUNCTION("GOOGLETRANSLATE(B2575,""en"",""it"")"),"saggio")</f>
        <v>saggio</v>
      </c>
      <c r="G2575" s="2" t="str">
        <f ca="1">IFERROR(__xludf.DUMMYFUNCTION("GOOGLETRANSLATE(B2575,""en"",""de"")"),"weise")</f>
        <v>weise</v>
      </c>
      <c r="H2575" s="2" t="str">
        <f ca="1">IFERROR(__xludf.DUMMYFUNCTION("GOOGLETRANSLATE(B2575,""en"",""zh"")"),"明智的")</f>
        <v>明智的</v>
      </c>
      <c r="I2575" s="2" t="str">
        <f ca="1">IFERROR(__xludf.DUMMYFUNCTION("GOOGLETRANSLATE(B2575,""en"",""gd"")"),"glic")</f>
        <v>glic</v>
      </c>
    </row>
    <row r="2576" spans="1:9" ht="14.25" customHeight="1" x14ac:dyDescent="0.3">
      <c r="A2576" s="2">
        <v>2575</v>
      </c>
      <c r="B2576" s="3" t="s">
        <v>2583</v>
      </c>
      <c r="C2576" s="2" t="str">
        <f ca="1">IFERROR(__xludf.DUMMYFUNCTION("GOOGLETRANSLATE(B2576, ""en"",""es"")"),"descuido")</f>
        <v>descuido</v>
      </c>
      <c r="D2576" s="2" t="str">
        <f ca="1">IFERROR(__xludf.DUMMYFUNCTION("GOOGLETRANSLATE(B2576,""en"",""ig"")"),"nletu")</f>
        <v>nletu</v>
      </c>
      <c r="E2576" s="2" t="str">
        <f ca="1">IFERROR(__xludf.DUMMYFUNCTION("GOOGLETRANSLATE(B2576,""en"",""fr"")"),"négligence")</f>
        <v>négligence</v>
      </c>
      <c r="F2576" s="2" t="str">
        <f ca="1">IFERROR(__xludf.DUMMYFUNCTION("GOOGLETRANSLATE(B2576,""en"",""it"")"),"trascurare")</f>
        <v>trascurare</v>
      </c>
      <c r="G2576" s="2" t="str">
        <f ca="1">IFERROR(__xludf.DUMMYFUNCTION("GOOGLETRANSLATE(B2576,""en"",""de"")"),"Vernachlässigung")</f>
        <v>Vernachlässigung</v>
      </c>
      <c r="H2576" s="2" t="str">
        <f ca="1">IFERROR(__xludf.DUMMYFUNCTION("GOOGLETRANSLATE(B2576,""en"",""zh"")"),"忽视")</f>
        <v>忽视</v>
      </c>
      <c r="I2576" s="2" t="str">
        <f ca="1">IFERROR(__xludf.DUMMYFUNCTION("GOOGLETRANSLATE(B2576,""en"",""gd"")"),"dearmad")</f>
        <v>dearmad</v>
      </c>
    </row>
    <row r="2577" spans="1:9" ht="14.25" customHeight="1" x14ac:dyDescent="0.3">
      <c r="A2577" s="2">
        <v>2576</v>
      </c>
      <c r="B2577" s="3" t="s">
        <v>2584</v>
      </c>
      <c r="C2577" s="2" t="str">
        <f ca="1">IFERROR(__xludf.DUMMYFUNCTION("GOOGLETRANSLATE(B2577, ""en"",""es"")"),"componer")</f>
        <v>componer</v>
      </c>
      <c r="D2577" s="2" t="str">
        <f ca="1">IFERROR(__xludf.DUMMYFUNCTION("GOOGLETRANSLATE(B2577,""en"",""ig"")"),"ideputa")</f>
        <v>ideputa</v>
      </c>
      <c r="E2577" s="2" t="str">
        <f ca="1">IFERROR(__xludf.DUMMYFUNCTION("GOOGLETRANSLATE(B2577,""en"",""fr"")"),"composer")</f>
        <v>composer</v>
      </c>
      <c r="F2577" s="2" t="str">
        <f ca="1">IFERROR(__xludf.DUMMYFUNCTION("GOOGLETRANSLATE(B2577,""en"",""it"")"),"comporre")</f>
        <v>comporre</v>
      </c>
      <c r="G2577" s="2" t="str">
        <f ca="1">IFERROR(__xludf.DUMMYFUNCTION("GOOGLETRANSLATE(B2577,""en"",""de"")"),"komponieren")</f>
        <v>komponieren</v>
      </c>
      <c r="H2577" s="2" t="str">
        <f ca="1">IFERROR(__xludf.DUMMYFUNCTION("GOOGLETRANSLATE(B2577,""en"",""zh"")"),"撰写")</f>
        <v>撰写</v>
      </c>
      <c r="I2577" s="2" t="str">
        <f ca="1">IFERROR(__xludf.DUMMYFUNCTION("GOOGLETRANSLATE(B2577,""en"",""gd"")"),"Coileant")</f>
        <v>Coileant</v>
      </c>
    </row>
    <row r="2578" spans="1:9" ht="14.25" customHeight="1" x14ac:dyDescent="0.3">
      <c r="A2578" s="2">
        <v>2577</v>
      </c>
      <c r="B2578" s="3" t="s">
        <v>2585</v>
      </c>
      <c r="C2578" s="2" t="str">
        <f ca="1">IFERROR(__xludf.DUMMYFUNCTION("GOOGLETRANSLATE(B2578, ""en"",""es"")"),"celda")</f>
        <v>celda</v>
      </c>
      <c r="D2578" s="2" t="str">
        <f ca="1">IFERROR(__xludf.DUMMYFUNCTION("GOOGLETRANSLATE(B2578,""en"",""ig"")"),"mkporo")</f>
        <v>mkporo</v>
      </c>
      <c r="E2578" s="2" t="str">
        <f ca="1">IFERROR(__xludf.DUMMYFUNCTION("GOOGLETRANSLATE(B2578,""en"",""fr"")"),"prison")</f>
        <v>prison</v>
      </c>
      <c r="F2578" s="2" t="str">
        <f ca="1">IFERROR(__xludf.DUMMYFUNCTION("GOOGLETRANSLATE(B2578,""en"",""it"")"),"prigione")</f>
        <v>prigione</v>
      </c>
      <c r="G2578" s="2" t="str">
        <f ca="1">IFERROR(__xludf.DUMMYFUNCTION("GOOGLETRANSLATE(B2578,""en"",""de"")"),"Gefängnis")</f>
        <v>Gefängnis</v>
      </c>
      <c r="H2578" s="2" t="str">
        <f ca="1">IFERROR(__xludf.DUMMYFUNCTION("GOOGLETRANSLATE(B2578,""en"",""zh"")"),"监狱")</f>
        <v>监狱</v>
      </c>
      <c r="I2578" s="2" t="str">
        <f ca="1">IFERROR(__xludf.DUMMYFUNCTION("GOOGLETRANSLATE(B2578,""en"",""gd"")"),"Prìosan")</f>
        <v>Prìosan</v>
      </c>
    </row>
    <row r="2579" spans="1:9" ht="14.25" customHeight="1" x14ac:dyDescent="0.3">
      <c r="A2579" s="2">
        <v>2578</v>
      </c>
      <c r="B2579" s="3" t="s">
        <v>2586</v>
      </c>
      <c r="C2579" s="2" t="str">
        <f ca="1">IFERROR(__xludf.DUMMYFUNCTION("GOOGLETRANSLATE(B2579, ""en"",""es"")"),"refugio")</f>
        <v>refugio</v>
      </c>
      <c r="D2579" s="2" t="str">
        <f ca="1">IFERROR(__xludf.DUMMYFUNCTION("GOOGLETRANSLATE(B2579,""en"",""ig"")"),"izobe")</f>
        <v>izobe</v>
      </c>
      <c r="E2579" s="2" t="str">
        <f ca="1">IFERROR(__xludf.DUMMYFUNCTION("GOOGLETRANSLATE(B2579,""en"",""fr"")"),"abri")</f>
        <v>abri</v>
      </c>
      <c r="F2579" s="2" t="str">
        <f ca="1">IFERROR(__xludf.DUMMYFUNCTION("GOOGLETRANSLATE(B2579,""en"",""it"")"),"riparo")</f>
        <v>riparo</v>
      </c>
      <c r="G2579" s="2" t="str">
        <f ca="1">IFERROR(__xludf.DUMMYFUNCTION("GOOGLETRANSLATE(B2579,""en"",""de"")"),"Unterschlupf")</f>
        <v>Unterschlupf</v>
      </c>
      <c r="H2579" s="2" t="str">
        <f ca="1">IFERROR(__xludf.DUMMYFUNCTION("GOOGLETRANSLATE(B2579,""en"",""zh"")"),"庇护所")</f>
        <v>庇护所</v>
      </c>
      <c r="I2579" s="2" t="str">
        <f ca="1">IFERROR(__xludf.DUMMYFUNCTION("GOOGLETRANSLATE(B2579,""en"",""gd"")"),"fasgadh")</f>
        <v>fasgadh</v>
      </c>
    </row>
    <row r="2580" spans="1:9" ht="14.25" customHeight="1" x14ac:dyDescent="0.3">
      <c r="A2580" s="2">
        <v>2579</v>
      </c>
      <c r="B2580" s="3" t="s">
        <v>2587</v>
      </c>
      <c r="C2580" s="2" t="str">
        <f ca="1">IFERROR(__xludf.DUMMYFUNCTION("GOOGLETRANSLATE(B2580, ""en"",""es"")"),"mero")</f>
        <v>mero</v>
      </c>
      <c r="D2580" s="2" t="str">
        <f ca="1">IFERROR(__xludf.DUMMYFUNCTION("GOOGLETRANSLATE(B2580,""en"",""ig"")"),"slar")</f>
        <v>slar</v>
      </c>
      <c r="E2580" s="2" t="str">
        <f ca="1">IFERROR(__xludf.DUMMYFUNCTION("GOOGLETRANSLATE(B2580,""en"",""fr"")"),"simple")</f>
        <v>simple</v>
      </c>
      <c r="F2580" s="2" t="str">
        <f ca="1">IFERROR(__xludf.DUMMYFUNCTION("GOOGLETRANSLATE(B2580,""en"",""it"")"),"semplice")</f>
        <v>semplice</v>
      </c>
      <c r="G2580" s="2" t="str">
        <f ca="1">IFERROR(__xludf.DUMMYFUNCTION("GOOGLETRANSLATE(B2580,""en"",""de"")"),"bloß")</f>
        <v>bloß</v>
      </c>
      <c r="H2580" s="2" t="str">
        <f ca="1">IFERROR(__xludf.DUMMYFUNCTION("GOOGLETRANSLATE(B2580,""en"",""zh"")"),"仅仅")</f>
        <v>仅仅</v>
      </c>
      <c r="I2580" s="2" t="str">
        <f ca="1">IFERROR(__xludf.DUMMYFUNCTION("GOOGLETRANSLATE(B2580,""en"",""gd"")"),"mere")</f>
        <v>mere</v>
      </c>
    </row>
    <row r="2581" spans="1:9" ht="14.25" customHeight="1" x14ac:dyDescent="0.3">
      <c r="A2581" s="2">
        <v>2580</v>
      </c>
      <c r="B2581" s="3" t="s">
        <v>2588</v>
      </c>
      <c r="C2581" s="2" t="str">
        <f ca="1">IFERROR(__xludf.DUMMYFUNCTION("GOOGLETRANSLATE(B2581, ""en"",""es"")"),"carbón")</f>
        <v>carbón</v>
      </c>
      <c r="D2581" s="2" t="str">
        <f ca="1">IFERROR(__xludf.DUMMYFUNCTION("GOOGLETRANSLATE(B2581,""en"",""ig"")"),"kabon")</f>
        <v>kabon</v>
      </c>
      <c r="E2581" s="2" t="str">
        <f ca="1">IFERROR(__xludf.DUMMYFUNCTION("GOOGLETRANSLATE(B2581,""en"",""fr"")"),"carbone")</f>
        <v>carbone</v>
      </c>
      <c r="F2581" s="2" t="str">
        <f ca="1">IFERROR(__xludf.DUMMYFUNCTION("GOOGLETRANSLATE(B2581,""en"",""it"")"),"carbonio")</f>
        <v>carbonio</v>
      </c>
      <c r="G2581" s="2" t="str">
        <f ca="1">IFERROR(__xludf.DUMMYFUNCTION("GOOGLETRANSLATE(B2581,""en"",""de"")"),"Kohlenstoff")</f>
        <v>Kohlenstoff</v>
      </c>
      <c r="H2581" s="2" t="str">
        <f ca="1">IFERROR(__xludf.DUMMYFUNCTION("GOOGLETRANSLATE(B2581,""en"",""zh"")"),"碳")</f>
        <v>碳</v>
      </c>
      <c r="I2581" s="2" t="str">
        <f ca="1">IFERROR(__xludf.DUMMYFUNCTION("GOOGLETRANSLATE(B2581,""en"",""gd"")"),"carbon")</f>
        <v>carbon</v>
      </c>
    </row>
    <row r="2582" spans="1:9" ht="14.25" customHeight="1" x14ac:dyDescent="0.3">
      <c r="A2582" s="2">
        <v>2581</v>
      </c>
      <c r="B2582" s="3" t="s">
        <v>2589</v>
      </c>
      <c r="C2582" s="2" t="str">
        <f ca="1">IFERROR(__xludf.DUMMYFUNCTION("GOOGLETRANSLATE(B2582, ""en"",""es"")"),"regular")</f>
        <v>regular</v>
      </c>
      <c r="D2582" s="2" t="str">
        <f ca="1">IFERROR(__xludf.DUMMYFUNCTION("GOOGLETRANSLATE(B2582,""en"",""ig"")"),"imezi")</f>
        <v>imezi</v>
      </c>
      <c r="E2582" s="2" t="str">
        <f ca="1">IFERROR(__xludf.DUMMYFUNCTION("GOOGLETRANSLATE(B2582,""en"",""fr"")"),"réglementer")</f>
        <v>réglementer</v>
      </c>
      <c r="F2582" s="2" t="str">
        <f ca="1">IFERROR(__xludf.DUMMYFUNCTION("GOOGLETRANSLATE(B2582,""en"",""it"")"),"regolare")</f>
        <v>regolare</v>
      </c>
      <c r="G2582" s="2" t="str">
        <f ca="1">IFERROR(__xludf.DUMMYFUNCTION("GOOGLETRANSLATE(B2582,""en"",""de"")"),"regulieren")</f>
        <v>regulieren</v>
      </c>
      <c r="H2582" s="2" t="str">
        <f ca="1">IFERROR(__xludf.DUMMYFUNCTION("GOOGLETRANSLATE(B2582,""en"",""zh"")"),"调节")</f>
        <v>调节</v>
      </c>
      <c r="I2582" s="2" t="str">
        <f ca="1">IFERROR(__xludf.DUMMYFUNCTION("GOOGLETRANSLATE(B2582,""en"",""gd"")"),"Riaghladh")</f>
        <v>Riaghladh</v>
      </c>
    </row>
    <row r="2583" spans="1:9" ht="14.25" customHeight="1" x14ac:dyDescent="0.3">
      <c r="A2583" s="2">
        <v>2582</v>
      </c>
      <c r="B2583" s="3" t="s">
        <v>2590</v>
      </c>
      <c r="C2583" s="2" t="str">
        <f ca="1">IFERROR(__xludf.DUMMYFUNCTION("GOOGLETRANSLATE(B2583, ""en"",""es"")"),"queso")</f>
        <v>queso</v>
      </c>
      <c r="D2583" s="2" t="str">
        <f ca="1">IFERROR(__xludf.DUMMYFUNCTION("GOOGLETRANSLATE(B2583,""en"",""ig"")"),"chiizi")</f>
        <v>chiizi</v>
      </c>
      <c r="E2583" s="2" t="str">
        <f ca="1">IFERROR(__xludf.DUMMYFUNCTION("GOOGLETRANSLATE(B2583,""en"",""fr"")"),"fromage")</f>
        <v>fromage</v>
      </c>
      <c r="F2583" s="2" t="str">
        <f ca="1">IFERROR(__xludf.DUMMYFUNCTION("GOOGLETRANSLATE(B2583,""en"",""it"")"),"formaggio")</f>
        <v>formaggio</v>
      </c>
      <c r="G2583" s="2" t="str">
        <f ca="1">IFERROR(__xludf.DUMMYFUNCTION("GOOGLETRANSLATE(B2583,""en"",""de"")"),"Käse")</f>
        <v>Käse</v>
      </c>
      <c r="H2583" s="2" t="str">
        <f ca="1">IFERROR(__xludf.DUMMYFUNCTION("GOOGLETRANSLATE(B2583,""en"",""zh"")"),"奶酪")</f>
        <v>奶酪</v>
      </c>
      <c r="I2583" s="2" t="str">
        <f ca="1">IFERROR(__xludf.DUMMYFUNCTION("GOOGLETRANSLATE(B2583,""en"",""gd"")"),"càise")</f>
        <v>càise</v>
      </c>
    </row>
    <row r="2584" spans="1:9" ht="14.25" customHeight="1" x14ac:dyDescent="0.3">
      <c r="A2584" s="2">
        <v>2583</v>
      </c>
      <c r="B2584" s="3" t="s">
        <v>2591</v>
      </c>
      <c r="C2584" s="2" t="str">
        <f ca="1">IFERROR(__xludf.DUMMYFUNCTION("GOOGLETRANSLATE(B2584, ""en"",""es"")"),"desencadenar")</f>
        <v>desencadenar</v>
      </c>
      <c r="D2584" s="2" t="str">
        <f ca="1">IFERROR(__xludf.DUMMYFUNCTION("GOOGLETRANSLATE(B2584,""en"",""ig"")"),"triga")</f>
        <v>triga</v>
      </c>
      <c r="E2584" s="2" t="str">
        <f ca="1">IFERROR(__xludf.DUMMYFUNCTION("GOOGLETRANSLATE(B2584,""en"",""fr"")"),"déclenchement")</f>
        <v>déclenchement</v>
      </c>
      <c r="F2584" s="2" t="str">
        <f ca="1">IFERROR(__xludf.DUMMYFUNCTION("GOOGLETRANSLATE(B2584,""en"",""it"")"),"grilletto")</f>
        <v>grilletto</v>
      </c>
      <c r="G2584" s="2" t="str">
        <f ca="1">IFERROR(__xludf.DUMMYFUNCTION("GOOGLETRANSLATE(B2584,""en"",""de"")"),"auslösen")</f>
        <v>auslösen</v>
      </c>
      <c r="H2584" s="2" t="str">
        <f ca="1">IFERROR(__xludf.DUMMYFUNCTION("GOOGLETRANSLATE(B2584,""en"",""zh"")"),"扳机")</f>
        <v>扳机</v>
      </c>
      <c r="I2584" s="2" t="str">
        <f ca="1">IFERROR(__xludf.DUMMYFUNCTION("GOOGLETRANSLATE(B2584,""en"",""gd"")"),"brosnaich")</f>
        <v>brosnaich</v>
      </c>
    </row>
    <row r="2585" spans="1:9" ht="14.25" customHeight="1" x14ac:dyDescent="0.3">
      <c r="A2585" s="2">
        <v>2584</v>
      </c>
      <c r="B2585" s="3" t="s">
        <v>2592</v>
      </c>
      <c r="C2585" s="2" t="str">
        <f ca="1">IFERROR(__xludf.DUMMYFUNCTION("GOOGLETRANSLATE(B2585, ""en"",""es"")"),"tubo")</f>
        <v>tubo</v>
      </c>
      <c r="D2585" s="2" t="str">
        <f ca="1">IFERROR(__xludf.DUMMYFUNCTION("GOOGLETRANSLATE(B2585,""en"",""ig"")"),"paipu")</f>
        <v>paipu</v>
      </c>
      <c r="E2585" s="2" t="str">
        <f ca="1">IFERROR(__xludf.DUMMYFUNCTION("GOOGLETRANSLATE(B2585,""en"",""fr"")"),"tuyau")</f>
        <v>tuyau</v>
      </c>
      <c r="F2585" s="2" t="str">
        <f ca="1">IFERROR(__xludf.DUMMYFUNCTION("GOOGLETRANSLATE(B2585,""en"",""it"")"),"tubo")</f>
        <v>tubo</v>
      </c>
      <c r="G2585" s="2" t="str">
        <f ca="1">IFERROR(__xludf.DUMMYFUNCTION("GOOGLETRANSLATE(B2585,""en"",""de"")"),"Rohr")</f>
        <v>Rohr</v>
      </c>
      <c r="H2585" s="2" t="str">
        <f ca="1">IFERROR(__xludf.DUMMYFUNCTION("GOOGLETRANSLATE(B2585,""en"",""zh"")"),"管道")</f>
        <v>管道</v>
      </c>
      <c r="I2585" s="2" t="str">
        <f ca="1">IFERROR(__xludf.DUMMYFUNCTION("GOOGLETRANSLATE(B2585,""en"",""gd"")"),"pìob")</f>
        <v>pìob</v>
      </c>
    </row>
    <row r="2586" spans="1:9" ht="14.25" customHeight="1" x14ac:dyDescent="0.3">
      <c r="A2586" s="2">
        <v>2585</v>
      </c>
      <c r="B2586" s="3" t="s">
        <v>2593</v>
      </c>
      <c r="C2586" s="2" t="str">
        <f ca="1">IFERROR(__xludf.DUMMYFUNCTION("GOOGLETRANSLATE(B2586, ""en"",""es"")"),"destrucción")</f>
        <v>destrucción</v>
      </c>
      <c r="D2586" s="2" t="str">
        <f ca="1">IFERROR(__xludf.DUMMYFUNCTION("GOOGLETRANSLATE(B2586,""en"",""ig"")"),"mmebi")</f>
        <v>mmebi</v>
      </c>
      <c r="E2586" s="2" t="str">
        <f ca="1">IFERROR(__xludf.DUMMYFUNCTION("GOOGLETRANSLATE(B2586,""en"",""fr"")"),"destruction")</f>
        <v>destruction</v>
      </c>
      <c r="F2586" s="2" t="str">
        <f ca="1">IFERROR(__xludf.DUMMYFUNCTION("GOOGLETRANSLATE(B2586,""en"",""it"")"),"distruzione")</f>
        <v>distruzione</v>
      </c>
      <c r="G2586" s="2" t="str">
        <f ca="1">IFERROR(__xludf.DUMMYFUNCTION("GOOGLETRANSLATE(B2586,""en"",""de"")"),"Zerstörung")</f>
        <v>Zerstörung</v>
      </c>
      <c r="H2586" s="2" t="str">
        <f ca="1">IFERROR(__xludf.DUMMYFUNCTION("GOOGLETRANSLATE(B2586,""en"",""zh"")"),"破坏")</f>
        <v>破坏</v>
      </c>
      <c r="I2586" s="2" t="str">
        <f ca="1">IFERROR(__xludf.DUMMYFUNCTION("GOOGLETRANSLATE(B2586,""en"",""gd"")"),"sgrios")</f>
        <v>sgrios</v>
      </c>
    </row>
    <row r="2587" spans="1:9" ht="14.25" customHeight="1" x14ac:dyDescent="0.3">
      <c r="A2587" s="2">
        <v>2586</v>
      </c>
      <c r="B2587" s="3" t="s">
        <v>2594</v>
      </c>
      <c r="C2587" s="2" t="str">
        <f ca="1">IFERROR(__xludf.DUMMYFUNCTION("GOOGLETRANSLATE(B2587, ""en"",""es"")"),"guitarra")</f>
        <v>guitarra</v>
      </c>
      <c r="D2587" s="2" t="str">
        <f ca="1">IFERROR(__xludf.DUMMYFUNCTION("GOOGLETRANSLATE(B2587,""en"",""ig"")"),"jita")</f>
        <v>jita</v>
      </c>
      <c r="E2587" s="2" t="str">
        <f ca="1">IFERROR(__xludf.DUMMYFUNCTION("GOOGLETRANSLATE(B2587,""en"",""fr"")"),"guitare")</f>
        <v>guitare</v>
      </c>
      <c r="F2587" s="2" t="str">
        <f ca="1">IFERROR(__xludf.DUMMYFUNCTION("GOOGLETRANSLATE(B2587,""en"",""it"")"),"chitarra")</f>
        <v>chitarra</v>
      </c>
      <c r="G2587" s="2" t="str">
        <f ca="1">IFERROR(__xludf.DUMMYFUNCTION("GOOGLETRANSLATE(B2587,""en"",""de"")"),"Gitarre")</f>
        <v>Gitarre</v>
      </c>
      <c r="H2587" s="2" t="str">
        <f ca="1">IFERROR(__xludf.DUMMYFUNCTION("GOOGLETRANSLATE(B2587,""en"",""zh"")"),"吉他")</f>
        <v>吉他</v>
      </c>
      <c r="I2587" s="2" t="str">
        <f ca="1">IFERROR(__xludf.DUMMYFUNCTION("GOOGLETRANSLATE(B2587,""en"",""gd"")"),"giotàr")</f>
        <v>giotàr</v>
      </c>
    </row>
    <row r="2588" spans="1:9" ht="14.25" customHeight="1" x14ac:dyDescent="0.3">
      <c r="A2588" s="2">
        <v>2587</v>
      </c>
      <c r="B2588" s="3" t="s">
        <v>2595</v>
      </c>
      <c r="C2588" s="2" t="str">
        <f ca="1">IFERROR(__xludf.DUMMYFUNCTION("GOOGLETRANSLATE(B2588, ""en"",""es"")"),"bandera")</f>
        <v>bandera</v>
      </c>
      <c r="D2588" s="2" t="str">
        <f ca="1">IFERROR(__xludf.DUMMYFUNCTION("GOOGLETRANSLATE(B2588,""en"",""ig"")"),"flaagi")</f>
        <v>flaagi</v>
      </c>
      <c r="E2588" s="2" t="str">
        <f ca="1">IFERROR(__xludf.DUMMYFUNCTION("GOOGLETRANSLATE(B2588,""en"",""fr"")"),"drapeau")</f>
        <v>drapeau</v>
      </c>
      <c r="F2588" s="2" t="str">
        <f ca="1">IFERROR(__xludf.DUMMYFUNCTION("GOOGLETRANSLATE(B2588,""en"",""it"")"),"bandiera")</f>
        <v>bandiera</v>
      </c>
      <c r="G2588" s="2" t="str">
        <f ca="1">IFERROR(__xludf.DUMMYFUNCTION("GOOGLETRANSLATE(B2588,""en"",""de"")"),"Flagge")</f>
        <v>Flagge</v>
      </c>
      <c r="H2588" s="2" t="str">
        <f ca="1">IFERROR(__xludf.DUMMYFUNCTION("GOOGLETRANSLATE(B2588,""en"",""zh"")"),"旗帜")</f>
        <v>旗帜</v>
      </c>
      <c r="I2588" s="2" t="str">
        <f ca="1">IFERROR(__xludf.DUMMYFUNCTION("GOOGLETRANSLATE(B2588,""en"",""gd"")"),"bratach")</f>
        <v>bratach</v>
      </c>
    </row>
    <row r="2589" spans="1:9" ht="14.25" customHeight="1" x14ac:dyDescent="0.3">
      <c r="A2589" s="2">
        <v>2588</v>
      </c>
      <c r="B2589" s="3" t="s">
        <v>2596</v>
      </c>
      <c r="C2589" s="2" t="str">
        <f ca="1">IFERROR(__xludf.DUMMYFUNCTION("GOOGLETRANSLATE(B2589, ""en"",""es"")"),"piano")</f>
        <v>piano</v>
      </c>
      <c r="D2589" s="2" t="str">
        <f ca="1">IFERROR(__xludf.DUMMYFUNCTION("GOOGLETRANSLATE(B2589,""en"",""ig"")"),"piano")</f>
        <v>piano</v>
      </c>
      <c r="E2589" s="2" t="str">
        <f ca="1">IFERROR(__xludf.DUMMYFUNCTION("GOOGLETRANSLATE(B2589,""en"",""fr"")"),"piano")</f>
        <v>piano</v>
      </c>
      <c r="F2589" s="2" t="str">
        <f ca="1">IFERROR(__xludf.DUMMYFUNCTION("GOOGLETRANSLATE(B2589,""en"",""it"")"),"pianoforte")</f>
        <v>pianoforte</v>
      </c>
      <c r="G2589" s="2" t="str">
        <f ca="1">IFERROR(__xludf.DUMMYFUNCTION("GOOGLETRANSLATE(B2589,""en"",""de"")"),"Klavier")</f>
        <v>Klavier</v>
      </c>
      <c r="H2589" s="2" t="str">
        <f ca="1">IFERROR(__xludf.DUMMYFUNCTION("GOOGLETRANSLATE(B2589,""en"",""zh"")"),"钢琴")</f>
        <v>钢琴</v>
      </c>
      <c r="I2589" s="2" t="str">
        <f ca="1">IFERROR(__xludf.DUMMYFUNCTION("GOOGLETRANSLATE(B2589,""en"",""gd"")"),"piàna")</f>
        <v>piàna</v>
      </c>
    </row>
    <row r="2590" spans="1:9" ht="14.25" customHeight="1" x14ac:dyDescent="0.3">
      <c r="A2590" s="2">
        <v>2589</v>
      </c>
      <c r="B2590" s="3" t="s">
        <v>2597</v>
      </c>
      <c r="C2590" s="2" t="str">
        <f ca="1">IFERROR(__xludf.DUMMYFUNCTION("GOOGLETRANSLATE(B2590, ""en"",""es"")"),"magia")</f>
        <v>magia</v>
      </c>
      <c r="D2590" s="2" t="str">
        <f ca="1">IFERROR(__xludf.DUMMYFUNCTION("GOOGLETRANSLATE(B2590,""en"",""ig"")"),"majiiki")</f>
        <v>majiiki</v>
      </c>
      <c r="E2590" s="2" t="str">
        <f ca="1">IFERROR(__xludf.DUMMYFUNCTION("GOOGLETRANSLATE(B2590,""en"",""fr"")"),"la magie")</f>
        <v>la magie</v>
      </c>
      <c r="F2590" s="2" t="str">
        <f ca="1">IFERROR(__xludf.DUMMYFUNCTION("GOOGLETRANSLATE(B2590,""en"",""it"")"),"Magia")</f>
        <v>Magia</v>
      </c>
      <c r="G2590" s="2" t="str">
        <f ca="1">IFERROR(__xludf.DUMMYFUNCTION("GOOGLETRANSLATE(B2590,""en"",""de"")"),"Magie")</f>
        <v>Magie</v>
      </c>
      <c r="H2590" s="2" t="str">
        <f ca="1">IFERROR(__xludf.DUMMYFUNCTION("GOOGLETRANSLATE(B2590,""en"",""zh"")"),"魔法")</f>
        <v>魔法</v>
      </c>
      <c r="I2590" s="2" t="str">
        <f ca="1">IFERROR(__xludf.DUMMYFUNCTION("GOOGLETRANSLATE(B2590,""en"",""gd"")"),"Draoidheachd")</f>
        <v>Draoidheachd</v>
      </c>
    </row>
    <row r="2591" spans="1:9" ht="14.25" customHeight="1" x14ac:dyDescent="0.3">
      <c r="A2591" s="2">
        <v>2590</v>
      </c>
      <c r="B2591" s="3" t="s">
        <v>2598</v>
      </c>
      <c r="C2591" s="2" t="str">
        <f ca="1">IFERROR(__xludf.DUMMYFUNCTION("GOOGLETRANSLATE(B2591, ""en"",""es"")"),"misterio")</f>
        <v>misterio</v>
      </c>
      <c r="D2591" s="2" t="str">
        <f ca="1">IFERROR(__xludf.DUMMYFUNCTION("GOOGLETRANSLATE(B2591,""en"",""ig"")"),"aru")</f>
        <v>aru</v>
      </c>
      <c r="E2591" s="2" t="str">
        <f ca="1">IFERROR(__xludf.DUMMYFUNCTION("GOOGLETRANSLATE(B2591,""en"",""fr"")"),"mystère")</f>
        <v>mystère</v>
      </c>
      <c r="F2591" s="2" t="str">
        <f ca="1">IFERROR(__xludf.DUMMYFUNCTION("GOOGLETRANSLATE(B2591,""en"",""it"")"),"mistero")</f>
        <v>mistero</v>
      </c>
      <c r="G2591" s="2" t="str">
        <f ca="1">IFERROR(__xludf.DUMMYFUNCTION("GOOGLETRANSLATE(B2591,""en"",""de"")"),"Geheimnis")</f>
        <v>Geheimnis</v>
      </c>
      <c r="H2591" s="2" t="str">
        <f ca="1">IFERROR(__xludf.DUMMYFUNCTION("GOOGLETRANSLATE(B2591,""en"",""zh"")"),"神秘")</f>
        <v>神秘</v>
      </c>
      <c r="I2591" s="2" t="str">
        <f ca="1">IFERROR(__xludf.DUMMYFUNCTION("GOOGLETRANSLATE(B2591,""en"",""gd"")"),"Dìomhaireachd")</f>
        <v>Dìomhaireachd</v>
      </c>
    </row>
    <row r="2592" spans="1:9" ht="14.25" customHeight="1" x14ac:dyDescent="0.3">
      <c r="A2592" s="2">
        <v>2591</v>
      </c>
      <c r="B2592" s="3" t="s">
        <v>2599</v>
      </c>
      <c r="C2592" s="2" t="str">
        <f ca="1">IFERROR(__xludf.DUMMYFUNCTION("GOOGLETRANSLATE(B2592, ""en"",""es"")"),"esquí")</f>
        <v>esquí</v>
      </c>
      <c r="D2592" s="2" t="str">
        <f ca="1">IFERROR(__xludf.DUMMYFUNCTION("GOOGLETRANSLATE(B2592,""en"",""ig"")"),"skai")</f>
        <v>skai</v>
      </c>
      <c r="E2592" s="2" t="str">
        <f ca="1">IFERROR(__xludf.DUMMYFUNCTION("GOOGLETRANSLATE(B2592,""en"",""fr"")"),"ski")</f>
        <v>ski</v>
      </c>
      <c r="F2592" s="2" t="str">
        <f ca="1">IFERROR(__xludf.DUMMYFUNCTION("GOOGLETRANSLATE(B2592,""en"",""it"")"),"sciare")</f>
        <v>sciare</v>
      </c>
      <c r="G2592" s="2" t="str">
        <f ca="1">IFERROR(__xludf.DUMMYFUNCTION("GOOGLETRANSLATE(B2592,""en"",""de"")"),"Ski")</f>
        <v>Ski</v>
      </c>
      <c r="H2592" s="2" t="str">
        <f ca="1">IFERROR(__xludf.DUMMYFUNCTION("GOOGLETRANSLATE(B2592,""en"",""zh"")"),"滑雪")</f>
        <v>滑雪</v>
      </c>
      <c r="I2592" s="2" t="str">
        <f ca="1">IFERROR(__xludf.DUMMYFUNCTION("GOOGLETRANSLATE(B2592,""en"",""gd"")"),"sgitheadh")</f>
        <v>sgitheadh</v>
      </c>
    </row>
    <row r="2593" spans="1:9" ht="14.25" customHeight="1" x14ac:dyDescent="0.3">
      <c r="A2593" s="2">
        <v>2592</v>
      </c>
      <c r="B2593" s="3" t="s">
        <v>2600</v>
      </c>
      <c r="C2593" s="2" t="str">
        <f ca="1">IFERROR(__xludf.DUMMYFUNCTION("GOOGLETRANSLATE(B2593, ""en"",""es"")"),"susurro")</f>
        <v>susurro</v>
      </c>
      <c r="D2593" s="2" t="str">
        <f ca="1">IFERROR(__xludf.DUMMYFUNCTION("GOOGLETRANSLATE(B2593,""en"",""ig"")"),"mgbamizu")</f>
        <v>mgbamizu</v>
      </c>
      <c r="E2593" s="2" t="str">
        <f ca="1">IFERROR(__xludf.DUMMYFUNCTION("GOOGLETRANSLATE(B2593,""en"",""fr"")"),"chuchoter")</f>
        <v>chuchoter</v>
      </c>
      <c r="F2593" s="2" t="str">
        <f ca="1">IFERROR(__xludf.DUMMYFUNCTION("GOOGLETRANSLATE(B2593,""en"",""it"")"),"sussurro")</f>
        <v>sussurro</v>
      </c>
      <c r="G2593" s="2" t="str">
        <f ca="1">IFERROR(__xludf.DUMMYFUNCTION("GOOGLETRANSLATE(B2593,""en"",""de"")"),"flüstern")</f>
        <v>flüstern</v>
      </c>
      <c r="H2593" s="2" t="str">
        <f ca="1">IFERROR(__xludf.DUMMYFUNCTION("GOOGLETRANSLATE(B2593,""en"",""zh"")"),"耳语")</f>
        <v>耳语</v>
      </c>
      <c r="I2593" s="2" t="str">
        <f ca="1">IFERROR(__xludf.DUMMYFUNCTION("GOOGLETRANSLATE(B2593,""en"",""gd"")"),"uisge-beatha")</f>
        <v>uisge-beatha</v>
      </c>
    </row>
    <row r="2594" spans="1:9" ht="14.25" customHeight="1" x14ac:dyDescent="0.3">
      <c r="A2594" s="2">
        <v>2593</v>
      </c>
      <c r="B2594" s="3" t="s">
        <v>2601</v>
      </c>
      <c r="C2594" s="2" t="str">
        <f ca="1">IFERROR(__xludf.DUMMYFUNCTION("GOOGLETRANSLATE(B2594, ""en"",""es"")"),"trasero")</f>
        <v>trasero</v>
      </c>
      <c r="D2594" s="2" t="str">
        <f ca="1">IFERROR(__xludf.DUMMYFUNCTION("GOOGLETRANSLATE(B2594,""en"",""ig"")"),"nke azu")</f>
        <v>nke azu</v>
      </c>
      <c r="E2594" s="2" t="str">
        <f ca="1">IFERROR(__xludf.DUMMYFUNCTION("GOOGLETRANSLATE(B2594,""en"",""fr"")"),"arrière")</f>
        <v>arrière</v>
      </c>
      <c r="F2594" s="2" t="str">
        <f ca="1">IFERROR(__xludf.DUMMYFUNCTION("GOOGLETRANSLATE(B2594,""en"",""it"")"),"posteriore")</f>
        <v>posteriore</v>
      </c>
      <c r="G2594" s="2" t="str">
        <f ca="1">IFERROR(__xludf.DUMMYFUNCTION("GOOGLETRANSLATE(B2594,""en"",""de"")"),"hinteren")</f>
        <v>hinteren</v>
      </c>
      <c r="H2594" s="2" t="str">
        <f ca="1">IFERROR(__xludf.DUMMYFUNCTION("GOOGLETRANSLATE(B2594,""en"",""zh"")"),"后部")</f>
        <v>后部</v>
      </c>
      <c r="I2594" s="2" t="str">
        <f ca="1">IFERROR(__xludf.DUMMYFUNCTION("GOOGLETRANSLATE(B2594,""en"",""gd"")"),"air a chùlaibh")</f>
        <v>air a chùlaibh</v>
      </c>
    </row>
    <row r="2595" spans="1:9" ht="14.25" customHeight="1" x14ac:dyDescent="0.3">
      <c r="A2595" s="2">
        <v>2594</v>
      </c>
      <c r="B2595" s="3" t="s">
        <v>2602</v>
      </c>
      <c r="C2595" s="2" t="str">
        <f ca="1">IFERROR(__xludf.DUMMYFUNCTION("GOOGLETRANSLATE(B2595, ""en"",""es"")"),"menú")</f>
        <v>menú</v>
      </c>
      <c r="D2595" s="2" t="str">
        <f ca="1">IFERROR(__xludf.DUMMYFUNCTION("GOOGLETRANSLATE(B2595,""en"",""ig"")"),"nri enwere")</f>
        <v>nri enwere</v>
      </c>
      <c r="E2595" s="2" t="str">
        <f ca="1">IFERROR(__xludf.DUMMYFUNCTION("GOOGLETRANSLATE(B2595,""en"",""fr"")"),"menu")</f>
        <v>menu</v>
      </c>
      <c r="F2595" s="2" t="str">
        <f ca="1">IFERROR(__xludf.DUMMYFUNCTION("GOOGLETRANSLATE(B2595,""en"",""it"")"),"menù")</f>
        <v>menù</v>
      </c>
      <c r="G2595" s="2" t="str">
        <f ca="1">IFERROR(__xludf.DUMMYFUNCTION("GOOGLETRANSLATE(B2595,""en"",""de"")"),"Speisekarte")</f>
        <v>Speisekarte</v>
      </c>
      <c r="H2595" s="2" t="str">
        <f ca="1">IFERROR(__xludf.DUMMYFUNCTION("GOOGLETRANSLATE(B2595,""en"",""zh"")"),"菜单")</f>
        <v>菜单</v>
      </c>
      <c r="I2595" s="2" t="str">
        <f ca="1">IFERROR(__xludf.DUMMYFUNCTION("GOOGLETRANSLATE(B2595,""en"",""gd"")"),"Clàr-taice")</f>
        <v>Clàr-taice</v>
      </c>
    </row>
    <row r="2596" spans="1:9" ht="14.25" customHeight="1" x14ac:dyDescent="0.3">
      <c r="A2596" s="2">
        <v>2595</v>
      </c>
      <c r="B2596" s="3" t="s">
        <v>2603</v>
      </c>
      <c r="C2596" s="2" t="str">
        <f ca="1">IFERROR(__xludf.DUMMYFUNCTION("GOOGLETRANSLATE(B2596, ""en"",""es"")"),"especies")</f>
        <v>especies</v>
      </c>
      <c r="D2596" s="2" t="str">
        <f ca="1">IFERROR(__xludf.DUMMYFUNCTION("GOOGLETRANSLATE(B2596,""en"",""ig"")"),"udi")</f>
        <v>udi</v>
      </c>
      <c r="E2596" s="2" t="str">
        <f ca="1">IFERROR(__xludf.DUMMYFUNCTION("GOOGLETRANSLATE(B2596,""en"",""fr"")"),"espèces")</f>
        <v>espèces</v>
      </c>
      <c r="F2596" s="2" t="str">
        <f ca="1">IFERROR(__xludf.DUMMYFUNCTION("GOOGLETRANSLATE(B2596,""en"",""it"")"),"specie")</f>
        <v>specie</v>
      </c>
      <c r="G2596" s="2" t="str">
        <f ca="1">IFERROR(__xludf.DUMMYFUNCTION("GOOGLETRANSLATE(B2596,""en"",""de"")"),"Spezies")</f>
        <v>Spezies</v>
      </c>
      <c r="H2596" s="2" t="str">
        <f ca="1">IFERROR(__xludf.DUMMYFUNCTION("GOOGLETRANSLATE(B2596,""en"",""zh"")"),"物种")</f>
        <v>物种</v>
      </c>
      <c r="I2596" s="2" t="str">
        <f ca="1">IFERROR(__xludf.DUMMYFUNCTION("GOOGLETRANSLATE(B2596,""en"",""gd"")"),"Gnèithean")</f>
        <v>Gnèithean</v>
      </c>
    </row>
    <row r="2597" spans="1:9" ht="14.25" customHeight="1" x14ac:dyDescent="0.3">
      <c r="A2597" s="2">
        <v>2596</v>
      </c>
      <c r="B2597" s="3" t="s">
        <v>2604</v>
      </c>
      <c r="C2597" s="2" t="str">
        <f ca="1">IFERROR(__xludf.DUMMYFUNCTION("GOOGLETRANSLATE(B2597, ""en"",""es"")"),"luna")</f>
        <v>luna</v>
      </c>
      <c r="D2597" s="2" t="str">
        <f ca="1">IFERROR(__xludf.DUMMYFUNCTION("GOOGLETRANSLATE(B2597,""en"",""ig"")"),"onwa")</f>
        <v>onwa</v>
      </c>
      <c r="E2597" s="2" t="str">
        <f ca="1">IFERROR(__xludf.DUMMYFUNCTION("GOOGLETRANSLATE(B2597,""en"",""fr"")"),"lune")</f>
        <v>lune</v>
      </c>
      <c r="F2597" s="2" t="str">
        <f ca="1">IFERROR(__xludf.DUMMYFUNCTION("GOOGLETRANSLATE(B2597,""en"",""it"")"),"luna")</f>
        <v>luna</v>
      </c>
      <c r="G2597" s="2" t="str">
        <f ca="1">IFERROR(__xludf.DUMMYFUNCTION("GOOGLETRANSLATE(B2597,""en"",""de"")"),"Mond")</f>
        <v>Mond</v>
      </c>
      <c r="H2597" s="2" t="str">
        <f ca="1">IFERROR(__xludf.DUMMYFUNCTION("GOOGLETRANSLATE(B2597,""en"",""zh"")"),"月亮")</f>
        <v>月亮</v>
      </c>
      <c r="I2597" s="2" t="str">
        <f ca="1">IFERROR(__xludf.DUMMYFUNCTION("GOOGLETRANSLATE(B2597,""en"",""gd"")"),"Gealach")</f>
        <v>Gealach</v>
      </c>
    </row>
    <row r="2598" spans="1:9" ht="14.25" customHeight="1" x14ac:dyDescent="0.3">
      <c r="A2598" s="2">
        <v>2597</v>
      </c>
      <c r="B2598" s="3" t="s">
        <v>2605</v>
      </c>
      <c r="C2598" s="2" t="str">
        <f ca="1">IFERROR(__xludf.DUMMYFUNCTION("GOOGLETRANSLATE(B2598, ""en"",""es"")"),"presumiblemente")</f>
        <v>presumiblemente</v>
      </c>
      <c r="D2598" s="2" t="str">
        <f ca="1">IFERROR(__xludf.DUMMYFUNCTION("GOOGLETRANSLATE(B2598,""en"",""ig"")"),"di nkpa")</f>
        <v>di nkpa</v>
      </c>
      <c r="E2598" s="2" t="str">
        <f ca="1">IFERROR(__xludf.DUMMYFUNCTION("GOOGLETRANSLATE(B2598,""en"",""fr"")"),"probablement")</f>
        <v>probablement</v>
      </c>
      <c r="F2598" s="2" t="str">
        <f ca="1">IFERROR(__xludf.DUMMYFUNCTION("GOOGLETRANSLATE(B2598,""en"",""it"")"),"presumibilmente")</f>
        <v>presumibilmente</v>
      </c>
      <c r="G2598" s="2" t="str">
        <f ca="1">IFERROR(__xludf.DUMMYFUNCTION("GOOGLETRANSLATE(B2598,""en"",""de"")"),"vermutlich")</f>
        <v>vermutlich</v>
      </c>
      <c r="H2598" s="2" t="str">
        <f ca="1">IFERROR(__xludf.DUMMYFUNCTION("GOOGLETRANSLATE(B2598,""en"",""zh"")"),"想必")</f>
        <v>想必</v>
      </c>
      <c r="I2598" s="2" t="str">
        <f ca="1">IFERROR(__xludf.DUMMYFUNCTION("GOOGLETRANSLATE(B2598,""en"",""gd"")"),"is dòcha")</f>
        <v>is dòcha</v>
      </c>
    </row>
    <row r="2599" spans="1:9" ht="14.25" customHeight="1" x14ac:dyDescent="0.3">
      <c r="A2599" s="2">
        <v>2598</v>
      </c>
      <c r="B2599" s="3" t="s">
        <v>2606</v>
      </c>
      <c r="C2599" s="2" t="str">
        <f ca="1">IFERROR(__xludf.DUMMYFUNCTION("GOOGLETRANSLATE(B2599, ""en"",""es"")"),"bendecir")</f>
        <v>bendecir</v>
      </c>
      <c r="D2599" s="2" t="str">
        <f ca="1">IFERROR(__xludf.DUMMYFUNCTION("GOOGLETRANSLATE(B2599,""en"",""ig"")"),"igozi")</f>
        <v>igozi</v>
      </c>
      <c r="E2599" s="2" t="str">
        <f ca="1">IFERROR(__xludf.DUMMYFUNCTION("GOOGLETRANSLATE(B2599,""en"",""fr"")"),"bénir")</f>
        <v>bénir</v>
      </c>
      <c r="F2599" s="2" t="str">
        <f ca="1">IFERROR(__xludf.DUMMYFUNCTION("GOOGLETRANSLATE(B2599,""en"",""it"")"),"benedire")</f>
        <v>benedire</v>
      </c>
      <c r="G2599" s="2" t="str">
        <f ca="1">IFERROR(__xludf.DUMMYFUNCTION("GOOGLETRANSLATE(B2599,""en"",""de"")"),"segnen")</f>
        <v>segnen</v>
      </c>
      <c r="H2599" s="2" t="str">
        <f ca="1">IFERROR(__xludf.DUMMYFUNCTION("GOOGLETRANSLATE(B2599,""en"",""zh"")"),"保佑")</f>
        <v>保佑</v>
      </c>
      <c r="I2599" s="2" t="str">
        <f ca="1">IFERROR(__xludf.DUMMYFUNCTION("GOOGLETRANSLATE(B2599,""en"",""gd"")"),"Beannaich")</f>
        <v>Beannaich</v>
      </c>
    </row>
    <row r="2600" spans="1:9" ht="14.25" customHeight="1" x14ac:dyDescent="0.3">
      <c r="A2600" s="2">
        <v>2599</v>
      </c>
      <c r="B2600" s="3" t="s">
        <v>2607</v>
      </c>
      <c r="C2600" s="2" t="str">
        <f ca="1">IFERROR(__xludf.DUMMYFUNCTION("GOOGLETRANSLATE(B2600, ""en"",""es"")"),"aerolínea")</f>
        <v>aerolínea</v>
      </c>
      <c r="D2600" s="2" t="str">
        <f ca="1">IFERROR(__xludf.DUMMYFUNCTION("GOOGLETRANSLATE(B2600,""en"",""ig"")"),"ee lainu")</f>
        <v>ee lainu</v>
      </c>
      <c r="E2600" s="2" t="str">
        <f ca="1">IFERROR(__xludf.DUMMYFUNCTION("GOOGLETRANSLATE(B2600,""en"",""fr"")"),"Compagnie aérienne")</f>
        <v>Compagnie aérienne</v>
      </c>
      <c r="F2600" s="2" t="str">
        <f ca="1">IFERROR(__xludf.DUMMYFUNCTION("GOOGLETRANSLATE(B2600,""en"",""it"")"),"compagnia aerea")</f>
        <v>compagnia aerea</v>
      </c>
      <c r="G2600" s="2" t="str">
        <f ca="1">IFERROR(__xludf.DUMMYFUNCTION("GOOGLETRANSLATE(B2600,""en"",""de"")"),"Fluggesellschaft")</f>
        <v>Fluggesellschaft</v>
      </c>
      <c r="H2600" s="2" t="str">
        <f ca="1">IFERROR(__xludf.DUMMYFUNCTION("GOOGLETRANSLATE(B2600,""en"",""zh"")"),"航空公司")</f>
        <v>航空公司</v>
      </c>
      <c r="I2600" s="2" t="str">
        <f ca="1">IFERROR(__xludf.DUMMYFUNCTION("GOOGLETRANSLATE(B2600,""en"",""gd"")"),"companaidh adhair")</f>
        <v>companaidh adhair</v>
      </c>
    </row>
    <row r="2601" spans="1:9" ht="14.25" customHeight="1" x14ac:dyDescent="0.3">
      <c r="A2601" s="2">
        <v>2600</v>
      </c>
      <c r="B2601" s="3" t="s">
        <v>2608</v>
      </c>
      <c r="C2601" s="2" t="str">
        <f ca="1">IFERROR(__xludf.DUMMYFUNCTION("GOOGLETRANSLATE(B2601, ""en"",""es"")"),"enmienda")</f>
        <v>enmienda</v>
      </c>
      <c r="D2601" s="2" t="str">
        <f ca="1">IFERROR(__xludf.DUMMYFUNCTION("GOOGLETRANSLATE(B2601,""en"",""ig"")"),"mmeghari")</f>
        <v>mmeghari</v>
      </c>
      <c r="E2601" s="2" t="str">
        <f ca="1">IFERROR(__xludf.DUMMYFUNCTION("GOOGLETRANSLATE(B2601,""en"",""fr"")"),"amendement")</f>
        <v>amendement</v>
      </c>
      <c r="F2601" s="2" t="str">
        <f ca="1">IFERROR(__xludf.DUMMYFUNCTION("GOOGLETRANSLATE(B2601,""en"",""it"")"),"emendamento")</f>
        <v>emendamento</v>
      </c>
      <c r="G2601" s="2" t="str">
        <f ca="1">IFERROR(__xludf.DUMMYFUNCTION("GOOGLETRANSLATE(B2601,""en"",""de"")"),"Änderung")</f>
        <v>Änderung</v>
      </c>
      <c r="H2601" s="2" t="str">
        <f ca="1">IFERROR(__xludf.DUMMYFUNCTION("GOOGLETRANSLATE(B2601,""en"",""zh"")"),"修正案")</f>
        <v>修正案</v>
      </c>
      <c r="I2601" s="2" t="str">
        <f ca="1">IFERROR(__xludf.DUMMYFUNCTION("GOOGLETRANSLATE(B2601,""en"",""gd"")"),"Atharrachadh")</f>
        <v>Atharrachadh</v>
      </c>
    </row>
    <row r="2602" spans="1:9" ht="14.25" customHeight="1" x14ac:dyDescent="0.3">
      <c r="A2602" s="2">
        <v>2601</v>
      </c>
      <c r="B2602" s="3" t="s">
        <v>2609</v>
      </c>
      <c r="C2602" s="2" t="str">
        <f ca="1">IFERROR(__xludf.DUMMYFUNCTION("GOOGLETRANSLATE(B2602, ""en"",""es"")"),"abuela")</f>
        <v>abuela</v>
      </c>
      <c r="D2602" s="2" t="str">
        <f ca="1">IFERROR(__xludf.DUMMYFUNCTION("GOOGLETRANSLATE(B2602,""en"",""ig"")"),"nne nne")</f>
        <v>nne nne</v>
      </c>
      <c r="E2602" s="2" t="str">
        <f ca="1">IFERROR(__xludf.DUMMYFUNCTION("GOOGLETRANSLATE(B2602,""en"",""fr"")"),"grand-mère")</f>
        <v>grand-mère</v>
      </c>
      <c r="F2602" s="2" t="str">
        <f ca="1">IFERROR(__xludf.DUMMYFUNCTION("GOOGLETRANSLATE(B2602,""en"",""it"")"),"nonna")</f>
        <v>nonna</v>
      </c>
      <c r="G2602" s="2" t="str">
        <f ca="1">IFERROR(__xludf.DUMMYFUNCTION("GOOGLETRANSLATE(B2602,""en"",""de"")"),"Oma")</f>
        <v>Oma</v>
      </c>
      <c r="H2602" s="2" t="str">
        <f ca="1">IFERROR(__xludf.DUMMYFUNCTION("GOOGLETRANSLATE(B2602,""en"",""zh"")"),"祖母")</f>
        <v>祖母</v>
      </c>
      <c r="I2602" s="2" t="str">
        <f ca="1">IFERROR(__xludf.DUMMYFUNCTION("GOOGLETRANSLATE(B2602,""en"",""gd"")"),"seanmhair")</f>
        <v>seanmhair</v>
      </c>
    </row>
    <row r="2603" spans="1:9" ht="14.25" customHeight="1" x14ac:dyDescent="0.3">
      <c r="A2603" s="2">
        <v>2602</v>
      </c>
      <c r="B2603" s="3" t="s">
        <v>2610</v>
      </c>
      <c r="C2603" s="2" t="str">
        <f ca="1">IFERROR(__xludf.DUMMYFUNCTION("GOOGLETRANSLATE(B2603, ""en"",""es"")"),"jurado")</f>
        <v>jurado</v>
      </c>
      <c r="D2603" s="2" t="str">
        <f ca="1">IFERROR(__xludf.DUMMYFUNCTION("GOOGLETRANSLATE(B2603,""en"",""ig"")"),"juri")</f>
        <v>juri</v>
      </c>
      <c r="E2603" s="2" t="str">
        <f ca="1">IFERROR(__xludf.DUMMYFUNCTION("GOOGLETRANSLATE(B2603,""en"",""fr"")"),"jury")</f>
        <v>jury</v>
      </c>
      <c r="F2603" s="2" t="str">
        <f ca="1">IFERROR(__xludf.DUMMYFUNCTION("GOOGLETRANSLATE(B2603,""en"",""it"")"),"giuria")</f>
        <v>giuria</v>
      </c>
      <c r="G2603" s="2" t="str">
        <f ca="1">IFERROR(__xludf.DUMMYFUNCTION("GOOGLETRANSLATE(B2603,""en"",""de"")"),"Jury")</f>
        <v>Jury</v>
      </c>
      <c r="H2603" s="2" t="str">
        <f ca="1">IFERROR(__xludf.DUMMYFUNCTION("GOOGLETRANSLATE(B2603,""en"",""zh"")"),"陪审团")</f>
        <v>陪审团</v>
      </c>
      <c r="I2603" s="2" t="str">
        <f ca="1">IFERROR(__xludf.DUMMYFUNCTION("GOOGLETRANSLATE(B2603,""en"",""gd"")"),"diùraidh")</f>
        <v>diùraidh</v>
      </c>
    </row>
    <row r="2604" spans="1:9" ht="14.25" customHeight="1" x14ac:dyDescent="0.3">
      <c r="A2604" s="2">
        <v>2603</v>
      </c>
      <c r="B2604" s="3" t="s">
        <v>2611</v>
      </c>
      <c r="C2604" s="2" t="str">
        <f ca="1">IFERROR(__xludf.DUMMYFUNCTION("GOOGLETRANSLATE(B2604, ""en"",""es"")"),"cooperación")</f>
        <v>cooperación</v>
      </c>
      <c r="D2604" s="2" t="str">
        <f ca="1">IFERROR(__xludf.DUMMYFUNCTION("GOOGLETRANSLATE(B2604,""en"",""ig"")"),"mmekota")</f>
        <v>mmekota</v>
      </c>
      <c r="E2604" s="2" t="str">
        <f ca="1">IFERROR(__xludf.DUMMYFUNCTION("GOOGLETRANSLATE(B2604,""en"",""fr"")"),"coopération")</f>
        <v>coopération</v>
      </c>
      <c r="F2604" s="2" t="str">
        <f ca="1">IFERROR(__xludf.DUMMYFUNCTION("GOOGLETRANSLATE(B2604,""en"",""it"")"),"cooperazione")</f>
        <v>cooperazione</v>
      </c>
      <c r="G2604" s="2" t="str">
        <f ca="1">IFERROR(__xludf.DUMMYFUNCTION("GOOGLETRANSLATE(B2604,""en"",""de"")"),"Zusammenarbeit")</f>
        <v>Zusammenarbeit</v>
      </c>
      <c r="H2604" s="2" t="str">
        <f ca="1">IFERROR(__xludf.DUMMYFUNCTION("GOOGLETRANSLATE(B2604,""en"",""zh"")"),"合作")</f>
        <v>合作</v>
      </c>
      <c r="I2604" s="2" t="str">
        <f ca="1">IFERROR(__xludf.DUMMYFUNCTION("GOOGLETRANSLATE(B2604,""en"",""gd"")"),"Co-obrachadh")</f>
        <v>Co-obrachadh</v>
      </c>
    </row>
    <row r="2605" spans="1:9" ht="14.25" customHeight="1" x14ac:dyDescent="0.3">
      <c r="A2605" s="2">
        <v>2604</v>
      </c>
      <c r="B2605" s="3" t="s">
        <v>2612</v>
      </c>
      <c r="C2605" s="2" t="str">
        <f ca="1">IFERROR(__xludf.DUMMYFUNCTION("GOOGLETRANSLATE(B2605, ""en"",""es"")"),"civil")</f>
        <v>civil</v>
      </c>
      <c r="D2605" s="2" t="str">
        <f ca="1">IFERROR(__xludf.DUMMYFUNCTION("GOOGLETRANSLATE(B2605,""en"",""ig"")"),"ndi nkiti")</f>
        <v>ndi nkiti</v>
      </c>
      <c r="E2605" s="2" t="str">
        <f ca="1">IFERROR(__xludf.DUMMYFUNCTION("GOOGLETRANSLATE(B2605,""en"",""fr"")"),"civil")</f>
        <v>civil</v>
      </c>
      <c r="F2605" s="2" t="str">
        <f ca="1">IFERROR(__xludf.DUMMYFUNCTION("GOOGLETRANSLATE(B2605,""en"",""it"")"),"civile")</f>
        <v>civile</v>
      </c>
      <c r="G2605" s="2" t="str">
        <f ca="1">IFERROR(__xludf.DUMMYFUNCTION("GOOGLETRANSLATE(B2605,""en"",""de"")"),"Zivilist")</f>
        <v>Zivilist</v>
      </c>
      <c r="H2605" s="2" t="str">
        <f ca="1">IFERROR(__xludf.DUMMYFUNCTION("GOOGLETRANSLATE(B2605,""en"",""zh"")"),"平民")</f>
        <v>平民</v>
      </c>
      <c r="I2605" s="2" t="str">
        <f ca="1">IFERROR(__xludf.DUMMYFUNCTION("GOOGLETRANSLATE(B2605,""en"",""gd"")"),"sìobhalta")</f>
        <v>sìobhalta</v>
      </c>
    </row>
    <row r="2606" spans="1:9" ht="14.25" customHeight="1" x14ac:dyDescent="0.3">
      <c r="A2606" s="2">
        <v>2605</v>
      </c>
      <c r="B2606" s="3" t="s">
        <v>2613</v>
      </c>
      <c r="C2606" s="2" t="str">
        <f ca="1">IFERROR(__xludf.DUMMYFUNCTION("GOOGLETRANSLATE(B2606, ""en"",""es"")"),"composición")</f>
        <v>composición</v>
      </c>
      <c r="D2606" s="2" t="str">
        <f ca="1">IFERROR(__xludf.DUMMYFUNCTION("GOOGLETRANSLATE(B2606,""en"",""ig"")"),"njikọta")</f>
        <v>njikọta</v>
      </c>
      <c r="E2606" s="2" t="str">
        <f ca="1">IFERROR(__xludf.DUMMYFUNCTION("GOOGLETRANSLATE(B2606,""en"",""fr"")"),"composition")</f>
        <v>composition</v>
      </c>
      <c r="F2606" s="2" t="str">
        <f ca="1">IFERROR(__xludf.DUMMYFUNCTION("GOOGLETRANSLATE(B2606,""en"",""it"")"),"composizione")</f>
        <v>composizione</v>
      </c>
      <c r="G2606" s="2" t="str">
        <f ca="1">IFERROR(__xludf.DUMMYFUNCTION("GOOGLETRANSLATE(B2606,""en"",""de"")"),"Komposition")</f>
        <v>Komposition</v>
      </c>
      <c r="H2606" s="2" t="str">
        <f ca="1">IFERROR(__xludf.DUMMYFUNCTION("GOOGLETRANSLATE(B2606,""en"",""zh"")"),"作品")</f>
        <v>作品</v>
      </c>
      <c r="I2606" s="2" t="str">
        <f ca="1">IFERROR(__xludf.DUMMYFUNCTION("GOOGLETRANSLATE(B2606,""en"",""gd"")"),"co-sgrìobhadh")</f>
        <v>co-sgrìobhadh</v>
      </c>
    </row>
    <row r="2607" spans="1:9" ht="14.25" customHeight="1" x14ac:dyDescent="0.3">
      <c r="A2607" s="2">
        <v>2606</v>
      </c>
      <c r="B2607" s="3" t="s">
        <v>2614</v>
      </c>
      <c r="C2607" s="2" t="str">
        <f ca="1">IFERROR(__xludf.DUMMYFUNCTION("GOOGLETRANSLATE(B2607, ""en"",""es"")"),"moneda")</f>
        <v>moneda</v>
      </c>
      <c r="D2607" s="2" t="str">
        <f ca="1">IFERROR(__xludf.DUMMYFUNCTION("GOOGLETRANSLATE(B2607,""en"",""ig"")"),"mkpuru ego")</f>
        <v>mkpuru ego</v>
      </c>
      <c r="E2607" s="2" t="str">
        <f ca="1">IFERROR(__xludf.DUMMYFUNCTION("GOOGLETRANSLATE(B2607,""en"",""fr"")"),"pièce de monnaie")</f>
        <v>pièce de monnaie</v>
      </c>
      <c r="F2607" s="2" t="str">
        <f ca="1">IFERROR(__xludf.DUMMYFUNCTION("GOOGLETRANSLATE(B2607,""en"",""it"")"),"moneta")</f>
        <v>moneta</v>
      </c>
      <c r="G2607" s="2" t="str">
        <f ca="1">IFERROR(__xludf.DUMMYFUNCTION("GOOGLETRANSLATE(B2607,""en"",""de"")"),"Münze")</f>
        <v>Münze</v>
      </c>
      <c r="H2607" s="2" t="str">
        <f ca="1">IFERROR(__xludf.DUMMYFUNCTION("GOOGLETRANSLATE(B2607,""en"",""zh"")"),"硬币")</f>
        <v>硬币</v>
      </c>
      <c r="I2607" s="2" t="str">
        <f ca="1">IFERROR(__xludf.DUMMYFUNCTION("GOOGLETRANSLATE(B2607,""en"",""gd"")"),"bonn")</f>
        <v>bonn</v>
      </c>
    </row>
    <row r="2608" spans="1:9" ht="14.25" customHeight="1" x14ac:dyDescent="0.3">
      <c r="A2608" s="2">
        <v>2607</v>
      </c>
      <c r="B2608" s="3" t="s">
        <v>2615</v>
      </c>
      <c r="C2608" s="2" t="str">
        <f ca="1">IFERROR(__xludf.DUMMYFUNCTION("GOOGLETRANSLATE(B2608, ""en"",""es"")"),"a pesar de todo")</f>
        <v>a pesar de todo</v>
      </c>
      <c r="D2608" s="2" t="str">
        <f ca="1">IFERROR(__xludf.DUMMYFUNCTION("GOOGLETRANSLATE(B2608,""en"",""ig"")"),"otu obula osiri di")</f>
        <v>otu obula osiri di</v>
      </c>
      <c r="E2608" s="2" t="str">
        <f ca="1">IFERROR(__xludf.DUMMYFUNCTION("GOOGLETRANSLATE(B2608,""en"",""fr"")"),"indépendamment de")</f>
        <v>indépendamment de</v>
      </c>
      <c r="F2608" s="2" t="str">
        <f ca="1">IFERROR(__xludf.DUMMYFUNCTION("GOOGLETRANSLATE(B2608,""en"",""it"")"),"indipendentemente")</f>
        <v>indipendentemente</v>
      </c>
      <c r="G2608" s="2" t="str">
        <f ca="1">IFERROR(__xludf.DUMMYFUNCTION("GOOGLETRANSLATE(B2608,""en"",""de"")"),"egal")</f>
        <v>egal</v>
      </c>
      <c r="H2608" s="2" t="str">
        <f ca="1">IFERROR(__xludf.DUMMYFUNCTION("GOOGLETRANSLATE(B2608,""en"",""zh"")"),"不管")</f>
        <v>不管</v>
      </c>
      <c r="I2608" s="2" t="str">
        <f ca="1">IFERROR(__xludf.DUMMYFUNCTION("GOOGLETRANSLATE(B2608,""en"",""gd"")"),"Ge bith")</f>
        <v>Ge bith</v>
      </c>
    </row>
    <row r="2609" spans="1:9" ht="14.25" customHeight="1" x14ac:dyDescent="0.3">
      <c r="A2609" s="2">
        <v>2608</v>
      </c>
      <c r="B2609" s="3" t="s">
        <v>2616</v>
      </c>
      <c r="C2609" s="2" t="str">
        <f ca="1">IFERROR(__xludf.DUMMYFUNCTION("GOOGLETRANSLATE(B2609, ""en"",""es"")"),"escanear")</f>
        <v>escanear</v>
      </c>
      <c r="D2609" s="2" t="str">
        <f ca="1">IFERROR(__xludf.DUMMYFUNCTION("GOOGLETRANSLATE(B2609,""en"",""ig"")"),"iyan")</f>
        <v>iyan</v>
      </c>
      <c r="E2609" s="2" t="str">
        <f ca="1">IFERROR(__xludf.DUMMYFUNCTION("GOOGLETRANSLATE(B2609,""en"",""fr"")"),"analyse")</f>
        <v>analyse</v>
      </c>
      <c r="F2609" s="2" t="str">
        <f ca="1">IFERROR(__xludf.DUMMYFUNCTION("GOOGLETRANSLATE(B2609,""en"",""it"")"),"scansione")</f>
        <v>scansione</v>
      </c>
      <c r="G2609" s="2" t="str">
        <f ca="1">IFERROR(__xludf.DUMMYFUNCTION("GOOGLETRANSLATE(B2609,""en"",""de"")"),"Scan")</f>
        <v>Scan</v>
      </c>
      <c r="H2609" s="2" t="str">
        <f ca="1">IFERROR(__xludf.DUMMYFUNCTION("GOOGLETRANSLATE(B2609,""en"",""zh"")"),"扫描")</f>
        <v>扫描</v>
      </c>
      <c r="I2609" s="2" t="str">
        <f ca="1">IFERROR(__xludf.DUMMYFUNCTION("GOOGLETRANSLATE(B2609,""en"",""gd"")"),"Sgan")</f>
        <v>Sgan</v>
      </c>
    </row>
    <row r="2610" spans="1:9" ht="14.25" customHeight="1" x14ac:dyDescent="0.3">
      <c r="A2610" s="2">
        <v>2609</v>
      </c>
      <c r="B2610" s="3" t="s">
        <v>2617</v>
      </c>
      <c r="C2610" s="2" t="str">
        <f ca="1">IFERROR(__xludf.DUMMYFUNCTION("GOOGLETRANSLATE(B2610, ""en"",""es"")"),"racimo")</f>
        <v>racimo</v>
      </c>
      <c r="D2610" s="2" t="str">
        <f ca="1">IFERROR(__xludf.DUMMYFUNCTION("GOOGLETRANSLATE(B2610,""en"",""ig"")"),"ụyọkọ")</f>
        <v>ụyọkọ</v>
      </c>
      <c r="E2610" s="2" t="str">
        <f ca="1">IFERROR(__xludf.DUMMYFUNCTION("GOOGLETRANSLATE(B2610,""en"",""fr"")"),"bouquet")</f>
        <v>bouquet</v>
      </c>
      <c r="F2610" s="2" t="str">
        <f ca="1">IFERROR(__xludf.DUMMYFUNCTION("GOOGLETRANSLATE(B2610,""en"",""it"")"),"grappolo")</f>
        <v>grappolo</v>
      </c>
      <c r="G2610" s="2" t="str">
        <f ca="1">IFERROR(__xludf.DUMMYFUNCTION("GOOGLETRANSLATE(B2610,""en"",""de"")"),"Bündel")</f>
        <v>Bündel</v>
      </c>
      <c r="H2610" s="2" t="str">
        <f ca="1">IFERROR(__xludf.DUMMYFUNCTION("GOOGLETRANSLATE(B2610,""en"",""zh"")"),"束")</f>
        <v>束</v>
      </c>
      <c r="I2610" s="2" t="str">
        <f ca="1">IFERROR(__xludf.DUMMYFUNCTION("GOOGLETRANSLATE(B2610,""en"",""gd"")"),"bun")</f>
        <v>bun</v>
      </c>
    </row>
    <row r="2611" spans="1:9" ht="14.25" customHeight="1" x14ac:dyDescent="0.3">
      <c r="A2611" s="2">
        <v>2610</v>
      </c>
      <c r="B2611" s="3" t="s">
        <v>2618</v>
      </c>
      <c r="C2611" s="2" t="str">
        <f ca="1">IFERROR(__xludf.DUMMYFUNCTION("GOOGLETRANSLATE(B2611, ""en"",""es"")"),"racial")</f>
        <v>racial</v>
      </c>
      <c r="D2611" s="2" t="str">
        <f ca="1">IFERROR(__xludf.DUMMYFUNCTION("GOOGLETRANSLATE(B2611,""en"",""ig"")"),"agbụrụ")</f>
        <v>agbụrụ</v>
      </c>
      <c r="E2611" s="2" t="str">
        <f ca="1">IFERROR(__xludf.DUMMYFUNCTION("GOOGLETRANSLATE(B2611,""en"",""fr"")"),"racial")</f>
        <v>racial</v>
      </c>
      <c r="F2611" s="2" t="str">
        <f ca="1">IFERROR(__xludf.DUMMYFUNCTION("GOOGLETRANSLATE(B2611,""en"",""it"")"),"razziale")</f>
        <v>razziale</v>
      </c>
      <c r="G2611" s="2" t="str">
        <f ca="1">IFERROR(__xludf.DUMMYFUNCTION("GOOGLETRANSLATE(B2611,""en"",""de"")"),"rassistisch")</f>
        <v>rassistisch</v>
      </c>
      <c r="H2611" s="2" t="str">
        <f ca="1">IFERROR(__xludf.DUMMYFUNCTION("GOOGLETRANSLATE(B2611,""en"",""zh"")"),"种族")</f>
        <v>种族</v>
      </c>
      <c r="I2611" s="2" t="str">
        <f ca="1">IFERROR(__xludf.DUMMYFUNCTION("GOOGLETRANSLATE(B2611,""en"",""gd"")"),"cinneadh")</f>
        <v>cinneadh</v>
      </c>
    </row>
    <row r="2612" spans="1:9" ht="14.25" customHeight="1" x14ac:dyDescent="0.3">
      <c r="A2612" s="2">
        <v>2611</v>
      </c>
      <c r="B2612" s="3" t="s">
        <v>2619</v>
      </c>
      <c r="C2612" s="2" t="str">
        <f ca="1">IFERROR(__xludf.DUMMYFUNCTION("GOOGLETRANSLATE(B2612, ""en"",""es"")"),"saludar")</f>
        <v>saludar</v>
      </c>
      <c r="D2612" s="2" t="str">
        <f ca="1">IFERROR(__xludf.DUMMYFUNCTION("GOOGLETRANSLATE(B2612,""en"",""ig"")"),"ikele")</f>
        <v>ikele</v>
      </c>
      <c r="E2612" s="2" t="str">
        <f ca="1">IFERROR(__xludf.DUMMYFUNCTION("GOOGLETRANSLATE(B2612,""en"",""fr"")"),"saluer")</f>
        <v>saluer</v>
      </c>
      <c r="F2612" s="2" t="str">
        <f ca="1">IFERROR(__xludf.DUMMYFUNCTION("GOOGLETRANSLATE(B2612,""en"",""it"")"),"salutare")</f>
        <v>salutare</v>
      </c>
      <c r="G2612" s="2" t="str">
        <f ca="1">IFERROR(__xludf.DUMMYFUNCTION("GOOGLETRANSLATE(B2612,""en"",""de"")"),"grüßen")</f>
        <v>grüßen</v>
      </c>
      <c r="H2612" s="2" t="str">
        <f ca="1">IFERROR(__xludf.DUMMYFUNCTION("GOOGLETRANSLATE(B2612,""en"",""zh"")"),"迎接")</f>
        <v>迎接</v>
      </c>
      <c r="I2612" s="2" t="str">
        <f ca="1">IFERROR(__xludf.DUMMYFUNCTION("GOOGLETRANSLATE(B2612,""en"",""gd"")"),"fàilte")</f>
        <v>fàilte</v>
      </c>
    </row>
    <row r="2613" spans="1:9" ht="14.25" customHeight="1" x14ac:dyDescent="0.3">
      <c r="A2613" s="2">
        <v>2612</v>
      </c>
      <c r="B2613" s="3" t="s">
        <v>2620</v>
      </c>
      <c r="C2613" s="2" t="str">
        <f ca="1">IFERROR(__xludf.DUMMYFUNCTION("GOOGLETRANSLATE(B2613, ""en"",""es"")"),"con un poco de suerte")</f>
        <v>con un poco de suerte</v>
      </c>
      <c r="D2613" s="2" t="str">
        <f ca="1">IFERROR(__xludf.DUMMYFUNCTION("GOOGLETRANSLATE(B2613,""en"",""ig"")"),"na nchekwube")</f>
        <v>na nchekwube</v>
      </c>
      <c r="E2613" s="2" t="str">
        <f ca="1">IFERROR(__xludf.DUMMYFUNCTION("GOOGLETRANSLATE(B2613,""en"",""fr"")"),"avec un peu de chance")</f>
        <v>avec un peu de chance</v>
      </c>
      <c r="F2613" s="2" t="str">
        <f ca="1">IFERROR(__xludf.DUMMYFUNCTION("GOOGLETRANSLATE(B2613,""en"",""it"")"),"fiduciosamente")</f>
        <v>fiduciosamente</v>
      </c>
      <c r="G2613" s="2" t="str">
        <f ca="1">IFERROR(__xludf.DUMMYFUNCTION("GOOGLETRANSLATE(B2613,""en"",""de"")"),"hoffentlich")</f>
        <v>hoffentlich</v>
      </c>
      <c r="H2613" s="2" t="str">
        <f ca="1">IFERROR(__xludf.DUMMYFUNCTION("GOOGLETRANSLATE(B2613,""en"",""zh"")"),"希望")</f>
        <v>希望</v>
      </c>
      <c r="I2613" s="2" t="str">
        <f ca="1">IFERROR(__xludf.DUMMYFUNCTION("GOOGLETRANSLATE(B2613,""en"",""gd"")"),"an dòchas")</f>
        <v>an dòchas</v>
      </c>
    </row>
    <row r="2614" spans="1:9" ht="14.25" customHeight="1" x14ac:dyDescent="0.3">
      <c r="A2614" s="2">
        <v>2613</v>
      </c>
      <c r="B2614" s="3" t="s">
        <v>2621</v>
      </c>
      <c r="C2614" s="2" t="str">
        <f ca="1">IFERROR(__xludf.DUMMYFUNCTION("GOOGLETRANSLATE(B2614, ""en"",""es"")"),"sanción")</f>
        <v>sanción</v>
      </c>
      <c r="D2614" s="2" t="str">
        <f ca="1">IFERROR(__xludf.DUMMYFUNCTION("GOOGLETRANSLATE(B2614,""en"",""ig"")"),"saukshion")</f>
        <v>saukshion</v>
      </c>
      <c r="E2614" s="2" t="str">
        <f ca="1">IFERROR(__xludf.DUMMYFUNCTION("GOOGLETRANSLATE(B2614,""en"",""fr"")"),"sanction")</f>
        <v>sanction</v>
      </c>
      <c r="F2614" s="2" t="str">
        <f ca="1">IFERROR(__xludf.DUMMYFUNCTION("GOOGLETRANSLATE(B2614,""en"",""it"")"),"sanzione")</f>
        <v>sanzione</v>
      </c>
      <c r="G2614" s="2" t="str">
        <f ca="1">IFERROR(__xludf.DUMMYFUNCTION("GOOGLETRANSLATE(B2614,""en"",""de"")"),"Sanktion")</f>
        <v>Sanktion</v>
      </c>
      <c r="H2614" s="2" t="str">
        <f ca="1">IFERROR(__xludf.DUMMYFUNCTION("GOOGLETRANSLATE(B2614,""en"",""zh"")"),"制裁")</f>
        <v>制裁</v>
      </c>
      <c r="I2614" s="2" t="str">
        <f ca="1">IFERROR(__xludf.DUMMYFUNCTION("GOOGLETRANSLATE(B2614,""en"",""gd"")"),"smachd-bhann")</f>
        <v>smachd-bhann</v>
      </c>
    </row>
    <row r="2615" spans="1:9" ht="14.25" customHeight="1" x14ac:dyDescent="0.3">
      <c r="A2615" s="2">
        <v>2614</v>
      </c>
      <c r="B2615" s="3" t="s">
        <v>2622</v>
      </c>
      <c r="C2615" s="2" t="str">
        <f ca="1">IFERROR(__xludf.DUMMYFUNCTION("GOOGLETRANSLATE(B2615, ""en"",""es"")"),"truco")</f>
        <v>truco</v>
      </c>
      <c r="D2615" s="2" t="str">
        <f ca="1">IFERROR(__xludf.DUMMYFUNCTION("GOOGLETRANSLATE(B2615,""en"",""ig"")"),"ughoro")</f>
        <v>ughoro</v>
      </c>
      <c r="E2615" s="2" t="str">
        <f ca="1">IFERROR(__xludf.DUMMYFUNCTION("GOOGLETRANSLATE(B2615,""en"",""fr"")"),"astuce")</f>
        <v>astuce</v>
      </c>
      <c r="F2615" s="2" t="str">
        <f ca="1">IFERROR(__xludf.DUMMYFUNCTION("GOOGLETRANSLATE(B2615,""en"",""it"")"),"trucco")</f>
        <v>trucco</v>
      </c>
      <c r="G2615" s="2" t="str">
        <f ca="1">IFERROR(__xludf.DUMMYFUNCTION("GOOGLETRANSLATE(B2615,""en"",""de"")"),"Trick")</f>
        <v>Trick</v>
      </c>
      <c r="H2615" s="2" t="str">
        <f ca="1">IFERROR(__xludf.DUMMYFUNCTION("GOOGLETRANSLATE(B2615,""en"",""zh"")"),"诡计")</f>
        <v>诡计</v>
      </c>
      <c r="I2615" s="2" t="str">
        <f ca="1">IFERROR(__xludf.DUMMYFUNCTION("GOOGLETRANSLATE(B2615,""en"",""gd"")"),"cleas")</f>
        <v>cleas</v>
      </c>
    </row>
    <row r="2616" spans="1:9" ht="14.25" customHeight="1" x14ac:dyDescent="0.3">
      <c r="A2616" s="2">
        <v>2615</v>
      </c>
      <c r="B2616" s="3" t="s">
        <v>2623</v>
      </c>
      <c r="C2616" s="2" t="str">
        <f ca="1">IFERROR(__xludf.DUMMYFUNCTION("GOOGLETRANSLATE(B2616, ""en"",""es"")"),"párrafo")</f>
        <v>párrafo</v>
      </c>
      <c r="D2616" s="2" t="str">
        <f ca="1">IFERROR(__xludf.DUMMYFUNCTION("GOOGLETRANSLATE(B2616,""en"",""ig"")"),"amaokwu")</f>
        <v>amaokwu</v>
      </c>
      <c r="E2616" s="2" t="str">
        <f ca="1">IFERROR(__xludf.DUMMYFUNCTION("GOOGLETRANSLATE(B2616,""en"",""fr"")"),"paragraphe")</f>
        <v>paragraphe</v>
      </c>
      <c r="F2616" s="2" t="str">
        <f ca="1">IFERROR(__xludf.DUMMYFUNCTION("GOOGLETRANSLATE(B2616,""en"",""it"")"),"paragrafo")</f>
        <v>paragrafo</v>
      </c>
      <c r="G2616" s="2" t="str">
        <f ca="1">IFERROR(__xludf.DUMMYFUNCTION("GOOGLETRANSLATE(B2616,""en"",""de"")"),"Absatz")</f>
        <v>Absatz</v>
      </c>
      <c r="H2616" s="2" t="str">
        <f ca="1">IFERROR(__xludf.DUMMYFUNCTION("GOOGLETRANSLATE(B2616,""en"",""zh"")"),"段落")</f>
        <v>段落</v>
      </c>
      <c r="I2616" s="2" t="str">
        <f ca="1">IFERROR(__xludf.DUMMYFUNCTION("GOOGLETRANSLATE(B2616,""en"",""gd"")"),"Paragraf")</f>
        <v>Paragraf</v>
      </c>
    </row>
    <row r="2617" spans="1:9" ht="14.25" customHeight="1" x14ac:dyDescent="0.3">
      <c r="A2617" s="2">
        <v>2616</v>
      </c>
      <c r="B2617" s="3" t="s">
        <v>2624</v>
      </c>
      <c r="C2617" s="2" t="str">
        <f ca="1">IFERROR(__xludf.DUMMYFUNCTION("GOOGLETRANSLATE(B2617, ""en"",""es"")"),"fabricante")</f>
        <v>fabricante</v>
      </c>
      <c r="D2617" s="2" t="str">
        <f ca="1">IFERROR(__xludf.DUMMYFUNCTION("GOOGLETRANSLATE(B2617,""en"",""ig"")"),"onye metara")</f>
        <v>onye metara</v>
      </c>
      <c r="E2617" s="2" t="str">
        <f ca="1">IFERROR(__xludf.DUMMYFUNCTION("GOOGLETRANSLATE(B2617,""en"",""fr"")"),"fabricant")</f>
        <v>fabricant</v>
      </c>
      <c r="F2617" s="2" t="str">
        <f ca="1">IFERROR(__xludf.DUMMYFUNCTION("GOOGLETRANSLATE(B2617,""en"",""it"")"),"Creatore")</f>
        <v>Creatore</v>
      </c>
      <c r="G2617" s="2" t="str">
        <f ca="1">IFERROR(__xludf.DUMMYFUNCTION("GOOGLETRANSLATE(B2617,""en"",""de"")"),"Hersteller")</f>
        <v>Hersteller</v>
      </c>
      <c r="H2617" s="2" t="str">
        <f ca="1">IFERROR(__xludf.DUMMYFUNCTION("GOOGLETRANSLATE(B2617,""en"",""zh"")"),"制作者")</f>
        <v>制作者</v>
      </c>
      <c r="I2617" s="2" t="str">
        <f ca="1">IFERROR(__xludf.DUMMYFUNCTION("GOOGLETRANSLATE(B2617,""en"",""gd"")"),"neach-dèanamh")</f>
        <v>neach-dèanamh</v>
      </c>
    </row>
    <row r="2618" spans="1:9" ht="14.25" customHeight="1" x14ac:dyDescent="0.3">
      <c r="A2618" s="2">
        <v>2617</v>
      </c>
      <c r="B2618" s="3" t="s">
        <v>2625</v>
      </c>
      <c r="C2618" s="2" t="str">
        <f ca="1">IFERROR(__xludf.DUMMYFUNCTION("GOOGLETRANSLATE(B2618, ""en"",""es"")"),"chocolate")</f>
        <v>chocolate</v>
      </c>
      <c r="D2618" s="2" t="str">
        <f ca="1">IFERROR(__xludf.DUMMYFUNCTION("GOOGLETRANSLATE(B2618,""en"",""ig"")"),"chokoleeti")</f>
        <v>chokoleeti</v>
      </c>
      <c r="E2618" s="2" t="str">
        <f ca="1">IFERROR(__xludf.DUMMYFUNCTION("GOOGLETRANSLATE(B2618,""en"",""fr"")"),"chocolat")</f>
        <v>chocolat</v>
      </c>
      <c r="F2618" s="2" t="str">
        <f ca="1">IFERROR(__xludf.DUMMYFUNCTION("GOOGLETRANSLATE(B2618,""en"",""it"")"),"cioccolato")</f>
        <v>cioccolato</v>
      </c>
      <c r="G2618" s="2" t="str">
        <f ca="1">IFERROR(__xludf.DUMMYFUNCTION("GOOGLETRANSLATE(B2618,""en"",""de"")"),"Schokolade")</f>
        <v>Schokolade</v>
      </c>
      <c r="H2618" s="2" t="str">
        <f ca="1">IFERROR(__xludf.DUMMYFUNCTION("GOOGLETRANSLATE(B2618,""en"",""zh"")"),"巧克力")</f>
        <v>巧克力</v>
      </c>
      <c r="I2618" s="2" t="str">
        <f ca="1">IFERROR(__xludf.DUMMYFUNCTION("GOOGLETRANSLATE(B2618,""en"",""gd"")"),"seoclaid")</f>
        <v>seoclaid</v>
      </c>
    </row>
    <row r="2619" spans="1:9" ht="14.25" customHeight="1" x14ac:dyDescent="0.3">
      <c r="A2619" s="2">
        <v>2618</v>
      </c>
      <c r="B2619" s="3" t="s">
        <v>2626</v>
      </c>
      <c r="C2619" s="2" t="str">
        <f ca="1">IFERROR(__xludf.DUMMYFUNCTION("GOOGLETRANSLATE(B2619, ""en"",""es"")"),"estimular")</f>
        <v>estimular</v>
      </c>
      <c r="D2619" s="2" t="str">
        <f ca="1">IFERROR(__xludf.DUMMYFUNCTION("GOOGLETRANSLATE(B2619,""en"",""ig"")"),"ikpalite")</f>
        <v>ikpalite</v>
      </c>
      <c r="E2619" s="2" t="str">
        <f ca="1">IFERROR(__xludf.DUMMYFUNCTION("GOOGLETRANSLATE(B2619,""en"",""fr"")"),"stimuler")</f>
        <v>stimuler</v>
      </c>
      <c r="F2619" s="2" t="str">
        <f ca="1">IFERROR(__xludf.DUMMYFUNCTION("GOOGLETRANSLATE(B2619,""en"",""it"")"),"stimolare")</f>
        <v>stimolare</v>
      </c>
      <c r="G2619" s="2" t="str">
        <f ca="1">IFERROR(__xludf.DUMMYFUNCTION("GOOGLETRANSLATE(B2619,""en"",""de"")"),"stimulieren")</f>
        <v>stimulieren</v>
      </c>
      <c r="H2619" s="2" t="str">
        <f ca="1">IFERROR(__xludf.DUMMYFUNCTION("GOOGLETRANSLATE(B2619,""en"",""zh"")"),"刺激")</f>
        <v>刺激</v>
      </c>
      <c r="I2619" s="2" t="str">
        <f ca="1">IFERROR(__xludf.DUMMYFUNCTION("GOOGLETRANSLATE(B2619,""en"",""gd"")"),"brosnachail")</f>
        <v>brosnachail</v>
      </c>
    </row>
    <row r="2620" spans="1:9" ht="14.25" customHeight="1" x14ac:dyDescent="0.3">
      <c r="A2620" s="2">
        <v>2619</v>
      </c>
      <c r="B2620" s="3" t="s">
        <v>2627</v>
      </c>
      <c r="C2620" s="2" t="str">
        <f ca="1">IFERROR(__xludf.DUMMYFUNCTION("GOOGLETRANSLATE(B2620, ""en"",""es"")"),"cinturón")</f>
        <v>cinturón</v>
      </c>
      <c r="D2620" s="2" t="str">
        <f ca="1">IFERROR(__xludf.DUMMYFUNCTION("GOOGLETRANSLATE(B2620,""en"",""ig"")"),"beelutu")</f>
        <v>beelutu</v>
      </c>
      <c r="E2620" s="2" t="str">
        <f ca="1">IFERROR(__xludf.DUMMYFUNCTION("GOOGLETRANSLATE(B2620,""en"",""fr"")"),"ceinture")</f>
        <v>ceinture</v>
      </c>
      <c r="F2620" s="2" t="str">
        <f ca="1">IFERROR(__xludf.DUMMYFUNCTION("GOOGLETRANSLATE(B2620,""en"",""it"")"),"cintura")</f>
        <v>cintura</v>
      </c>
      <c r="G2620" s="2" t="str">
        <f ca="1">IFERROR(__xludf.DUMMYFUNCTION("GOOGLETRANSLATE(B2620,""en"",""de"")"),"Gürtel")</f>
        <v>Gürtel</v>
      </c>
      <c r="H2620" s="2" t="str">
        <f ca="1">IFERROR(__xludf.DUMMYFUNCTION("GOOGLETRANSLATE(B2620,""en"",""zh"")"),"腰带")</f>
        <v>腰带</v>
      </c>
      <c r="I2620" s="2" t="str">
        <f ca="1">IFERROR(__xludf.DUMMYFUNCTION("GOOGLETRANSLATE(B2620,""en"",""gd"")"),"crios")</f>
        <v>crios</v>
      </c>
    </row>
    <row r="2621" spans="1:9" ht="14.25" customHeight="1" x14ac:dyDescent="0.3">
      <c r="A2621" s="2">
        <v>2620</v>
      </c>
      <c r="B2621" s="3" t="s">
        <v>2628</v>
      </c>
      <c r="C2621" s="2" t="str">
        <f ca="1">IFERROR(__xludf.DUMMYFUNCTION("GOOGLETRANSLATE(B2621, ""en"",""es"")"),"papa")</f>
        <v>papa</v>
      </c>
      <c r="D2621" s="2" t="str">
        <f ca="1">IFERROR(__xludf.DUMMYFUNCTION("GOOGLETRANSLATE(B2621,""en"",""ig"")"),"nduku")</f>
        <v>nduku</v>
      </c>
      <c r="E2621" s="2" t="str">
        <f ca="1">IFERROR(__xludf.DUMMYFUNCTION("GOOGLETRANSLATE(B2621,""en"",""fr"")"),"pomme de terre")</f>
        <v>pomme de terre</v>
      </c>
      <c r="F2621" s="2" t="str">
        <f ca="1">IFERROR(__xludf.DUMMYFUNCTION("GOOGLETRANSLATE(B2621,""en"",""it"")"),"Patata")</f>
        <v>Patata</v>
      </c>
      <c r="G2621" s="2" t="str">
        <f ca="1">IFERROR(__xludf.DUMMYFUNCTION("GOOGLETRANSLATE(B2621,""en"",""de"")"),"Kartoffel")</f>
        <v>Kartoffel</v>
      </c>
      <c r="H2621" s="2" t="str">
        <f ca="1">IFERROR(__xludf.DUMMYFUNCTION("GOOGLETRANSLATE(B2621,""en"",""zh"")"),"土豆")</f>
        <v>土豆</v>
      </c>
      <c r="I2621" s="2" t="str">
        <f ca="1">IFERROR(__xludf.DUMMYFUNCTION("GOOGLETRANSLATE(B2621,""en"",""gd"")"),"Buntàta")</f>
        <v>Buntàta</v>
      </c>
    </row>
    <row r="2622" spans="1:9" ht="14.25" customHeight="1" x14ac:dyDescent="0.3">
      <c r="A2622" s="2">
        <v>2621</v>
      </c>
      <c r="B2622" s="3" t="s">
        <v>2629</v>
      </c>
      <c r="C2622" s="2" t="str">
        <f ca="1">IFERROR(__xludf.DUMMYFUNCTION("GOOGLETRANSLATE(B2622, ""en"",""es"")"),"narrativo")</f>
        <v>narrativo</v>
      </c>
      <c r="D2622" s="2" t="str">
        <f ca="1">IFERROR(__xludf.DUMMYFUNCTION("GOOGLETRANSLATE(B2622,""en"",""ig"")"),"ịkọ")</f>
        <v>ịkọ</v>
      </c>
      <c r="E2622" s="2" t="str">
        <f ca="1">IFERROR(__xludf.DUMMYFUNCTION("GOOGLETRANSLATE(B2622,""en"",""fr"")"),"narratif")</f>
        <v>narratif</v>
      </c>
      <c r="F2622" s="2" t="str">
        <f ca="1">IFERROR(__xludf.DUMMYFUNCTION("GOOGLETRANSLATE(B2622,""en"",""it"")"),"narrativa")</f>
        <v>narrativa</v>
      </c>
      <c r="G2622" s="2" t="str">
        <f ca="1">IFERROR(__xludf.DUMMYFUNCTION("GOOGLETRANSLATE(B2622,""en"",""de"")"),"Erzählung")</f>
        <v>Erzählung</v>
      </c>
      <c r="H2622" s="2" t="str">
        <f ca="1">IFERROR(__xludf.DUMMYFUNCTION("GOOGLETRANSLATE(B2622,""en"",""zh"")"),"叙述")</f>
        <v>叙述</v>
      </c>
      <c r="I2622" s="2" t="str">
        <f ca="1">IFERROR(__xludf.DUMMYFUNCTION("GOOGLETRANSLATE(B2622,""en"",""gd"")"),"Aithris")</f>
        <v>Aithris</v>
      </c>
    </row>
    <row r="2623" spans="1:9" ht="14.25" customHeight="1" x14ac:dyDescent="0.3">
      <c r="A2623" s="2">
        <v>2622</v>
      </c>
      <c r="B2623" s="3" t="s">
        <v>2630</v>
      </c>
      <c r="C2623" s="2" t="str">
        <f ca="1">IFERROR(__xludf.DUMMYFUNCTION("GOOGLETRANSLATE(B2623, ""en"",""es"")"),"tejido")</f>
        <v>tejido</v>
      </c>
      <c r="D2623" s="2" t="str">
        <f ca="1">IFERROR(__xludf.DUMMYFUNCTION("GOOGLETRANSLATE(B2623,""en"",""ig"")"),"ahummadu")</f>
        <v>ahummadu</v>
      </c>
      <c r="E2623" s="2" t="str">
        <f ca="1">IFERROR(__xludf.DUMMYFUNCTION("GOOGLETRANSLATE(B2623,""en"",""fr"")"),"tissu")</f>
        <v>tissu</v>
      </c>
      <c r="F2623" s="2" t="str">
        <f ca="1">IFERROR(__xludf.DUMMYFUNCTION("GOOGLETRANSLATE(B2623,""en"",""it"")"),"tessuto")</f>
        <v>tessuto</v>
      </c>
      <c r="G2623" s="2" t="str">
        <f ca="1">IFERROR(__xludf.DUMMYFUNCTION("GOOGLETRANSLATE(B2623,""en"",""de"")"),"Gewebe")</f>
        <v>Gewebe</v>
      </c>
      <c r="H2623" s="2" t="str">
        <f ca="1">IFERROR(__xludf.DUMMYFUNCTION("GOOGLETRANSLATE(B2623,""en"",""zh"")"),"组织")</f>
        <v>组织</v>
      </c>
      <c r="I2623" s="2" t="str">
        <f ca="1">IFERROR(__xludf.DUMMYFUNCTION("GOOGLETRANSLATE(B2623,""en"",""gd"")"),"clò")</f>
        <v>clò</v>
      </c>
    </row>
    <row r="2624" spans="1:9" ht="14.25" customHeight="1" x14ac:dyDescent="0.3">
      <c r="A2624" s="2">
        <v>2623</v>
      </c>
      <c r="B2624" s="3" t="s">
        <v>2631</v>
      </c>
      <c r="C2624" s="2" t="str">
        <f ca="1">IFERROR(__xludf.DUMMYFUNCTION("GOOGLETRANSLATE(B2624, ""en"",""es"")"),"apenas")</f>
        <v>apenas</v>
      </c>
      <c r="D2624" s="2" t="str">
        <f ca="1">IFERROR(__xludf.DUMMYFUNCTION("GOOGLETRANSLATE(B2624,""en"",""ig"")"),"sonso")</f>
        <v>sonso</v>
      </c>
      <c r="E2624" s="2" t="str">
        <f ca="1">IFERROR(__xludf.DUMMYFUNCTION("GOOGLETRANSLATE(B2624,""en"",""fr"")"),"à peine")</f>
        <v>à peine</v>
      </c>
      <c r="F2624" s="2" t="str">
        <f ca="1">IFERROR(__xludf.DUMMYFUNCTION("GOOGLETRANSLATE(B2624,""en"",""it"")"),"appena")</f>
        <v>appena</v>
      </c>
      <c r="G2624" s="2" t="str">
        <f ca="1">IFERROR(__xludf.DUMMYFUNCTION("GOOGLETRANSLATE(B2624,""en"",""de"")"),"kaum")</f>
        <v>kaum</v>
      </c>
      <c r="H2624" s="2" t="str">
        <f ca="1">IFERROR(__xludf.DUMMYFUNCTION("GOOGLETRANSLATE(B2624,""en"",""zh"")"),"仅仅")</f>
        <v>仅仅</v>
      </c>
      <c r="I2624" s="2" t="str">
        <f ca="1">IFERROR(__xludf.DUMMYFUNCTION("GOOGLETRANSLATE(B2624,""en"",""gd"")"),"gann")</f>
        <v>gann</v>
      </c>
    </row>
    <row r="2625" spans="1:9" ht="14.25" customHeight="1" x14ac:dyDescent="0.3">
      <c r="A2625" s="2">
        <v>2624</v>
      </c>
      <c r="B2625" s="3" t="s">
        <v>2632</v>
      </c>
      <c r="C2625" s="2" t="str">
        <f ca="1">IFERROR(__xludf.DUMMYFUNCTION("GOOGLETRANSLATE(B2625, ""en"",""es"")"),"inventar")</f>
        <v>inventar</v>
      </c>
      <c r="D2625" s="2" t="str">
        <f ca="1">IFERROR(__xludf.DUMMYFUNCTION("GOOGLETRANSLATE(B2625,""en"",""ig"")"),"cheputa")</f>
        <v>cheputa</v>
      </c>
      <c r="E2625" s="2" t="str">
        <f ca="1">IFERROR(__xludf.DUMMYFUNCTION("GOOGLETRANSLATE(B2625,""en"",""fr"")"),"inventer")</f>
        <v>inventer</v>
      </c>
      <c r="F2625" s="2" t="str">
        <f ca="1">IFERROR(__xludf.DUMMYFUNCTION("GOOGLETRANSLATE(B2625,""en"",""it"")"),"inventare")</f>
        <v>inventare</v>
      </c>
      <c r="G2625" s="2" t="str">
        <f ca="1">IFERROR(__xludf.DUMMYFUNCTION("GOOGLETRANSLATE(B2625,""en"",""de"")"),"erfinden")</f>
        <v>erfinden</v>
      </c>
      <c r="H2625" s="2" t="str">
        <f ca="1">IFERROR(__xludf.DUMMYFUNCTION("GOOGLETRANSLATE(B2625,""en"",""zh"")"),"发明")</f>
        <v>发明</v>
      </c>
      <c r="I2625" s="2" t="str">
        <f ca="1">IFERROR(__xludf.DUMMYFUNCTION("GOOGLETRANSLATE(B2625,""en"",""gd"")"),"innleachd")</f>
        <v>innleachd</v>
      </c>
    </row>
    <row r="2626" spans="1:9" ht="14.25" customHeight="1" x14ac:dyDescent="0.3">
      <c r="A2626" s="2">
        <v>2625</v>
      </c>
      <c r="B2626" s="3" t="s">
        <v>2633</v>
      </c>
      <c r="C2626" s="2" t="str">
        <f ca="1">IFERROR(__xludf.DUMMYFUNCTION("GOOGLETRANSLATE(B2626, ""en"",""es"")"),"turismo")</f>
        <v>turismo</v>
      </c>
      <c r="D2626" s="2" t="str">
        <f ca="1">IFERROR(__xludf.DUMMYFUNCTION("GOOGLETRANSLATE(B2626,""en"",""ig"")"),"njem")</f>
        <v>njem</v>
      </c>
      <c r="E2626" s="2" t="str">
        <f ca="1">IFERROR(__xludf.DUMMYFUNCTION("GOOGLETRANSLATE(B2626,""en"",""fr"")"),"tourisme")</f>
        <v>tourisme</v>
      </c>
      <c r="F2626" s="2" t="str">
        <f ca="1">IFERROR(__xludf.DUMMYFUNCTION("GOOGLETRANSLATE(B2626,""en"",""it"")"),"turismo")</f>
        <v>turismo</v>
      </c>
      <c r="G2626" s="2" t="str">
        <f ca="1">IFERROR(__xludf.DUMMYFUNCTION("GOOGLETRANSLATE(B2626,""en"",""de"")"),"Tourismus")</f>
        <v>Tourismus</v>
      </c>
      <c r="H2626" s="2" t="str">
        <f ca="1">IFERROR(__xludf.DUMMYFUNCTION("GOOGLETRANSLATE(B2626,""en"",""zh"")"),"旅游")</f>
        <v>旅游</v>
      </c>
      <c r="I2626" s="2" t="str">
        <f ca="1">IFERROR(__xludf.DUMMYFUNCTION("GOOGLETRANSLATE(B2626,""en"",""gd"")"),"Turasachd")</f>
        <v>Turasachd</v>
      </c>
    </row>
    <row r="2627" spans="1:9" ht="14.25" customHeight="1" x14ac:dyDescent="0.3">
      <c r="A2627" s="2">
        <v>2626</v>
      </c>
      <c r="B2627" s="3" t="s">
        <v>2634</v>
      </c>
      <c r="C2627" s="2" t="str">
        <f ca="1">IFERROR(__xludf.DUMMYFUNCTION("GOOGLETRANSLATE(B2627, ""en"",""es"")"),"Pro")</f>
        <v>Pro</v>
      </c>
      <c r="D2627" s="2" t="str">
        <f ca="1">IFERROR(__xludf.DUMMYFUNCTION("GOOGLETRANSLATE(B2627,""en"",""ig"")"),"pro")</f>
        <v>pro</v>
      </c>
      <c r="E2627" s="2" t="str">
        <f ca="1">IFERROR(__xludf.DUMMYFUNCTION("GOOGLETRANSLATE(B2627,""en"",""fr"")"),"pro")</f>
        <v>pro</v>
      </c>
      <c r="F2627" s="2" t="str">
        <f ca="1">IFERROR(__xludf.DUMMYFUNCTION("GOOGLETRANSLATE(B2627,""en"",""it"")"),"pro")</f>
        <v>pro</v>
      </c>
      <c r="G2627" s="2" t="str">
        <f ca="1">IFERROR(__xludf.DUMMYFUNCTION("GOOGLETRANSLATE(B2627,""en"",""de"")"),"Profi")</f>
        <v>Profi</v>
      </c>
      <c r="H2627" s="2" t="str">
        <f ca="1">IFERROR(__xludf.DUMMYFUNCTION("GOOGLETRANSLATE(B2627,""en"",""zh"")"),"Pro")</f>
        <v>Pro</v>
      </c>
      <c r="I2627" s="2" t="str">
        <f ca="1">IFERROR(__xludf.DUMMYFUNCTION("GOOGLETRANSLATE(B2627,""en"",""gd"")"),"pro")</f>
        <v>pro</v>
      </c>
    </row>
    <row r="2628" spans="1:9" ht="14.25" customHeight="1" x14ac:dyDescent="0.3">
      <c r="A2628" s="2">
        <v>2627</v>
      </c>
      <c r="B2628" s="3" t="s">
        <v>2635</v>
      </c>
      <c r="C2628" s="2" t="str">
        <f ca="1">IFERROR(__xludf.DUMMYFUNCTION("GOOGLETRANSLATE(B2628, ""en"",""es"")"),"escalera")</f>
        <v>escalera</v>
      </c>
      <c r="D2628" s="2" t="str">
        <f ca="1">IFERROR(__xludf.DUMMYFUNCTION("GOOGLETRANSLATE(B2628,""en"",""ig"")"),"flaali")</f>
        <v>flaali</v>
      </c>
      <c r="E2628" s="2" t="str">
        <f ca="1">IFERROR(__xludf.DUMMYFUNCTION("GOOGLETRANSLATE(B2628,""en"",""fr"")"),"escalier")</f>
        <v>escalier</v>
      </c>
      <c r="F2628" s="2" t="str">
        <f ca="1">IFERROR(__xludf.DUMMYFUNCTION("GOOGLETRANSLATE(B2628,""en"",""it"")"),"scala")</f>
        <v>scala</v>
      </c>
      <c r="G2628" s="2" t="str">
        <f ca="1">IFERROR(__xludf.DUMMYFUNCTION("GOOGLETRANSLATE(B2628,""en"",""de"")"),"Treppe")</f>
        <v>Treppe</v>
      </c>
      <c r="H2628" s="2" t="str">
        <f ca="1">IFERROR(__xludf.DUMMYFUNCTION("GOOGLETRANSLATE(B2628,""en"",""zh"")"),"楼梯")</f>
        <v>楼梯</v>
      </c>
      <c r="I2628" s="2" t="str">
        <f ca="1">IFERROR(__xludf.DUMMYFUNCTION("GOOGLETRANSLATE(B2628,""en"",""gd"")"),"Staidhre")</f>
        <v>Staidhre</v>
      </c>
    </row>
    <row r="2629" spans="1:9" ht="14.25" customHeight="1" x14ac:dyDescent="0.3">
      <c r="A2629" s="2">
        <v>2628</v>
      </c>
      <c r="B2629" s="3" t="s">
        <v>2636</v>
      </c>
      <c r="C2629" s="2" t="str">
        <f ca="1">IFERROR(__xludf.DUMMYFUNCTION("GOOGLETRANSLATE(B2629, ""en"",""es"")"),"dudar")</f>
        <v>dudar</v>
      </c>
      <c r="D2629" s="2" t="str">
        <f ca="1">IFERROR(__xludf.DUMMYFUNCTION("GOOGLETRANSLATE(B2629,""en"",""ig"")"),"na-egbu oge")</f>
        <v>na-egbu oge</v>
      </c>
      <c r="E2629" s="2" t="str">
        <f ca="1">IFERROR(__xludf.DUMMYFUNCTION("GOOGLETRANSLATE(B2629,""en"",""fr"")"),"hésiter")</f>
        <v>hésiter</v>
      </c>
      <c r="F2629" s="2" t="str">
        <f ca="1">IFERROR(__xludf.DUMMYFUNCTION("GOOGLETRANSLATE(B2629,""en"",""it"")"),"esitare")</f>
        <v>esitare</v>
      </c>
      <c r="G2629" s="2" t="str">
        <f ca="1">IFERROR(__xludf.DUMMYFUNCTION("GOOGLETRANSLATE(B2629,""en"",""de"")"),"zögern")</f>
        <v>zögern</v>
      </c>
      <c r="H2629" s="2" t="str">
        <f ca="1">IFERROR(__xludf.DUMMYFUNCTION("GOOGLETRANSLATE(B2629,""en"",""zh"")"),"犹豫")</f>
        <v>犹豫</v>
      </c>
      <c r="I2629" s="2" t="str">
        <f ca="1">IFERROR(__xludf.DUMMYFUNCTION("GOOGLETRANSLATE(B2629,""en"",""gd"")"),"sòr")</f>
        <v>sòr</v>
      </c>
    </row>
    <row r="2630" spans="1:9" ht="14.25" customHeight="1" x14ac:dyDescent="0.3">
      <c r="A2630" s="2">
        <v>2629</v>
      </c>
      <c r="B2630" s="3" t="s">
        <v>2637</v>
      </c>
      <c r="C2630" s="2" t="str">
        <f ca="1">IFERROR(__xludf.DUMMYFUNCTION("GOOGLETRANSLATE(B2630, ""en"",""es"")"),"brillar")</f>
        <v>brillar</v>
      </c>
      <c r="D2630" s="2" t="str">
        <f ca="1">IFERROR(__xludf.DUMMYFUNCTION("GOOGLETRANSLATE(B2630,""en"",""ig"")"),"onwunwu")</f>
        <v>onwunwu</v>
      </c>
      <c r="E2630" s="2" t="str">
        <f ca="1">IFERROR(__xludf.DUMMYFUNCTION("GOOGLETRANSLATE(B2630,""en"",""fr"")"),"briller")</f>
        <v>briller</v>
      </c>
      <c r="F2630" s="2" t="str">
        <f ca="1">IFERROR(__xludf.DUMMYFUNCTION("GOOGLETRANSLATE(B2630,""en"",""it"")"),"splendore")</f>
        <v>splendore</v>
      </c>
      <c r="G2630" s="2" t="str">
        <f ca="1">IFERROR(__xludf.DUMMYFUNCTION("GOOGLETRANSLATE(B2630,""en"",""de"")"),"scheinen")</f>
        <v>scheinen</v>
      </c>
      <c r="H2630" s="2" t="str">
        <f ca="1">IFERROR(__xludf.DUMMYFUNCTION("GOOGLETRANSLATE(B2630,""en"",""zh"")"),"闪耀")</f>
        <v>闪耀</v>
      </c>
      <c r="I2630" s="2" t="str">
        <f ca="1">IFERROR(__xludf.DUMMYFUNCTION("GOOGLETRANSLATE(B2630,""en"",""gd"")"),"deàrrsadh")</f>
        <v>deàrrsadh</v>
      </c>
    </row>
    <row r="2631" spans="1:9" ht="14.25" customHeight="1" x14ac:dyDescent="0.3">
      <c r="A2631" s="2">
        <v>2630</v>
      </c>
      <c r="B2631" s="3" t="s">
        <v>2638</v>
      </c>
      <c r="C2631" s="2" t="str">
        <f ca="1">IFERROR(__xludf.DUMMYFUNCTION("GOOGLETRANSLATE(B2631, ""en"",""es"")"),"motivación")</f>
        <v>motivación</v>
      </c>
      <c r="D2631" s="2" t="str">
        <f ca="1">IFERROR(__xludf.DUMMYFUNCTION("GOOGLETRANSLATE(B2631,""en"",""ig"")"),"ihena-eme ihe emetu ukporo")</f>
        <v>ihena-eme ihe emetu ukporo</v>
      </c>
      <c r="E2631" s="2" t="str">
        <f ca="1">IFERROR(__xludf.DUMMYFUNCTION("GOOGLETRANSLATE(B2631,""en"",""fr"")"),"motivation")</f>
        <v>motivation</v>
      </c>
      <c r="F2631" s="2" t="str">
        <f ca="1">IFERROR(__xludf.DUMMYFUNCTION("GOOGLETRANSLATE(B2631,""en"",""it"")"),"motivazione")</f>
        <v>motivazione</v>
      </c>
      <c r="G2631" s="2" t="str">
        <f ca="1">IFERROR(__xludf.DUMMYFUNCTION("GOOGLETRANSLATE(B2631,""en"",""de"")"),"Motivation")</f>
        <v>Motivation</v>
      </c>
      <c r="H2631" s="2" t="str">
        <f ca="1">IFERROR(__xludf.DUMMYFUNCTION("GOOGLETRANSLATE(B2631,""en"",""zh"")"),"动机")</f>
        <v>动机</v>
      </c>
      <c r="I2631" s="2" t="str">
        <f ca="1">IFERROR(__xludf.DUMMYFUNCTION("GOOGLETRANSLATE(B2631,""en"",""gd"")"),"togradh")</f>
        <v>togradh</v>
      </c>
    </row>
    <row r="2632" spans="1:9" ht="14.25" customHeight="1" x14ac:dyDescent="0.3">
      <c r="A2632" s="2">
        <v>2631</v>
      </c>
      <c r="B2632" s="3" t="s">
        <v>2639</v>
      </c>
      <c r="C2632" s="2" t="str">
        <f ca="1">IFERROR(__xludf.DUMMYFUNCTION("GOOGLETRANSLATE(B2632, ""en"",""es"")"),"romántico")</f>
        <v>romántico</v>
      </c>
      <c r="D2632" s="2" t="str">
        <f ca="1">IFERROR(__xludf.DUMMYFUNCTION("GOOGLETRANSLATE(B2632,""en"",""ig"")"),"nke ufere")</f>
        <v>nke ufere</v>
      </c>
      <c r="E2632" s="2" t="str">
        <f ca="1">IFERROR(__xludf.DUMMYFUNCTION("GOOGLETRANSLATE(B2632,""en"",""fr"")"),"romantique")</f>
        <v>romantique</v>
      </c>
      <c r="F2632" s="2" t="str">
        <f ca="1">IFERROR(__xludf.DUMMYFUNCTION("GOOGLETRANSLATE(B2632,""en"",""it"")"),"romantico")</f>
        <v>romantico</v>
      </c>
      <c r="G2632" s="2" t="str">
        <f ca="1">IFERROR(__xludf.DUMMYFUNCTION("GOOGLETRANSLATE(B2632,""en"",""de"")"),"romantisch")</f>
        <v>romantisch</v>
      </c>
      <c r="H2632" s="2" t="str">
        <f ca="1">IFERROR(__xludf.DUMMYFUNCTION("GOOGLETRANSLATE(B2632,""en"",""zh"")"),"浪漫的")</f>
        <v>浪漫的</v>
      </c>
      <c r="I2632" s="2" t="str">
        <f ca="1">IFERROR(__xludf.DUMMYFUNCTION("GOOGLETRANSLATE(B2632,""en"",""gd"")"),"romansach")</f>
        <v>romansach</v>
      </c>
    </row>
    <row r="2633" spans="1:9" ht="14.25" customHeight="1" x14ac:dyDescent="0.3">
      <c r="A2633" s="2">
        <v>2632</v>
      </c>
      <c r="B2633" s="3" t="s">
        <v>2640</v>
      </c>
      <c r="C2633" s="2" t="str">
        <f ca="1">IFERROR(__xludf.DUMMYFUNCTION("GOOGLETRANSLATE(B2633, ""en"",""es"")"),"firmemente")</f>
        <v>firmemente</v>
      </c>
      <c r="D2633" s="2" t="str">
        <f ca="1">IFERROR(__xludf.DUMMYFUNCTION("GOOGLETRANSLATE(B2633,""en"",""ig"")"),"siri ike")</f>
        <v>siri ike</v>
      </c>
      <c r="E2633" s="2" t="str">
        <f ca="1">IFERROR(__xludf.DUMMYFUNCTION("GOOGLETRANSLATE(B2633,""en"",""fr"")"),"fermement")</f>
        <v>fermement</v>
      </c>
      <c r="F2633" s="2" t="str">
        <f ca="1">IFERROR(__xludf.DUMMYFUNCTION("GOOGLETRANSLATE(B2633,""en"",""it"")"),"fermamente")</f>
        <v>fermamente</v>
      </c>
      <c r="G2633" s="2" t="str">
        <f ca="1">IFERROR(__xludf.DUMMYFUNCTION("GOOGLETRANSLATE(B2633,""en"",""de"")"),"fest")</f>
        <v>fest</v>
      </c>
      <c r="H2633" s="2" t="str">
        <f ca="1">IFERROR(__xludf.DUMMYFUNCTION("GOOGLETRANSLATE(B2633,""en"",""zh"")"),"牢牢")</f>
        <v>牢牢</v>
      </c>
      <c r="I2633" s="2" t="str">
        <f ca="1">IFERROR(__xludf.DUMMYFUNCTION("GOOGLETRANSLATE(B2633,""en"",""gd"")"),"gu daingeann")</f>
        <v>gu daingeann</v>
      </c>
    </row>
    <row r="2634" spans="1:9" ht="14.25" customHeight="1" x14ac:dyDescent="0.3">
      <c r="A2634" s="2">
        <v>2633</v>
      </c>
      <c r="B2634" s="3" t="s">
        <v>2641</v>
      </c>
      <c r="C2634" s="2" t="str">
        <f ca="1">IFERROR(__xludf.DUMMYFUNCTION("GOOGLETRANSLATE(B2634, ""en"",""es"")"),"interior")</f>
        <v>interior</v>
      </c>
      <c r="D2634" s="2" t="str">
        <f ca="1">IFERROR(__xludf.DUMMYFUNCTION("GOOGLETRANSLATE(B2634,""en"",""ig"")"),"ime")</f>
        <v>ime</v>
      </c>
      <c r="E2634" s="2" t="str">
        <f ca="1">IFERROR(__xludf.DUMMYFUNCTION("GOOGLETRANSLATE(B2634,""en"",""fr"")"),"intérieur")</f>
        <v>intérieur</v>
      </c>
      <c r="F2634" s="2" t="str">
        <f ca="1">IFERROR(__xludf.DUMMYFUNCTION("GOOGLETRANSLATE(B2634,""en"",""it"")"),"interno")</f>
        <v>interno</v>
      </c>
      <c r="G2634" s="2" t="str">
        <f ca="1">IFERROR(__xludf.DUMMYFUNCTION("GOOGLETRANSLATE(B2634,""en"",""de"")"),"Innere")</f>
        <v>Innere</v>
      </c>
      <c r="H2634" s="2" t="str">
        <f ca="1">IFERROR(__xludf.DUMMYFUNCTION("GOOGLETRANSLATE(B2634,""en"",""zh"")"),"内部的")</f>
        <v>内部的</v>
      </c>
      <c r="I2634" s="2" t="str">
        <f ca="1">IFERROR(__xludf.DUMMYFUNCTION("GOOGLETRANSLATE(B2634,""en"",""gd"")"),"Taobh a-staigh")</f>
        <v>Taobh a-staigh</v>
      </c>
    </row>
    <row r="2635" spans="1:9" ht="14.25" customHeight="1" x14ac:dyDescent="0.3">
      <c r="A2635" s="2">
        <v>2634</v>
      </c>
      <c r="B2635" s="3" t="s">
        <v>2642</v>
      </c>
      <c r="C2635" s="2" t="str">
        <f ca="1">IFERROR(__xludf.DUMMYFUNCTION("GOOGLETRANSLATE(B2635, ""en"",""es"")"),"estómago")</f>
        <v>estómago</v>
      </c>
      <c r="D2635" s="2" t="str">
        <f ca="1">IFERROR(__xludf.DUMMYFUNCTION("GOOGLETRANSLATE(B2635,""en"",""ig"")"),"afo")</f>
        <v>afo</v>
      </c>
      <c r="E2635" s="2" t="str">
        <f ca="1">IFERROR(__xludf.DUMMYFUNCTION("GOOGLETRANSLATE(B2635,""en"",""fr"")"),"estomac")</f>
        <v>estomac</v>
      </c>
      <c r="F2635" s="2" t="str">
        <f ca="1">IFERROR(__xludf.DUMMYFUNCTION("GOOGLETRANSLATE(B2635,""en"",""it"")"),"stomaco")</f>
        <v>stomaco</v>
      </c>
      <c r="G2635" s="2" t="str">
        <f ca="1">IFERROR(__xludf.DUMMYFUNCTION("GOOGLETRANSLATE(B2635,""en"",""de"")"),"Magen")</f>
        <v>Magen</v>
      </c>
      <c r="H2635" s="2" t="str">
        <f ca="1">IFERROR(__xludf.DUMMYFUNCTION("GOOGLETRANSLATE(B2635,""en"",""zh"")"),"胃")</f>
        <v>胃</v>
      </c>
      <c r="I2635" s="2" t="str">
        <f ca="1">IFERROR(__xludf.DUMMYFUNCTION("GOOGLETRANSLATE(B2635,""en"",""gd"")"),"stamag")</f>
        <v>stamag</v>
      </c>
    </row>
    <row r="2636" spans="1:9" ht="14.25" customHeight="1" x14ac:dyDescent="0.3">
      <c r="A2636" s="2">
        <v>2635</v>
      </c>
      <c r="B2636" s="3" t="s">
        <v>2643</v>
      </c>
      <c r="C2636" s="2" t="str">
        <f ca="1">IFERROR(__xludf.DUMMYFUNCTION("GOOGLETRANSLATE(B2636, ""en"",""es"")"),"en ningún lugar")</f>
        <v>en ningún lugar</v>
      </c>
      <c r="D2636" s="2" t="str">
        <f ca="1">IFERROR(__xludf.DUMMYFUNCTION("GOOGLETRANSLATE(B2636,""en"",""ig"")"),"enweghi ebe")</f>
        <v>enweghi ebe</v>
      </c>
      <c r="E2636" s="2" t="str">
        <f ca="1">IFERROR(__xludf.DUMMYFUNCTION("GOOGLETRANSLATE(B2636,""en"",""fr"")"),"nulle part")</f>
        <v>nulle part</v>
      </c>
      <c r="F2636" s="2" t="str">
        <f ca="1">IFERROR(__xludf.DUMMYFUNCTION("GOOGLETRANSLATE(B2636,""en"",""it"")"),"luogo inesistente")</f>
        <v>luogo inesistente</v>
      </c>
      <c r="G2636" s="2" t="str">
        <f ca="1">IFERROR(__xludf.DUMMYFUNCTION("GOOGLETRANSLATE(B2636,""en"",""de"")"),"nirgends")</f>
        <v>nirgends</v>
      </c>
      <c r="H2636" s="2" t="str">
        <f ca="1">IFERROR(__xludf.DUMMYFUNCTION("GOOGLETRANSLATE(B2636,""en"",""zh"")"),"无处")</f>
        <v>无处</v>
      </c>
      <c r="I2636" s="2" t="str">
        <f ca="1">IFERROR(__xludf.DUMMYFUNCTION("GOOGLETRANSLATE(B2636,""en"",""gd"")"),"àite sam bith")</f>
        <v>àite sam bith</v>
      </c>
    </row>
    <row r="2637" spans="1:9" ht="14.25" customHeight="1" x14ac:dyDescent="0.3">
      <c r="A2637" s="2">
        <v>2636</v>
      </c>
      <c r="B2637" s="3" t="s">
        <v>2644</v>
      </c>
      <c r="C2637" s="2" t="str">
        <f ca="1">IFERROR(__xludf.DUMMYFUNCTION("GOOGLETRANSLATE(B2637, ""en"",""es"")"),"orar")</f>
        <v>orar</v>
      </c>
      <c r="D2637" s="2" t="str">
        <f ca="1">IFERROR(__xludf.DUMMYFUNCTION("GOOGLETRANSLATE(B2637,""en"",""ig"")"),"kpee ekpere")</f>
        <v>kpee ekpere</v>
      </c>
      <c r="E2637" s="2" t="str">
        <f ca="1">IFERROR(__xludf.DUMMYFUNCTION("GOOGLETRANSLATE(B2637,""en"",""fr"")"),"prier")</f>
        <v>prier</v>
      </c>
      <c r="F2637" s="2" t="str">
        <f ca="1">IFERROR(__xludf.DUMMYFUNCTION("GOOGLETRANSLATE(B2637,""en"",""it"")"),"pregare")</f>
        <v>pregare</v>
      </c>
      <c r="G2637" s="2" t="str">
        <f ca="1">IFERROR(__xludf.DUMMYFUNCTION("GOOGLETRANSLATE(B2637,""en"",""de"")"),"beten")</f>
        <v>beten</v>
      </c>
      <c r="H2637" s="2" t="str">
        <f ca="1">IFERROR(__xludf.DUMMYFUNCTION("GOOGLETRANSLATE(B2637,""en"",""zh"")"),"祈祷")</f>
        <v>祈祷</v>
      </c>
      <c r="I2637" s="2" t="str">
        <f ca="1">IFERROR(__xludf.DUMMYFUNCTION("GOOGLETRANSLATE(B2637,""en"",""gd"")"),"Ùrnaigh")</f>
        <v>Ùrnaigh</v>
      </c>
    </row>
    <row r="2638" spans="1:9" ht="14.25" customHeight="1" x14ac:dyDescent="0.3">
      <c r="A2638" s="2">
        <v>2637</v>
      </c>
      <c r="B2638" s="3" t="s">
        <v>2645</v>
      </c>
      <c r="C2638" s="2" t="str">
        <f ca="1">IFERROR(__xludf.DUMMYFUNCTION("GOOGLETRANSLATE(B2638, ""en"",""es"")"),"campeonato")</f>
        <v>campeonato</v>
      </c>
      <c r="D2638" s="2" t="str">
        <f ca="1">IFERROR(__xludf.DUMMYFUNCTION("GOOGLETRANSLATE(B2638,""en"",""ig"")"),"egwuregwu")</f>
        <v>egwuregwu</v>
      </c>
      <c r="E2638" s="2" t="str">
        <f ca="1">IFERROR(__xludf.DUMMYFUNCTION("GOOGLETRANSLATE(B2638,""en"",""fr"")"),"championnat")</f>
        <v>championnat</v>
      </c>
      <c r="F2638" s="2" t="str">
        <f ca="1">IFERROR(__xludf.DUMMYFUNCTION("GOOGLETRANSLATE(B2638,""en"",""it"")"),"campionato")</f>
        <v>campionato</v>
      </c>
      <c r="G2638" s="2" t="str">
        <f ca="1">IFERROR(__xludf.DUMMYFUNCTION("GOOGLETRANSLATE(B2638,""en"",""de"")"),"Meisterschaft")</f>
        <v>Meisterschaft</v>
      </c>
      <c r="H2638" s="2" t="str">
        <f ca="1">IFERROR(__xludf.DUMMYFUNCTION("GOOGLETRANSLATE(B2638,""en"",""zh"")"),"锦标赛")</f>
        <v>锦标赛</v>
      </c>
      <c r="I2638" s="2" t="str">
        <f ca="1">IFERROR(__xludf.DUMMYFUNCTION("GOOGLETRANSLATE(B2638,""en"",""gd"")"),"Farpais")</f>
        <v>Farpais</v>
      </c>
    </row>
    <row r="2639" spans="1:9" ht="14.25" customHeight="1" x14ac:dyDescent="0.3">
      <c r="A2639" s="2">
        <v>2638</v>
      </c>
      <c r="B2639" s="3" t="s">
        <v>2646</v>
      </c>
      <c r="C2639" s="2" t="str">
        <f ca="1">IFERROR(__xludf.DUMMYFUNCTION("GOOGLETRANSLATE(B2639, ""en"",""es"")"),"servidor")</f>
        <v>servidor</v>
      </c>
      <c r="D2639" s="2" t="str">
        <f ca="1">IFERROR(__xludf.DUMMYFUNCTION("GOOGLETRANSLATE(B2639,""en"",""ig"")"),"ojeozi nwoke")</f>
        <v>ojeozi nwoke</v>
      </c>
      <c r="E2639" s="2" t="str">
        <f ca="1">IFERROR(__xludf.DUMMYFUNCTION("GOOGLETRANSLATE(B2639,""en"",""fr"")"),"serviteur")</f>
        <v>serviteur</v>
      </c>
      <c r="F2639" s="2" t="str">
        <f ca="1">IFERROR(__xludf.DUMMYFUNCTION("GOOGLETRANSLATE(B2639,""en"",""it"")"),"servitore")</f>
        <v>servitore</v>
      </c>
      <c r="G2639" s="2" t="str">
        <f ca="1">IFERROR(__xludf.DUMMYFUNCTION("GOOGLETRANSLATE(B2639,""en"",""de"")"),"Diener")</f>
        <v>Diener</v>
      </c>
      <c r="H2639" s="2" t="str">
        <f ca="1">IFERROR(__xludf.DUMMYFUNCTION("GOOGLETRANSLATE(B2639,""en"",""zh"")"),"仆人")</f>
        <v>仆人</v>
      </c>
      <c r="I2639" s="2" t="str">
        <f ca="1">IFERROR(__xludf.DUMMYFUNCTION("GOOGLETRANSLATE(B2639,""en"",""gd"")"),"searbhant")</f>
        <v>searbhant</v>
      </c>
    </row>
    <row r="2640" spans="1:9" ht="14.25" customHeight="1" x14ac:dyDescent="0.3">
      <c r="A2640" s="2">
        <v>2639</v>
      </c>
      <c r="B2640" s="3" t="s">
        <v>2647</v>
      </c>
      <c r="C2640" s="2" t="str">
        <f ca="1">IFERROR(__xludf.DUMMYFUNCTION("GOOGLETRANSLATE(B2640, ""en"",""es"")"),"inmigrante")</f>
        <v>inmigrante</v>
      </c>
      <c r="D2640" s="2" t="str">
        <f ca="1">IFERROR(__xludf.DUMMYFUNCTION("GOOGLETRANSLATE(B2640,""en"",""ig"")"),"onye mbiara mbiara")</f>
        <v>onye mbiara mbiara</v>
      </c>
      <c r="E2640" s="2" t="str">
        <f ca="1">IFERROR(__xludf.DUMMYFUNCTION("GOOGLETRANSLATE(B2640,""en"",""fr"")"),"immigrant")</f>
        <v>immigrant</v>
      </c>
      <c r="F2640" s="2" t="str">
        <f ca="1">IFERROR(__xludf.DUMMYFUNCTION("GOOGLETRANSLATE(B2640,""en"",""it"")"),"immigrato")</f>
        <v>immigrato</v>
      </c>
      <c r="G2640" s="2" t="str">
        <f ca="1">IFERROR(__xludf.DUMMYFUNCTION("GOOGLETRANSLATE(B2640,""en"",""de"")"),"Immigrant")</f>
        <v>Immigrant</v>
      </c>
      <c r="H2640" s="2" t="str">
        <f ca="1">IFERROR(__xludf.DUMMYFUNCTION("GOOGLETRANSLATE(B2640,""en"",""zh"")"),"移民")</f>
        <v>移民</v>
      </c>
      <c r="I2640" s="2" t="str">
        <f ca="1">IFERROR(__xludf.DUMMYFUNCTION("GOOGLETRANSLATE(B2640,""en"",""gd"")"),"in-imriche")</f>
        <v>in-imriche</v>
      </c>
    </row>
    <row r="2641" spans="1:9" ht="14.25" customHeight="1" x14ac:dyDescent="0.3">
      <c r="A2641" s="2">
        <v>2640</v>
      </c>
      <c r="B2641" s="3" t="s">
        <v>2648</v>
      </c>
      <c r="C2641" s="2" t="str">
        <f ca="1">IFERROR(__xludf.DUMMYFUNCTION("GOOGLETRANSLATE(B2641, ""en"",""es"")"),"exceso")</f>
        <v>exceso</v>
      </c>
      <c r="D2641" s="2" t="str">
        <f ca="1">IFERROR(__xludf.DUMMYFUNCTION("GOOGLETRANSLATE(B2641,""en"",""ig"")"),"ngafe")</f>
        <v>ngafe</v>
      </c>
      <c r="E2641" s="2" t="str">
        <f ca="1">IFERROR(__xludf.DUMMYFUNCTION("GOOGLETRANSLATE(B2641,""en"",""fr"")"),"excès")</f>
        <v>excès</v>
      </c>
      <c r="F2641" s="2" t="str">
        <f ca="1">IFERROR(__xludf.DUMMYFUNCTION("GOOGLETRANSLATE(B2641,""en"",""it"")"),"eccesso")</f>
        <v>eccesso</v>
      </c>
      <c r="G2641" s="2" t="str">
        <f ca="1">IFERROR(__xludf.DUMMYFUNCTION("GOOGLETRANSLATE(B2641,""en"",""de"")"),"Überschuss")</f>
        <v>Überschuss</v>
      </c>
      <c r="H2641" s="2" t="str">
        <f ca="1">IFERROR(__xludf.DUMMYFUNCTION("GOOGLETRANSLATE(B2641,""en"",""zh"")"),"过量的")</f>
        <v>过量的</v>
      </c>
      <c r="I2641" s="2" t="str">
        <f ca="1">IFERROR(__xludf.DUMMYFUNCTION("GOOGLETRANSLATE(B2641,""en"",""gd"")"),"cus")</f>
        <v>cus</v>
      </c>
    </row>
    <row r="2642" spans="1:9" ht="14.25" customHeight="1" x14ac:dyDescent="0.3">
      <c r="A2642" s="2">
        <v>2641</v>
      </c>
      <c r="B2642" s="3" t="s">
        <v>2649</v>
      </c>
      <c r="C2642" s="2" t="str">
        <f ca="1">IFERROR(__xludf.DUMMYFUNCTION("GOOGLETRANSLATE(B2642, ""en"",""es"")"),"complejidad")</f>
        <v>complejidad</v>
      </c>
      <c r="D2642" s="2" t="str">
        <f ca="1">IFERROR(__xludf.DUMMYFUNCTION("GOOGLETRANSLATE(B2642,""en"",""ig"")"),"mgbagwojuihu")</f>
        <v>mgbagwojuihu</v>
      </c>
      <c r="E2642" s="2" t="str">
        <f ca="1">IFERROR(__xludf.DUMMYFUNCTION("GOOGLETRANSLATE(B2642,""en"",""fr"")"),"complexité")</f>
        <v>complexité</v>
      </c>
      <c r="F2642" s="2" t="str">
        <f ca="1">IFERROR(__xludf.DUMMYFUNCTION("GOOGLETRANSLATE(B2642,""en"",""it"")"),"complessità")</f>
        <v>complessità</v>
      </c>
      <c r="G2642" s="2" t="str">
        <f ca="1">IFERROR(__xludf.DUMMYFUNCTION("GOOGLETRANSLATE(B2642,""en"",""de"")"),"Komplexität")</f>
        <v>Komplexität</v>
      </c>
      <c r="H2642" s="2" t="str">
        <f ca="1">IFERROR(__xludf.DUMMYFUNCTION("GOOGLETRANSLATE(B2642,""en"",""zh"")"),"复杂")</f>
        <v>复杂</v>
      </c>
      <c r="I2642" s="2" t="str">
        <f ca="1">IFERROR(__xludf.DUMMYFUNCTION("GOOGLETRANSLATE(B2642,""en"",""gd"")"),"iom-fhillteachd")</f>
        <v>iom-fhillteachd</v>
      </c>
    </row>
    <row r="2643" spans="1:9" ht="14.25" customHeight="1" x14ac:dyDescent="0.3">
      <c r="A2643" s="2">
        <v>2642</v>
      </c>
      <c r="B2643" s="3" t="s">
        <v>2650</v>
      </c>
      <c r="C2643" s="2" t="str">
        <f ca="1">IFERROR(__xludf.DUMMYFUNCTION("GOOGLETRANSLATE(B2643, ""en"",""es"")"),"responsabilidad")</f>
        <v>responsabilidad</v>
      </c>
      <c r="D2643" s="2" t="str">
        <f ca="1">IFERROR(__xludf.DUMMYFUNCTION("GOOGLETRANSLATE(B2643,""en"",""ig"")"),"ibu")</f>
        <v>ibu</v>
      </c>
      <c r="E2643" s="2" t="str">
        <f ca="1">IFERROR(__xludf.DUMMYFUNCTION("GOOGLETRANSLATE(B2643,""en"",""fr"")"),"responsabilité")</f>
        <v>responsabilité</v>
      </c>
      <c r="F2643" s="2" t="str">
        <f ca="1">IFERROR(__xludf.DUMMYFUNCTION("GOOGLETRANSLATE(B2643,""en"",""it"")"),"responsabilità")</f>
        <v>responsabilità</v>
      </c>
      <c r="G2643" s="2" t="str">
        <f ca="1">IFERROR(__xludf.DUMMYFUNCTION("GOOGLETRANSLATE(B2643,""en"",""de"")"),"Haftung")</f>
        <v>Haftung</v>
      </c>
      <c r="H2643" s="2" t="str">
        <f ca="1">IFERROR(__xludf.DUMMYFUNCTION("GOOGLETRANSLATE(B2643,""en"",""zh"")"),"责任")</f>
        <v>责任</v>
      </c>
      <c r="I2643" s="2" t="str">
        <f ca="1">IFERROR(__xludf.DUMMYFUNCTION("GOOGLETRANSLATE(B2643,""en"",""gd"")"),"Buailteachd")</f>
        <v>Buailteachd</v>
      </c>
    </row>
    <row r="2644" spans="1:9" ht="14.25" customHeight="1" x14ac:dyDescent="0.3">
      <c r="A2644" s="2">
        <v>2643</v>
      </c>
      <c r="B2644" s="3" t="s">
        <v>2651</v>
      </c>
      <c r="C2644" s="2" t="str">
        <f ca="1">IFERROR(__xludf.DUMMYFUNCTION("GOOGLETRANSLATE(B2644, ""en"",""es"")"),"asombrosamente")</f>
        <v>asombrosamente</v>
      </c>
      <c r="D2644" s="2" t="str">
        <f ca="1">IFERROR(__xludf.DUMMYFUNCTION("GOOGLETRANSLATE(B2644,""en"",""ig"")"),"keihu")</f>
        <v>keihu</v>
      </c>
      <c r="E2644" s="2" t="str">
        <f ca="1">IFERROR(__xludf.DUMMYFUNCTION("GOOGLETRANSLATE(B2644,""en"",""fr"")"),"étonnamment")</f>
        <v>étonnamment</v>
      </c>
      <c r="F2644" s="2" t="str">
        <f ca="1">IFERROR(__xludf.DUMMYFUNCTION("GOOGLETRANSLATE(B2644,""en"",""it"")"),"Sorprendentemente")</f>
        <v>Sorprendentemente</v>
      </c>
      <c r="G2644" s="2" t="str">
        <f ca="1">IFERROR(__xludf.DUMMYFUNCTION("GOOGLETRANSLATE(B2644,""en"",""de"")"),"überraschenderweise")</f>
        <v>überraschenderweise</v>
      </c>
      <c r="H2644" s="2" t="str">
        <f ca="1">IFERROR(__xludf.DUMMYFUNCTION("GOOGLETRANSLATE(B2644,""en"",""zh"")"),"出奇")</f>
        <v>出奇</v>
      </c>
      <c r="I2644" s="2" t="str">
        <f ca="1">IFERROR(__xludf.DUMMYFUNCTION("GOOGLETRANSLATE(B2644,""en"",""gd"")"),"iongnadh")</f>
        <v>iongnadh</v>
      </c>
    </row>
    <row r="2645" spans="1:9" ht="14.25" customHeight="1" x14ac:dyDescent="0.3">
      <c r="A2645" s="2">
        <v>2644</v>
      </c>
      <c r="B2645" s="3" t="s">
        <v>2652</v>
      </c>
      <c r="C2645" s="2" t="str">
        <f ca="1">IFERROR(__xludf.DUMMYFUNCTION("GOOGLETRANSLATE(B2645, ""en"",""es"")"),"extracto")</f>
        <v>extracto</v>
      </c>
      <c r="D2645" s="2" t="str">
        <f ca="1">IFERROR(__xludf.DUMMYFUNCTION("GOOGLETRANSLATE(B2645,""en"",""ig"")"),"wepụ")</f>
        <v>wepụ</v>
      </c>
      <c r="E2645" s="2" t="str">
        <f ca="1">IFERROR(__xludf.DUMMYFUNCTION("GOOGLETRANSLATE(B2645,""en"",""fr"")"),"extrait")</f>
        <v>extrait</v>
      </c>
      <c r="F2645" s="2" t="str">
        <f ca="1">IFERROR(__xludf.DUMMYFUNCTION("GOOGLETRANSLATE(B2645,""en"",""it"")"),"estratto")</f>
        <v>estratto</v>
      </c>
      <c r="G2645" s="2" t="str">
        <f ca="1">IFERROR(__xludf.DUMMYFUNCTION("GOOGLETRANSLATE(B2645,""en"",""de"")"),"Extrakt")</f>
        <v>Extrakt</v>
      </c>
      <c r="H2645" s="2" t="str">
        <f ca="1">IFERROR(__xludf.DUMMYFUNCTION("GOOGLETRANSLATE(B2645,""en"",""zh"")"),"提炼")</f>
        <v>提炼</v>
      </c>
      <c r="I2645" s="2" t="str">
        <f ca="1">IFERROR(__xludf.DUMMYFUNCTION("GOOGLETRANSLATE(B2645,""en"",""gd"")"),"Earrann")</f>
        <v>Earrann</v>
      </c>
    </row>
    <row r="2646" spans="1:9" ht="14.25" customHeight="1" x14ac:dyDescent="0.3">
      <c r="A2646" s="2">
        <v>2645</v>
      </c>
      <c r="B2646" s="3" t="s">
        <v>2653</v>
      </c>
      <c r="C2646" s="2" t="str">
        <f ca="1">IFERROR(__xludf.DUMMYFUNCTION("GOOGLETRANSLATE(B2646, ""en"",""es"")"),"implementación")</f>
        <v>implementación</v>
      </c>
      <c r="D2646" s="2" t="str">
        <f ca="1">IFERROR(__xludf.DUMMYFUNCTION("GOOGLETRANSLATE(B2646,""en"",""ig"")"),"mmejuputa")</f>
        <v>mmejuputa</v>
      </c>
      <c r="E2646" s="2" t="str">
        <f ca="1">IFERROR(__xludf.DUMMYFUNCTION("GOOGLETRANSLATE(B2646,""en"",""fr"")"),"mise en œuvre")</f>
        <v>mise en œuvre</v>
      </c>
      <c r="F2646" s="2" t="str">
        <f ca="1">IFERROR(__xludf.DUMMYFUNCTION("GOOGLETRANSLATE(B2646,""en"",""it"")"),"implementazione")</f>
        <v>implementazione</v>
      </c>
      <c r="G2646" s="2" t="str">
        <f ca="1">IFERROR(__xludf.DUMMYFUNCTION("GOOGLETRANSLATE(B2646,""en"",""de"")"),"Implementierung")</f>
        <v>Implementierung</v>
      </c>
      <c r="H2646" s="2" t="str">
        <f ca="1">IFERROR(__xludf.DUMMYFUNCTION("GOOGLETRANSLATE(B2646,""en"",""zh"")"),"执行")</f>
        <v>执行</v>
      </c>
      <c r="I2646" s="2" t="str">
        <f ca="1">IFERROR(__xludf.DUMMYFUNCTION("GOOGLETRANSLATE(B2646,""en"",""gd"")"),"Buileachadh")</f>
        <v>Buileachadh</v>
      </c>
    </row>
    <row r="2647" spans="1:9" ht="14.25" customHeight="1" x14ac:dyDescent="0.3">
      <c r="A2647" s="2">
        <v>2646</v>
      </c>
      <c r="B2647" s="3" t="s">
        <v>2654</v>
      </c>
      <c r="C2647" s="2" t="str">
        <f ca="1">IFERROR(__xludf.DUMMYFUNCTION("GOOGLETRANSLATE(B2647, ""en"",""es"")"),"inclinación")</f>
        <v>inclinación</v>
      </c>
      <c r="D2647" s="2" t="str">
        <f ca="1">IFERROR(__xludf.DUMMYFUNCTION("GOOGLETRANSLATE(B2647,""en"",""ig"")"),"bias")</f>
        <v>bias</v>
      </c>
      <c r="E2647" s="2" t="str">
        <f ca="1">IFERROR(__xludf.DUMMYFUNCTION("GOOGLETRANSLATE(B2647,""en"",""fr"")"),"biais")</f>
        <v>biais</v>
      </c>
      <c r="F2647" s="2" t="str">
        <f ca="1">IFERROR(__xludf.DUMMYFUNCTION("GOOGLETRANSLATE(B2647,""en"",""it"")"),"pregiudizio")</f>
        <v>pregiudizio</v>
      </c>
      <c r="G2647" s="2" t="str">
        <f ca="1">IFERROR(__xludf.DUMMYFUNCTION("GOOGLETRANSLATE(B2647,""en"",""de"")"),"Voreingenommenheit")</f>
        <v>Voreingenommenheit</v>
      </c>
      <c r="H2647" s="2" t="str">
        <f ca="1">IFERROR(__xludf.DUMMYFUNCTION("GOOGLETRANSLATE(B2647,""en"",""zh"")"),"偏见")</f>
        <v>偏见</v>
      </c>
      <c r="I2647" s="2" t="str">
        <f ca="1">IFERROR(__xludf.DUMMYFUNCTION("GOOGLETRANSLATE(B2647,""en"",""gd"")"),"claonadh")</f>
        <v>claonadh</v>
      </c>
    </row>
    <row r="2648" spans="1:9" ht="14.25" customHeight="1" x14ac:dyDescent="0.3">
      <c r="A2648" s="2">
        <v>2647</v>
      </c>
      <c r="B2648" s="3" t="s">
        <v>2655</v>
      </c>
      <c r="C2648" s="2" t="str">
        <f ca="1">IFERROR(__xludf.DUMMYFUNCTION("GOOGLETRANSLATE(B2648, ""en"",""es"")"),"diferentemente")</f>
        <v>diferentemente</v>
      </c>
      <c r="D2648" s="2" t="str">
        <f ca="1">IFERROR(__xludf.DUMMYFUNCTION("GOOGLETRANSLATE(B2648,""en"",""ig"")"),"icheiche")</f>
        <v>icheiche</v>
      </c>
      <c r="E2648" s="2" t="str">
        <f ca="1">IFERROR(__xludf.DUMMYFUNCTION("GOOGLETRANSLATE(B2648,""en"",""fr"")"),"différemment")</f>
        <v>différemment</v>
      </c>
      <c r="F2648" s="2" t="str">
        <f ca="1">IFERROR(__xludf.DUMMYFUNCTION("GOOGLETRANSLATE(B2648,""en"",""it"")"),"diversamente")</f>
        <v>diversamente</v>
      </c>
      <c r="G2648" s="2" t="str">
        <f ca="1">IFERROR(__xludf.DUMMYFUNCTION("GOOGLETRANSLATE(B2648,""en"",""de"")"),"anders")</f>
        <v>anders</v>
      </c>
      <c r="H2648" s="2" t="str">
        <f ca="1">IFERROR(__xludf.DUMMYFUNCTION("GOOGLETRANSLATE(B2648,""en"",""zh"")"),"对不同")</f>
        <v>对不同</v>
      </c>
      <c r="I2648" s="2" t="str">
        <f ca="1">IFERROR(__xludf.DUMMYFUNCTION("GOOGLETRANSLATE(B2648,""en"",""gd"")"),"eadar-dhealaichte")</f>
        <v>eadar-dhealaichte</v>
      </c>
    </row>
    <row r="2649" spans="1:9" ht="14.25" customHeight="1" x14ac:dyDescent="0.3">
      <c r="A2649" s="2">
        <v>2648</v>
      </c>
      <c r="B2649" s="3" t="s">
        <v>2656</v>
      </c>
      <c r="C2649" s="2" t="str">
        <f ca="1">IFERROR(__xludf.DUMMYFUNCTION("GOOGLETRANSLATE(B2649, ""en"",""es"")"),"catalogar")</f>
        <v>catalogar</v>
      </c>
      <c r="D2649" s="2" t="str">
        <f ca="1">IFERROR(__xludf.DUMMYFUNCTION("GOOGLETRANSLATE(B2649,""en"",""ig"")"),"kataloogu")</f>
        <v>kataloogu</v>
      </c>
      <c r="E2649" s="2" t="str">
        <f ca="1">IFERROR(__xludf.DUMMYFUNCTION("GOOGLETRANSLATE(B2649,""en"",""fr"")"),"catalogue")</f>
        <v>catalogue</v>
      </c>
      <c r="F2649" s="2" t="str">
        <f ca="1">IFERROR(__xludf.DUMMYFUNCTION("GOOGLETRANSLATE(B2649,""en"",""it"")"),"Catalogare")</f>
        <v>Catalogare</v>
      </c>
      <c r="G2649" s="2" t="str">
        <f ca="1">IFERROR(__xludf.DUMMYFUNCTION("GOOGLETRANSLATE(B2649,""en"",""de"")"),"Katalog")</f>
        <v>Katalog</v>
      </c>
      <c r="H2649" s="2" t="str">
        <f ca="1">IFERROR(__xludf.DUMMYFUNCTION("GOOGLETRANSLATE(B2649,""en"",""zh"")"),"目录")</f>
        <v>目录</v>
      </c>
      <c r="I2649" s="2" t="str">
        <f ca="1">IFERROR(__xludf.DUMMYFUNCTION("GOOGLETRANSLATE(B2649,""en"",""gd"")"),"Catalog")</f>
        <v>Catalog</v>
      </c>
    </row>
    <row r="2650" spans="1:9" ht="14.25" customHeight="1" x14ac:dyDescent="0.3">
      <c r="A2650" s="2">
        <v>2649</v>
      </c>
      <c r="B2650" s="3" t="s">
        <v>2657</v>
      </c>
      <c r="C2650" s="2" t="str">
        <f ca="1">IFERROR(__xludf.DUMMYFUNCTION("GOOGLETRANSLATE(B2650, ""en"",""es"")"),"continuo")</f>
        <v>continuo</v>
      </c>
      <c r="D2650" s="2" t="str">
        <f ca="1">IFERROR(__xludf.DUMMYFUNCTION("GOOGLETRANSLATE(B2650,""en"",""ig"")"),"kensochi")</f>
        <v>kensochi</v>
      </c>
      <c r="E2650" s="2" t="str">
        <f ca="1">IFERROR(__xludf.DUMMYFUNCTION("GOOGLETRANSLATE(B2650,""en"",""fr"")"),"continu")</f>
        <v>continu</v>
      </c>
      <c r="F2650" s="2" t="str">
        <f ca="1">IFERROR(__xludf.DUMMYFUNCTION("GOOGLETRANSLATE(B2650,""en"",""it"")"),"continuo")</f>
        <v>continuo</v>
      </c>
      <c r="G2650" s="2" t="str">
        <f ca="1">IFERROR(__xludf.DUMMYFUNCTION("GOOGLETRANSLATE(B2650,""en"",""de"")"),"kontinuierlich")</f>
        <v>kontinuierlich</v>
      </c>
      <c r="H2650" s="2" t="str">
        <f ca="1">IFERROR(__xludf.DUMMYFUNCTION("GOOGLETRANSLATE(B2650,""en"",""zh"")"),"连续的")</f>
        <v>连续的</v>
      </c>
      <c r="I2650" s="2" t="str">
        <f ca="1">IFERROR(__xludf.DUMMYFUNCTION("GOOGLETRANSLATE(B2650,""en"",""gd"")"),"leantainneach")</f>
        <v>leantainneach</v>
      </c>
    </row>
    <row r="2651" spans="1:9" ht="14.25" customHeight="1" x14ac:dyDescent="0.3">
      <c r="A2651" s="2">
        <v>2650</v>
      </c>
      <c r="B2651" s="3" t="s">
        <v>2658</v>
      </c>
      <c r="C2651" s="2" t="str">
        <f ca="1">IFERROR(__xludf.DUMMYFUNCTION("GOOGLETRANSLATE(B2651, ""en"",""es"")"),"dorado")</f>
        <v>dorado</v>
      </c>
      <c r="D2651" s="2" t="str">
        <f ca="1">IFERROR(__xludf.DUMMYFUNCTION("GOOGLETRANSLATE(B2651,""en"",""ig"")"),"kegooldu")</f>
        <v>kegooldu</v>
      </c>
      <c r="E2651" s="2" t="str">
        <f ca="1">IFERROR(__xludf.DUMMYFUNCTION("GOOGLETRANSLATE(B2651,""en"",""fr"")"),"doré")</f>
        <v>doré</v>
      </c>
      <c r="F2651" s="2" t="str">
        <f ca="1">IFERROR(__xludf.DUMMYFUNCTION("GOOGLETRANSLATE(B2651,""en"",""it"")"),"d'oro")</f>
        <v>d'oro</v>
      </c>
      <c r="G2651" s="2" t="str">
        <f ca="1">IFERROR(__xludf.DUMMYFUNCTION("GOOGLETRANSLATE(B2651,""en"",""de"")"),"golden")</f>
        <v>golden</v>
      </c>
      <c r="H2651" s="2" t="str">
        <f ca="1">IFERROR(__xludf.DUMMYFUNCTION("GOOGLETRANSLATE(B2651,""en"",""zh"")"),"金的")</f>
        <v>金的</v>
      </c>
      <c r="I2651" s="2" t="str">
        <f ca="1">IFERROR(__xludf.DUMMYFUNCTION("GOOGLETRANSLATE(B2651,""en"",""gd"")"),"Golden")</f>
        <v>Golden</v>
      </c>
    </row>
    <row r="2652" spans="1:9" ht="14.25" customHeight="1" x14ac:dyDescent="0.3">
      <c r="A2652" s="2">
        <v>2651</v>
      </c>
      <c r="B2652" s="3" t="s">
        <v>2659</v>
      </c>
      <c r="C2652" s="2" t="str">
        <f ca="1">IFERROR(__xludf.DUMMYFUNCTION("GOOGLETRANSLATE(B2652, ""en"",""es"")"),"estampilla")</f>
        <v>estampilla</v>
      </c>
      <c r="D2652" s="2" t="str">
        <f ca="1">IFERROR(__xludf.DUMMYFUNCTION("GOOGLETRANSLATE(B2652,""en"",""ig"")"),"stampu")</f>
        <v>stampu</v>
      </c>
      <c r="E2652" s="2" t="str">
        <f ca="1">IFERROR(__xludf.DUMMYFUNCTION("GOOGLETRANSLATE(B2652,""en"",""fr"")"),"timbre")</f>
        <v>timbre</v>
      </c>
      <c r="F2652" s="2" t="str">
        <f ca="1">IFERROR(__xludf.DUMMYFUNCTION("GOOGLETRANSLATE(B2652,""en"",""it"")"),"francobollo")</f>
        <v>francobollo</v>
      </c>
      <c r="G2652" s="2" t="str">
        <f ca="1">IFERROR(__xludf.DUMMYFUNCTION("GOOGLETRANSLATE(B2652,""en"",""de"")"),"Briefmarke")</f>
        <v>Briefmarke</v>
      </c>
      <c r="H2652" s="2" t="str">
        <f ca="1">IFERROR(__xludf.DUMMYFUNCTION("GOOGLETRANSLATE(B2652,""en"",""zh"")"),"邮票")</f>
        <v>邮票</v>
      </c>
      <c r="I2652" s="2" t="str">
        <f ca="1">IFERROR(__xludf.DUMMYFUNCTION("GOOGLETRANSLATE(B2652,""en"",""gd"")"),"stampa")</f>
        <v>stampa</v>
      </c>
    </row>
    <row r="2653" spans="1:9" ht="14.25" customHeight="1" x14ac:dyDescent="0.3">
      <c r="A2653" s="2">
        <v>2652</v>
      </c>
      <c r="B2653" s="3" t="s">
        <v>2660</v>
      </c>
      <c r="C2653" s="2" t="str">
        <f ca="1">IFERROR(__xludf.DUMMYFUNCTION("GOOGLETRANSLATE(B2653, ""en"",""es"")"),"guía")</f>
        <v>guía</v>
      </c>
      <c r="D2653" s="2" t="str">
        <f ca="1">IFERROR(__xludf.DUMMYFUNCTION("GOOGLETRANSLATE(B2653,""en"",""ig"")"),"nrube iwu")</f>
        <v>nrube iwu</v>
      </c>
      <c r="E2653" s="2" t="str">
        <f ca="1">IFERROR(__xludf.DUMMYFUNCTION("GOOGLETRANSLATE(B2653,""en"",""fr"")"),"ligne directrice")</f>
        <v>ligne directrice</v>
      </c>
      <c r="F2653" s="2" t="str">
        <f ca="1">IFERROR(__xludf.DUMMYFUNCTION("GOOGLETRANSLATE(B2653,""en"",""it"")"),"orientamento")</f>
        <v>orientamento</v>
      </c>
      <c r="G2653" s="2" t="str">
        <f ca="1">IFERROR(__xludf.DUMMYFUNCTION("GOOGLETRANSLATE(B2653,""en"",""de"")"),"Richtlinie")</f>
        <v>Richtlinie</v>
      </c>
      <c r="H2653" s="2" t="str">
        <f ca="1">IFERROR(__xludf.DUMMYFUNCTION("GOOGLETRANSLATE(B2653,""en"",""zh"")"),"指南")</f>
        <v>指南</v>
      </c>
      <c r="I2653" s="2" t="str">
        <f ca="1">IFERROR(__xludf.DUMMYFUNCTION("GOOGLETRANSLATE(B2653,""en"",""gd"")"),"Stiùireadh")</f>
        <v>Stiùireadh</v>
      </c>
    </row>
    <row r="2654" spans="1:9" ht="14.25" customHeight="1" x14ac:dyDescent="0.3">
      <c r="A2654" s="2">
        <v>2653</v>
      </c>
      <c r="B2654" s="3" t="s">
        <v>2661</v>
      </c>
      <c r="C2654" s="2" t="str">
        <f ca="1">IFERROR(__xludf.DUMMYFUNCTION("GOOGLETRANSLATE(B2654, ""en"",""es"")"),"sobre")</f>
        <v>sobre</v>
      </c>
      <c r="D2654" s="2" t="str">
        <f ca="1">IFERROR(__xludf.DUMMYFUNCTION("GOOGLETRANSLATE(B2654,""en"",""ig"")"),"enveloopu")</f>
        <v>enveloopu</v>
      </c>
      <c r="E2654" s="2" t="str">
        <f ca="1">IFERROR(__xludf.DUMMYFUNCTION("GOOGLETRANSLATE(B2654,""en"",""fr"")"),"enveloppe")</f>
        <v>enveloppe</v>
      </c>
      <c r="F2654" s="2" t="str">
        <f ca="1">IFERROR(__xludf.DUMMYFUNCTION("GOOGLETRANSLATE(B2654,""en"",""it"")"),"busta")</f>
        <v>busta</v>
      </c>
      <c r="G2654" s="2" t="str">
        <f ca="1">IFERROR(__xludf.DUMMYFUNCTION("GOOGLETRANSLATE(B2654,""en"",""de"")"),"Umschlag")</f>
        <v>Umschlag</v>
      </c>
      <c r="H2654" s="2" t="str">
        <f ca="1">IFERROR(__xludf.DUMMYFUNCTION("GOOGLETRANSLATE(B2654,""en"",""zh"")"),"信封")</f>
        <v>信封</v>
      </c>
      <c r="I2654" s="2" t="str">
        <f ca="1">IFERROR(__xludf.DUMMYFUNCTION("GOOGLETRANSLATE(B2654,""en"",""gd"")"),"Cèis")</f>
        <v>Cèis</v>
      </c>
    </row>
    <row r="2655" spans="1:9" ht="14.25" customHeight="1" x14ac:dyDescent="0.3">
      <c r="A2655" s="2">
        <v>2654</v>
      </c>
      <c r="B2655" s="3" t="s">
        <v>2662</v>
      </c>
      <c r="C2655" s="2" t="str">
        <f ca="1">IFERROR(__xludf.DUMMYFUNCTION("GOOGLETRANSLATE(B2655, ""en"",""es"")"),"cuchillo")</f>
        <v>cuchillo</v>
      </c>
      <c r="D2655" s="2" t="str">
        <f ca="1">IFERROR(__xludf.DUMMYFUNCTION("GOOGLETRANSLATE(B2655,""en"",""ig"")"),"nma")</f>
        <v>nma</v>
      </c>
      <c r="E2655" s="2" t="str">
        <f ca="1">IFERROR(__xludf.DUMMYFUNCTION("GOOGLETRANSLATE(B2655,""en"",""fr"")"),"couteau")</f>
        <v>couteau</v>
      </c>
      <c r="F2655" s="2" t="str">
        <f ca="1">IFERROR(__xludf.DUMMYFUNCTION("GOOGLETRANSLATE(B2655,""en"",""it"")"),"coltello")</f>
        <v>coltello</v>
      </c>
      <c r="G2655" s="2" t="str">
        <f ca="1">IFERROR(__xludf.DUMMYFUNCTION("GOOGLETRANSLATE(B2655,""en"",""de"")"),"Messer")</f>
        <v>Messer</v>
      </c>
      <c r="H2655" s="2" t="str">
        <f ca="1">IFERROR(__xludf.DUMMYFUNCTION("GOOGLETRANSLATE(B2655,""en"",""zh"")"),"刀")</f>
        <v>刀</v>
      </c>
      <c r="I2655" s="2" t="str">
        <f ca="1">IFERROR(__xludf.DUMMYFUNCTION("GOOGLETRANSLATE(B2655,""en"",""gd"")"),"sgian")</f>
        <v>sgian</v>
      </c>
    </row>
    <row r="2656" spans="1:9" ht="14.25" customHeight="1" x14ac:dyDescent="0.3">
      <c r="A2656" s="2">
        <v>2655</v>
      </c>
      <c r="B2656" s="3" t="s">
        <v>2663</v>
      </c>
      <c r="C2656" s="2" t="str">
        <f ca="1">IFERROR(__xludf.DUMMYFUNCTION("GOOGLETRANSLATE(B2656, ""en"",""es"")"),"biológico")</f>
        <v>biológico</v>
      </c>
      <c r="D2656" s="2" t="str">
        <f ca="1">IFERROR(__xludf.DUMMYFUNCTION("GOOGLETRANSLATE(B2656,""en"",""ig"")"),"bayoloji")</f>
        <v>bayoloji</v>
      </c>
      <c r="E2656" s="2" t="str">
        <f ca="1">IFERROR(__xludf.DUMMYFUNCTION("GOOGLETRANSLATE(B2656,""en"",""fr"")"),"biologique")</f>
        <v>biologique</v>
      </c>
      <c r="F2656" s="2" t="str">
        <f ca="1">IFERROR(__xludf.DUMMYFUNCTION("GOOGLETRANSLATE(B2656,""en"",""it"")"),"biologico")</f>
        <v>biologico</v>
      </c>
      <c r="G2656" s="2" t="str">
        <f ca="1">IFERROR(__xludf.DUMMYFUNCTION("GOOGLETRANSLATE(B2656,""en"",""de"")"),"biologisch")</f>
        <v>biologisch</v>
      </c>
      <c r="H2656" s="2" t="str">
        <f ca="1">IFERROR(__xludf.DUMMYFUNCTION("GOOGLETRANSLATE(B2656,""en"",""zh"")"),"生物")</f>
        <v>生物</v>
      </c>
      <c r="I2656" s="2" t="str">
        <f ca="1">IFERROR(__xludf.DUMMYFUNCTION("GOOGLETRANSLATE(B2656,""en"",""gd"")"),"bith-eòlasach")</f>
        <v>bith-eòlasach</v>
      </c>
    </row>
    <row r="2657" spans="1:9" ht="14.25" customHeight="1" x14ac:dyDescent="0.3">
      <c r="A2657" s="2">
        <v>2656</v>
      </c>
      <c r="B2657" s="3" t="s">
        <v>2664</v>
      </c>
      <c r="C2657" s="2" t="str">
        <f ca="1">IFERROR(__xludf.DUMMYFUNCTION("GOOGLETRANSLATE(B2657, ""en"",""es"")"),"consumir")</f>
        <v>consumir</v>
      </c>
      <c r="D2657" s="2" t="str">
        <f ca="1">IFERROR(__xludf.DUMMYFUNCTION("GOOGLETRANSLATE(B2657,""en"",""ig"")"),"na-eri")</f>
        <v>na-eri</v>
      </c>
      <c r="E2657" s="2" t="str">
        <f ca="1">IFERROR(__xludf.DUMMYFUNCTION("GOOGLETRANSLATE(B2657,""en"",""fr"")"),"consommer")</f>
        <v>consommer</v>
      </c>
      <c r="F2657" s="2" t="str">
        <f ca="1">IFERROR(__xludf.DUMMYFUNCTION("GOOGLETRANSLATE(B2657,""en"",""it"")"),"consumare")</f>
        <v>consumare</v>
      </c>
      <c r="G2657" s="2" t="str">
        <f ca="1">IFERROR(__xludf.DUMMYFUNCTION("GOOGLETRANSLATE(B2657,""en"",""de"")"),"verbrauchen")</f>
        <v>verbrauchen</v>
      </c>
      <c r="H2657" s="2" t="str">
        <f ca="1">IFERROR(__xludf.DUMMYFUNCTION("GOOGLETRANSLATE(B2657,""en"",""zh"")"),"消耗")</f>
        <v>消耗</v>
      </c>
      <c r="I2657" s="2" t="str">
        <f ca="1">IFERROR(__xludf.DUMMYFUNCTION("GOOGLETRANSLATE(B2657,""en"",""gd"")"),"ithe")</f>
        <v>ithe</v>
      </c>
    </row>
    <row r="2658" spans="1:9" ht="14.25" customHeight="1" x14ac:dyDescent="0.3">
      <c r="A2658" s="2">
        <v>2657</v>
      </c>
      <c r="B2658" s="3" t="s">
        <v>2665</v>
      </c>
      <c r="C2658" s="2" t="str">
        <f ca="1">IFERROR(__xludf.DUMMYFUNCTION("GOOGLETRANSLATE(B2658, ""en"",""es"")"),"lujo")</f>
        <v>lujo</v>
      </c>
      <c r="D2658" s="2" t="str">
        <f ca="1">IFERROR(__xludf.DUMMYFUNCTION("GOOGLETRANSLATE(B2658,""en"",""ig"")"),"mkporidindu")</f>
        <v>mkporidindu</v>
      </c>
      <c r="E2658" s="2" t="str">
        <f ca="1">IFERROR(__xludf.DUMMYFUNCTION("GOOGLETRANSLATE(B2658,""en"",""fr"")"),"luxe")</f>
        <v>luxe</v>
      </c>
      <c r="F2658" s="2" t="str">
        <f ca="1">IFERROR(__xludf.DUMMYFUNCTION("GOOGLETRANSLATE(B2658,""en"",""it"")"),"lusso")</f>
        <v>lusso</v>
      </c>
      <c r="G2658" s="2" t="str">
        <f ca="1">IFERROR(__xludf.DUMMYFUNCTION("GOOGLETRANSLATE(B2658,""en"",""de"")"),"Luxus")</f>
        <v>Luxus</v>
      </c>
      <c r="H2658" s="2" t="str">
        <f ca="1">IFERROR(__xludf.DUMMYFUNCTION("GOOGLETRANSLATE(B2658,""en"",""zh"")"),"奢华")</f>
        <v>奢华</v>
      </c>
      <c r="I2658" s="2" t="str">
        <f ca="1">IFERROR(__xludf.DUMMYFUNCTION("GOOGLETRANSLATE(B2658,""en"",""gd"")"),"sòghalachd")</f>
        <v>sòghalachd</v>
      </c>
    </row>
    <row r="2659" spans="1:9" ht="14.25" customHeight="1" x14ac:dyDescent="0.3">
      <c r="A2659" s="2">
        <v>2658</v>
      </c>
      <c r="B2659" s="3" t="s">
        <v>2666</v>
      </c>
      <c r="C2659" s="2" t="str">
        <f ca="1">IFERROR(__xludf.DUMMYFUNCTION("GOOGLETRANSLATE(B2659, ""en"",""es"")"),"semanalmente")</f>
        <v>semanalmente</v>
      </c>
      <c r="D2659" s="2" t="str">
        <f ca="1">IFERROR(__xludf.DUMMYFUNCTION("GOOGLETRANSLATE(B2659,""en"",""ig"")"),"kwa wiik")</f>
        <v>kwa wiik</v>
      </c>
      <c r="E2659" s="2" t="str">
        <f ca="1">IFERROR(__xludf.DUMMYFUNCTION("GOOGLETRANSLATE(B2659,""en"",""fr"")"),"hebdomadaire")</f>
        <v>hebdomadaire</v>
      </c>
      <c r="F2659" s="2" t="str">
        <f ca="1">IFERROR(__xludf.DUMMYFUNCTION("GOOGLETRANSLATE(B2659,""en"",""it"")"),"settimanalmente")</f>
        <v>settimanalmente</v>
      </c>
      <c r="G2659" s="2" t="str">
        <f ca="1">IFERROR(__xludf.DUMMYFUNCTION("GOOGLETRANSLATE(B2659,""en"",""de"")"),"wöchentlich")</f>
        <v>wöchentlich</v>
      </c>
      <c r="H2659" s="2" t="str">
        <f ca="1">IFERROR(__xludf.DUMMYFUNCTION("GOOGLETRANSLATE(B2659,""en"",""zh"")"),"每周")</f>
        <v>每周</v>
      </c>
      <c r="I2659" s="2" t="str">
        <f ca="1">IFERROR(__xludf.DUMMYFUNCTION("GOOGLETRANSLATE(B2659,""en"",""gd"")"),"seachdaineach")</f>
        <v>seachdaineach</v>
      </c>
    </row>
    <row r="2660" spans="1:9" ht="14.25" customHeight="1" x14ac:dyDescent="0.3">
      <c r="A2660" s="2">
        <v>2659</v>
      </c>
      <c r="B2660" s="3" t="s">
        <v>2667</v>
      </c>
      <c r="C2660" s="2" t="str">
        <f ca="1">IFERROR(__xludf.DUMMYFUNCTION("GOOGLETRANSLATE(B2660, ""en"",""es"")"),"lo que sea")</f>
        <v>lo que sea</v>
      </c>
      <c r="D2660" s="2" t="str">
        <f ca="1">IFERROR(__xludf.DUMMYFUNCTION("GOOGLETRANSLATE(B2660,""en"",""ig"")"),"ebeobula")</f>
        <v>ebeobula</v>
      </c>
      <c r="E2660" s="2" t="str">
        <f ca="1">IFERROR(__xludf.DUMMYFUNCTION("GOOGLETRANSLATE(B2660,""en"",""fr"")"),"partout où")</f>
        <v>partout où</v>
      </c>
      <c r="F2660" s="2" t="str">
        <f ca="1">IFERROR(__xludf.DUMMYFUNCTION("GOOGLETRANSLATE(B2660,""en"",""it"")"),"dovunque")</f>
        <v>dovunque</v>
      </c>
      <c r="G2660" s="2" t="str">
        <f ca="1">IFERROR(__xludf.DUMMYFUNCTION("GOOGLETRANSLATE(B2660,""en"",""de"")"),"wo auch immer")</f>
        <v>wo auch immer</v>
      </c>
      <c r="H2660" s="2" t="str">
        <f ca="1">IFERROR(__xludf.DUMMYFUNCTION("GOOGLETRANSLATE(B2660,""en"",""zh"")"),"无论何处")</f>
        <v>无论何处</v>
      </c>
      <c r="I2660" s="2" t="str">
        <f ca="1">IFERROR(__xludf.DUMMYFUNCTION("GOOGLETRANSLATE(B2660,""en"",""gd"")"),"Far a bheil")</f>
        <v>Far a bheil</v>
      </c>
    </row>
    <row r="2661" spans="1:9" ht="14.25" customHeight="1" x14ac:dyDescent="0.3">
      <c r="A2661" s="2">
        <v>2660</v>
      </c>
      <c r="B2661" s="3" t="s">
        <v>2668</v>
      </c>
      <c r="C2661" s="2" t="str">
        <f ca="1">IFERROR(__xludf.DUMMYFUNCTION("GOOGLETRANSLATE(B2661, ""en"",""es"")"),"morder")</f>
        <v>morder</v>
      </c>
      <c r="D2661" s="2" t="str">
        <f ca="1">IFERROR(__xludf.DUMMYFUNCTION("GOOGLETRANSLATE(B2661,""en"",""ig"")"),"ita aru")</f>
        <v>ita aru</v>
      </c>
      <c r="E2661" s="2" t="str">
        <f ca="1">IFERROR(__xludf.DUMMYFUNCTION("GOOGLETRANSLATE(B2661,""en"",""fr"")"),"mordre")</f>
        <v>mordre</v>
      </c>
      <c r="F2661" s="2" t="str">
        <f ca="1">IFERROR(__xludf.DUMMYFUNCTION("GOOGLETRANSLATE(B2661,""en"",""it"")"),"morso")</f>
        <v>morso</v>
      </c>
      <c r="G2661" s="2" t="str">
        <f ca="1">IFERROR(__xludf.DUMMYFUNCTION("GOOGLETRANSLATE(B2661,""en"",""de"")"),"beißen")</f>
        <v>beißen</v>
      </c>
      <c r="H2661" s="2" t="str">
        <f ca="1">IFERROR(__xludf.DUMMYFUNCTION("GOOGLETRANSLATE(B2661,""en"",""zh"")"),"咬")</f>
        <v>咬</v>
      </c>
      <c r="I2661" s="2" t="str">
        <f ca="1">IFERROR(__xludf.DUMMYFUNCTION("GOOGLETRANSLATE(B2661,""en"",""gd"")"),"bìdeadh")</f>
        <v>bìdeadh</v>
      </c>
    </row>
    <row r="2662" spans="1:9" ht="14.25" customHeight="1" x14ac:dyDescent="0.3">
      <c r="A2662" s="2">
        <v>2661</v>
      </c>
      <c r="B2662" s="3" t="s">
        <v>2669</v>
      </c>
      <c r="C2662" s="2" t="str">
        <f ca="1">IFERROR(__xludf.DUMMYFUNCTION("GOOGLETRANSLATE(B2662, ""en"",""es"")"),"impresora")</f>
        <v>impresora</v>
      </c>
      <c r="D2662" s="2" t="str">
        <f ca="1">IFERROR(__xludf.DUMMYFUNCTION("GOOGLETRANSLATE(B2662,""en"",""ig"")"),"igwe maka ndeputa")</f>
        <v>igwe maka ndeputa</v>
      </c>
      <c r="E2662" s="2" t="str">
        <f ca="1">IFERROR(__xludf.DUMMYFUNCTION("GOOGLETRANSLATE(B2662,""en"",""fr"")"),"imprimante")</f>
        <v>imprimante</v>
      </c>
      <c r="F2662" s="2" t="str">
        <f ca="1">IFERROR(__xludf.DUMMYFUNCTION("GOOGLETRANSLATE(B2662,""en"",""it"")"),"stampante")</f>
        <v>stampante</v>
      </c>
      <c r="G2662" s="2" t="str">
        <f ca="1">IFERROR(__xludf.DUMMYFUNCTION("GOOGLETRANSLATE(B2662,""en"",""de"")"),"Drucker")</f>
        <v>Drucker</v>
      </c>
      <c r="H2662" s="2" t="str">
        <f ca="1">IFERROR(__xludf.DUMMYFUNCTION("GOOGLETRANSLATE(B2662,""en"",""zh"")"),"打印机")</f>
        <v>打印机</v>
      </c>
      <c r="I2662" s="2" t="str">
        <f ca="1">IFERROR(__xludf.DUMMYFUNCTION("GOOGLETRANSLATE(B2662,""en"",""gd"")"),"Clò-bhualadair")</f>
        <v>Clò-bhualadair</v>
      </c>
    </row>
    <row r="2663" spans="1:9" ht="14.25" customHeight="1" x14ac:dyDescent="0.3">
      <c r="A2663" s="2">
        <v>2662</v>
      </c>
      <c r="B2663" s="3" t="s">
        <v>2670</v>
      </c>
      <c r="C2663" s="2" t="str">
        <f ca="1">IFERROR(__xludf.DUMMYFUNCTION("GOOGLETRANSLATE(B2663, ""en"",""es"")"),"en primer lugar")</f>
        <v>en primer lugar</v>
      </c>
      <c r="D2663" s="2" t="str">
        <f ca="1">IFERROR(__xludf.DUMMYFUNCTION("GOOGLETRANSLATE(B2663,""en"",""ig"")"),"nke mbu")</f>
        <v>nke mbu</v>
      </c>
      <c r="E2663" s="2" t="str">
        <f ca="1">IFERROR(__xludf.DUMMYFUNCTION("GOOGLETRANSLATE(B2663,""en"",""fr"")"),"premièrement")</f>
        <v>premièrement</v>
      </c>
      <c r="F2663" s="2" t="str">
        <f ca="1">IFERROR(__xludf.DUMMYFUNCTION("GOOGLETRANSLATE(B2663,""en"",""it"")"),"In primo luogo")</f>
        <v>In primo luogo</v>
      </c>
      <c r="G2663" s="2" t="str">
        <f ca="1">IFERROR(__xludf.DUMMYFUNCTION("GOOGLETRANSLATE(B2663,""en"",""de"")"),"zuerst")</f>
        <v>zuerst</v>
      </c>
      <c r="H2663" s="2" t="str">
        <f ca="1">IFERROR(__xludf.DUMMYFUNCTION("GOOGLETRANSLATE(B2663,""en"",""zh"")"),"首先")</f>
        <v>首先</v>
      </c>
      <c r="I2663" s="2" t="str">
        <f ca="1">IFERROR(__xludf.DUMMYFUNCTION("GOOGLETRANSLATE(B2663,""en"",""gd"")"),"An toiseach")</f>
        <v>An toiseach</v>
      </c>
    </row>
    <row r="2664" spans="1:9" ht="14.25" customHeight="1" x14ac:dyDescent="0.3">
      <c r="A2664" s="2">
        <v>2663</v>
      </c>
      <c r="B2664" s="3" t="s">
        <v>2671</v>
      </c>
      <c r="C2664" s="2" t="str">
        <f ca="1">IFERROR(__xludf.DUMMYFUNCTION("GOOGLETRANSLATE(B2664, ""en"",""es"")"),"ansioso")</f>
        <v>ansioso</v>
      </c>
      <c r="D2664" s="2" t="str">
        <f ca="1">IFERROR(__xludf.DUMMYFUNCTION("GOOGLETRANSLATE(B2664,""en"",""ig"")"),"keumemmapu")</f>
        <v>keumemmapu</v>
      </c>
      <c r="E2664" s="2" t="str">
        <f ca="1">IFERROR(__xludf.DUMMYFUNCTION("GOOGLETRANSLATE(B2664,""en"",""fr"")"),"anxieux")</f>
        <v>anxieux</v>
      </c>
      <c r="F2664" s="2" t="str">
        <f ca="1">IFERROR(__xludf.DUMMYFUNCTION("GOOGLETRANSLATE(B2664,""en"",""it"")"),"ansioso")</f>
        <v>ansioso</v>
      </c>
      <c r="G2664" s="2" t="str">
        <f ca="1">IFERROR(__xludf.DUMMYFUNCTION("GOOGLETRANSLATE(B2664,""en"",""de"")"),"ängstlich")</f>
        <v>ängstlich</v>
      </c>
      <c r="H2664" s="2" t="str">
        <f ca="1">IFERROR(__xludf.DUMMYFUNCTION("GOOGLETRANSLATE(B2664,""en"",""zh"")"),"焦虑的")</f>
        <v>焦虑的</v>
      </c>
      <c r="I2664" s="2" t="str">
        <f ca="1">IFERROR(__xludf.DUMMYFUNCTION("GOOGLETRANSLATE(B2664,""en"",""gd"")"),"iomagaineach")</f>
        <v>iomagaineach</v>
      </c>
    </row>
    <row r="2665" spans="1:9" ht="14.25" customHeight="1" x14ac:dyDescent="0.3">
      <c r="A2665" s="2">
        <v>2664</v>
      </c>
      <c r="B2665" s="3" t="s">
        <v>2672</v>
      </c>
      <c r="C2665" s="2" t="str">
        <f ca="1">IFERROR(__xludf.DUMMYFUNCTION("GOOGLETRANSLATE(B2665, ""en"",""es"")"),"aventura")</f>
        <v>aventura</v>
      </c>
      <c r="D2665" s="2" t="str">
        <f ca="1">IFERROR(__xludf.DUMMYFUNCTION("GOOGLETRANSLATE(B2665,""en"",""ig"")"),"njem")</f>
        <v>njem</v>
      </c>
      <c r="E2665" s="2" t="str">
        <f ca="1">IFERROR(__xludf.DUMMYFUNCTION("GOOGLETRANSLATE(B2665,""en"",""fr"")"),"aventure")</f>
        <v>aventure</v>
      </c>
      <c r="F2665" s="2" t="str">
        <f ca="1">IFERROR(__xludf.DUMMYFUNCTION("GOOGLETRANSLATE(B2665,""en"",""it"")"),"avventura")</f>
        <v>avventura</v>
      </c>
      <c r="G2665" s="2" t="str">
        <f ca="1">IFERROR(__xludf.DUMMYFUNCTION("GOOGLETRANSLATE(B2665,""en"",""de"")"),"Abenteuer")</f>
        <v>Abenteuer</v>
      </c>
      <c r="H2665" s="2" t="str">
        <f ca="1">IFERROR(__xludf.DUMMYFUNCTION("GOOGLETRANSLATE(B2665,""en"",""zh"")"),"冒险")</f>
        <v>冒险</v>
      </c>
      <c r="I2665" s="2" t="str">
        <f ca="1">IFERROR(__xludf.DUMMYFUNCTION("GOOGLETRANSLATE(B2665,""en"",""gd"")"),"Dàn-thuras")</f>
        <v>Dàn-thuras</v>
      </c>
    </row>
    <row r="2666" spans="1:9" ht="14.25" customHeight="1" x14ac:dyDescent="0.3">
      <c r="A2666" s="2">
        <v>2665</v>
      </c>
      <c r="B2666" s="3" t="s">
        <v>2673</v>
      </c>
      <c r="C2666" s="2" t="str">
        <f ca="1">IFERROR(__xludf.DUMMYFUNCTION("GOOGLETRANSLATE(B2666, ""en"",""es"")"),"cerca")</f>
        <v>cerca</v>
      </c>
      <c r="D2666" s="2" t="str">
        <f ca="1">IFERROR(__xludf.DUMMYFUNCTION("GOOGLETRANSLATE(B2666,""en"",""ig"")"),"aja ogbugbu")</f>
        <v>aja ogbugbu</v>
      </c>
      <c r="E2666" s="2" t="str">
        <f ca="1">IFERROR(__xludf.DUMMYFUNCTION("GOOGLETRANSLATE(B2666,""en"",""fr"")"),"clôture")</f>
        <v>clôture</v>
      </c>
      <c r="F2666" s="2" t="str">
        <f ca="1">IFERROR(__xludf.DUMMYFUNCTION("GOOGLETRANSLATE(B2666,""en"",""it"")"),"recinzione")</f>
        <v>recinzione</v>
      </c>
      <c r="G2666" s="2" t="str">
        <f ca="1">IFERROR(__xludf.DUMMYFUNCTION("GOOGLETRANSLATE(B2666,""en"",""de"")"),"Zaun")</f>
        <v>Zaun</v>
      </c>
      <c r="H2666" s="2" t="str">
        <f ca="1">IFERROR(__xludf.DUMMYFUNCTION("GOOGLETRANSLATE(B2666,""en"",""zh"")"),"栅栏")</f>
        <v>栅栏</v>
      </c>
      <c r="I2666" s="2" t="str">
        <f ca="1">IFERROR(__xludf.DUMMYFUNCTION("GOOGLETRANSLATE(B2666,""en"",""gd"")"),"feansa")</f>
        <v>feansa</v>
      </c>
    </row>
    <row r="2667" spans="1:9" ht="14.25" customHeight="1" x14ac:dyDescent="0.3">
      <c r="A2667" s="2">
        <v>2666</v>
      </c>
      <c r="B2667" s="3" t="s">
        <v>2674</v>
      </c>
      <c r="C2667" s="2" t="str">
        <f ca="1">IFERROR(__xludf.DUMMYFUNCTION("GOOGLETRANSLATE(B2667, ""en"",""es"")"),"escape")</f>
        <v>escape</v>
      </c>
      <c r="D2667" s="2" t="str">
        <f ca="1">IFERROR(__xludf.DUMMYFUNCTION("GOOGLETRANSLATE(B2667,""en"",""ig"")"),"egzoostu")</f>
        <v>egzoostu</v>
      </c>
      <c r="E2667" s="2" t="str">
        <f ca="1">IFERROR(__xludf.DUMMYFUNCTION("GOOGLETRANSLATE(B2667,""en"",""fr"")"),"échappement")</f>
        <v>échappement</v>
      </c>
      <c r="F2667" s="2" t="str">
        <f ca="1">IFERROR(__xludf.DUMMYFUNCTION("GOOGLETRANSLATE(B2667,""en"",""it"")"),"scarico")</f>
        <v>scarico</v>
      </c>
      <c r="G2667" s="2" t="str">
        <f ca="1">IFERROR(__xludf.DUMMYFUNCTION("GOOGLETRANSLATE(B2667,""en"",""de"")"),"Auspuff")</f>
        <v>Auspuff</v>
      </c>
      <c r="H2667" s="2" t="str">
        <f ca="1">IFERROR(__xludf.DUMMYFUNCTION("GOOGLETRANSLATE(B2667,""en"",""zh"")"),"排气")</f>
        <v>排气</v>
      </c>
      <c r="I2667" s="2" t="str">
        <f ca="1">IFERROR(__xludf.DUMMYFUNCTION("GOOGLETRANSLATE(B2667,""en"",""gd"")"),"Exhaust")</f>
        <v>Exhaust</v>
      </c>
    </row>
    <row r="2668" spans="1:9" ht="14.25" customHeight="1" x14ac:dyDescent="0.3">
      <c r="A2668" s="2">
        <v>2667</v>
      </c>
      <c r="B2668" s="3" t="s">
        <v>2675</v>
      </c>
      <c r="C2668" s="2" t="str">
        <f ca="1">IFERROR(__xludf.DUMMYFUNCTION("GOOGLETRANSLATE(B2668, ""en"",""es"")"),"atracción")</f>
        <v>atracción</v>
      </c>
      <c r="D2668" s="2" t="str">
        <f ca="1">IFERROR(__xludf.DUMMYFUNCTION("GOOGLETRANSLATE(B2668,""en"",""ig"")"),"mma")</f>
        <v>mma</v>
      </c>
      <c r="E2668" s="2" t="str">
        <f ca="1">IFERROR(__xludf.DUMMYFUNCTION("GOOGLETRANSLATE(B2668,""en"",""fr"")"),"attirance")</f>
        <v>attirance</v>
      </c>
      <c r="F2668" s="2" t="str">
        <f ca="1">IFERROR(__xludf.DUMMYFUNCTION("GOOGLETRANSLATE(B2668,""en"",""it"")"),"attrazione")</f>
        <v>attrazione</v>
      </c>
      <c r="G2668" s="2" t="str">
        <f ca="1">IFERROR(__xludf.DUMMYFUNCTION("GOOGLETRANSLATE(B2668,""en"",""de"")"),"Attraktion")</f>
        <v>Attraktion</v>
      </c>
      <c r="H2668" s="2" t="str">
        <f ca="1">IFERROR(__xludf.DUMMYFUNCTION("GOOGLETRANSLATE(B2668,""en"",""zh"")"),"吸引力")</f>
        <v>吸引力</v>
      </c>
      <c r="I2668" s="2" t="str">
        <f ca="1">IFERROR(__xludf.DUMMYFUNCTION("GOOGLETRANSLATE(B2668,""en"",""gd"")"),"tàladh")</f>
        <v>tàladh</v>
      </c>
    </row>
    <row r="2669" spans="1:9" ht="14.25" customHeight="1" x14ac:dyDescent="0.3">
      <c r="A2669" s="2">
        <v>2668</v>
      </c>
      <c r="B2669" s="3" t="s">
        <v>2676</v>
      </c>
      <c r="C2669" s="2" t="str">
        <f ca="1">IFERROR(__xludf.DUMMYFUNCTION("GOOGLETRANSLATE(B2669, ""en"",""es"")"),"océano")</f>
        <v>océano</v>
      </c>
      <c r="D2669" s="2" t="str">
        <f ca="1">IFERROR(__xludf.DUMMYFUNCTION("GOOGLETRANSLATE(B2669,""en"",""ig"")"),"osimiri")</f>
        <v>osimiri</v>
      </c>
      <c r="E2669" s="2" t="str">
        <f ca="1">IFERROR(__xludf.DUMMYFUNCTION("GOOGLETRANSLATE(B2669,""en"",""fr"")"),"océan")</f>
        <v>océan</v>
      </c>
      <c r="F2669" s="2" t="str">
        <f ca="1">IFERROR(__xludf.DUMMYFUNCTION("GOOGLETRANSLATE(B2669,""en"",""it"")"),"oceano")</f>
        <v>oceano</v>
      </c>
      <c r="G2669" s="2" t="str">
        <f ca="1">IFERROR(__xludf.DUMMYFUNCTION("GOOGLETRANSLATE(B2669,""en"",""de"")"),"Ozean")</f>
        <v>Ozean</v>
      </c>
      <c r="H2669" s="2" t="str">
        <f ca="1">IFERROR(__xludf.DUMMYFUNCTION("GOOGLETRANSLATE(B2669,""en"",""zh"")"),"海洋")</f>
        <v>海洋</v>
      </c>
      <c r="I2669" s="2" t="str">
        <f ca="1">IFERROR(__xludf.DUMMYFUNCTION("GOOGLETRANSLATE(B2669,""en"",""gd"")"),"Cuan")</f>
        <v>Cuan</v>
      </c>
    </row>
    <row r="2670" spans="1:9" ht="14.25" customHeight="1" x14ac:dyDescent="0.3">
      <c r="A2670" s="2">
        <v>2669</v>
      </c>
      <c r="B2670" s="3" t="s">
        <v>2677</v>
      </c>
      <c r="C2670" s="2" t="str">
        <f ca="1">IFERROR(__xludf.DUMMYFUNCTION("GOOGLETRANSLATE(B2670, ""en"",""es"")"),"en silencio")</f>
        <v>en silencio</v>
      </c>
      <c r="D2670" s="2" t="str">
        <f ca="1">IFERROR(__xludf.DUMMYFUNCTION("GOOGLETRANSLATE(B2670,""en"",""ig"")"),"nwayo nwayo")</f>
        <v>nwayo nwayo</v>
      </c>
      <c r="E2670" s="2" t="str">
        <f ca="1">IFERROR(__xludf.DUMMYFUNCTION("GOOGLETRANSLATE(B2670,""en"",""fr"")"),"tranquillement")</f>
        <v>tranquillement</v>
      </c>
      <c r="F2670" s="2" t="str">
        <f ca="1">IFERROR(__xludf.DUMMYFUNCTION("GOOGLETRANSLATE(B2670,""en"",""it"")"),"tranquillamente")</f>
        <v>tranquillamente</v>
      </c>
      <c r="G2670" s="2" t="str">
        <f ca="1">IFERROR(__xludf.DUMMYFUNCTION("GOOGLETRANSLATE(B2670,""en"",""de"")"),"ruhig")</f>
        <v>ruhig</v>
      </c>
      <c r="H2670" s="2" t="str">
        <f ca="1">IFERROR(__xludf.DUMMYFUNCTION("GOOGLETRANSLATE(B2670,""en"",""zh"")"),"悄悄")</f>
        <v>悄悄</v>
      </c>
      <c r="I2670" s="2" t="str">
        <f ca="1">IFERROR(__xludf.DUMMYFUNCTION("GOOGLETRANSLATE(B2670,""en"",""gd"")"),"gu sàmhach")</f>
        <v>gu sàmhach</v>
      </c>
    </row>
    <row r="2671" spans="1:9" ht="14.25" customHeight="1" x14ac:dyDescent="0.3">
      <c r="A2671" s="2">
        <v>2670</v>
      </c>
      <c r="B2671" s="3" t="s">
        <v>2678</v>
      </c>
      <c r="C2671" s="2" t="str">
        <f ca="1">IFERROR(__xludf.DUMMYFUNCTION("GOOGLETRANSLATE(B2671, ""en"",""es"")"),"castillo")</f>
        <v>castillo</v>
      </c>
      <c r="D2671" s="2" t="str">
        <f ca="1">IFERROR(__xludf.DUMMYFUNCTION("GOOGLETRANSLATE(B2671,""en"",""ig"")"),"akpuruakpu")</f>
        <v>akpuruakpu</v>
      </c>
      <c r="E2671" s="2" t="str">
        <f ca="1">IFERROR(__xludf.DUMMYFUNCTION("GOOGLETRANSLATE(B2671,""en"",""fr"")"),"château")</f>
        <v>château</v>
      </c>
      <c r="F2671" s="2" t="str">
        <f ca="1">IFERROR(__xludf.DUMMYFUNCTION("GOOGLETRANSLATE(B2671,""en"",""it"")"),"castello")</f>
        <v>castello</v>
      </c>
      <c r="G2671" s="2" t="str">
        <f ca="1">IFERROR(__xludf.DUMMYFUNCTION("GOOGLETRANSLATE(B2671,""en"",""de"")"),"Schloss")</f>
        <v>Schloss</v>
      </c>
      <c r="H2671" s="2" t="str">
        <f ca="1">IFERROR(__xludf.DUMMYFUNCTION("GOOGLETRANSLATE(B2671,""en"",""zh"")"),"城堡")</f>
        <v>城堡</v>
      </c>
      <c r="I2671" s="2" t="str">
        <f ca="1">IFERROR(__xludf.DUMMYFUNCTION("GOOGLETRANSLATE(B2671,""en"",""gd"")"),"Caisteal")</f>
        <v>Caisteal</v>
      </c>
    </row>
    <row r="2672" spans="1:9" ht="14.25" customHeight="1" x14ac:dyDescent="0.3">
      <c r="A2672" s="2">
        <v>2671</v>
      </c>
      <c r="B2672" s="3" t="s">
        <v>2679</v>
      </c>
      <c r="C2672" s="2" t="str">
        <f ca="1">IFERROR(__xludf.DUMMYFUNCTION("GOOGLETRANSLATE(B2672, ""en"",""es"")"),"veterano")</f>
        <v>veterano</v>
      </c>
      <c r="D2672" s="2" t="str">
        <f ca="1">IFERROR(__xludf.DUMMYFUNCTION("GOOGLETRANSLATE(B2672,""en"",""ig"")"),"vetiran soja")</f>
        <v>vetiran soja</v>
      </c>
      <c r="E2672" s="2" t="str">
        <f ca="1">IFERROR(__xludf.DUMMYFUNCTION("GOOGLETRANSLATE(B2672,""en"",""fr"")"),"vétéran")</f>
        <v>vétéran</v>
      </c>
      <c r="F2672" s="2" t="str">
        <f ca="1">IFERROR(__xludf.DUMMYFUNCTION("GOOGLETRANSLATE(B2672,""en"",""it"")"),"veterano")</f>
        <v>veterano</v>
      </c>
      <c r="G2672" s="2" t="str">
        <f ca="1">IFERROR(__xludf.DUMMYFUNCTION("GOOGLETRANSLATE(B2672,""en"",""de"")"),"Veteran")</f>
        <v>Veteran</v>
      </c>
      <c r="H2672" s="2" t="str">
        <f ca="1">IFERROR(__xludf.DUMMYFUNCTION("GOOGLETRANSLATE(B2672,""en"",""zh"")"),"老将")</f>
        <v>老将</v>
      </c>
      <c r="I2672" s="2" t="str">
        <f ca="1">IFERROR(__xludf.DUMMYFUNCTION("GOOGLETRANSLATE(B2672,""en"",""gd"")"),"Seann Shaighdearan")</f>
        <v>Seann Shaighdearan</v>
      </c>
    </row>
    <row r="2673" spans="1:9" ht="14.25" customHeight="1" x14ac:dyDescent="0.3">
      <c r="A2673" s="2">
        <v>2672</v>
      </c>
      <c r="B2673" s="3" t="s">
        <v>2680</v>
      </c>
      <c r="C2673" s="2" t="str">
        <f ca="1">IFERROR(__xludf.DUMMYFUNCTION("GOOGLETRANSLATE(B2673, ""en"",""es"")"),"reflexión")</f>
        <v>reflexión</v>
      </c>
      <c r="D2673" s="2" t="str">
        <f ca="1">IFERROR(__xludf.DUMMYFUNCTION("GOOGLETRANSLATE(B2673,""en"",""ig"")"),"nchezi")</f>
        <v>nchezi</v>
      </c>
      <c r="E2673" s="2" t="str">
        <f ca="1">IFERROR(__xludf.DUMMYFUNCTION("GOOGLETRANSLATE(B2673,""en"",""fr"")"),"réflexion")</f>
        <v>réflexion</v>
      </c>
      <c r="F2673" s="2" t="str">
        <f ca="1">IFERROR(__xludf.DUMMYFUNCTION("GOOGLETRANSLATE(B2673,""en"",""it"")"),"riflessione")</f>
        <v>riflessione</v>
      </c>
      <c r="G2673" s="2" t="str">
        <f ca="1">IFERROR(__xludf.DUMMYFUNCTION("GOOGLETRANSLATE(B2673,""en"",""de"")"),"Betrachtung")</f>
        <v>Betrachtung</v>
      </c>
      <c r="H2673" s="2" t="str">
        <f ca="1">IFERROR(__xludf.DUMMYFUNCTION("GOOGLETRANSLATE(B2673,""en"",""zh"")"),"反射")</f>
        <v>反射</v>
      </c>
      <c r="I2673" s="2" t="str">
        <f ca="1">IFERROR(__xludf.DUMMYFUNCTION("GOOGLETRANSLATE(B2673,""en"",""gd"")"),"Meòrachadh")</f>
        <v>Meòrachadh</v>
      </c>
    </row>
    <row r="2674" spans="1:9" ht="14.25" customHeight="1" x14ac:dyDescent="0.3">
      <c r="A2674" s="2">
        <v>2673</v>
      </c>
      <c r="B2674" s="3" t="s">
        <v>2681</v>
      </c>
      <c r="C2674" s="2" t="str">
        <f ca="1">IFERROR(__xludf.DUMMYFUNCTION("GOOGLETRANSLATE(B2674, ""en"",""es"")"),"nervio")</f>
        <v>nervio</v>
      </c>
      <c r="D2674" s="2" t="str">
        <f ca="1">IFERROR(__xludf.DUMMYFUNCTION("GOOGLETRANSLATE(B2674,""en"",""ig"")"),"akwara")</f>
        <v>akwara</v>
      </c>
      <c r="E2674" s="2" t="str">
        <f ca="1">IFERROR(__xludf.DUMMYFUNCTION("GOOGLETRANSLATE(B2674,""en"",""fr"")"),"nerf")</f>
        <v>nerf</v>
      </c>
      <c r="F2674" s="2" t="str">
        <f ca="1">IFERROR(__xludf.DUMMYFUNCTION("GOOGLETRANSLATE(B2674,""en"",""it"")"),"nervo")</f>
        <v>nervo</v>
      </c>
      <c r="G2674" s="2" t="str">
        <f ca="1">IFERROR(__xludf.DUMMYFUNCTION("GOOGLETRANSLATE(B2674,""en"",""de"")"),"Nerv")</f>
        <v>Nerv</v>
      </c>
      <c r="H2674" s="2" t="str">
        <f ca="1">IFERROR(__xludf.DUMMYFUNCTION("GOOGLETRANSLATE(B2674,""en"",""zh"")"),"神经")</f>
        <v>神经</v>
      </c>
      <c r="I2674" s="2" t="str">
        <f ca="1">IFERROR(__xludf.DUMMYFUNCTION("GOOGLETRANSLATE(B2674,""en"",""gd"")"),"nerve")</f>
        <v>nerve</v>
      </c>
    </row>
    <row r="2675" spans="1:9" ht="14.25" customHeight="1" x14ac:dyDescent="0.3">
      <c r="A2675" s="2">
        <v>2674</v>
      </c>
      <c r="B2675" s="3" t="s">
        <v>2682</v>
      </c>
      <c r="C2675" s="2" t="str">
        <f ca="1">IFERROR(__xludf.DUMMYFUNCTION("GOOGLETRANSLATE(B2675, ""en"",""es"")"),"determinación")</f>
        <v>determinación</v>
      </c>
      <c r="D2675" s="2" t="str">
        <f ca="1">IFERROR(__xludf.DUMMYFUNCTION("GOOGLETRANSLATE(B2675,""en"",""ig"")"),"mbo")</f>
        <v>mbo</v>
      </c>
      <c r="E2675" s="2" t="str">
        <f ca="1">IFERROR(__xludf.DUMMYFUNCTION("GOOGLETRANSLATE(B2675,""en"",""fr"")"),"détermination")</f>
        <v>détermination</v>
      </c>
      <c r="F2675" s="2" t="str">
        <f ca="1">IFERROR(__xludf.DUMMYFUNCTION("GOOGLETRANSLATE(B2675,""en"",""it"")"),"determinazione")</f>
        <v>determinazione</v>
      </c>
      <c r="G2675" s="2" t="str">
        <f ca="1">IFERROR(__xludf.DUMMYFUNCTION("GOOGLETRANSLATE(B2675,""en"",""de"")"),"Bestimmung")</f>
        <v>Bestimmung</v>
      </c>
      <c r="H2675" s="2" t="str">
        <f ca="1">IFERROR(__xludf.DUMMYFUNCTION("GOOGLETRANSLATE(B2675,""en"",""zh"")"),"决心")</f>
        <v>决心</v>
      </c>
      <c r="I2675" s="2" t="str">
        <f ca="1">IFERROR(__xludf.DUMMYFUNCTION("GOOGLETRANSLATE(B2675,""en"",""gd"")"),"Co-dhùnadh")</f>
        <v>Co-dhùnadh</v>
      </c>
    </row>
    <row r="2676" spans="1:9" ht="14.25" customHeight="1" x14ac:dyDescent="0.3">
      <c r="A2676" s="2">
        <v>2675</v>
      </c>
      <c r="B2676" s="3" t="s">
        <v>2683</v>
      </c>
      <c r="C2676" s="2" t="str">
        <f ca="1">IFERROR(__xludf.DUMMYFUNCTION("GOOGLETRANSLATE(B2676, ""en"",""es"")"),"en total")</f>
        <v>en total</v>
      </c>
      <c r="D2676" s="2" t="str">
        <f ca="1">IFERROR(__xludf.DUMMYFUNCTION("GOOGLETRANSLATE(B2676,""en"",""ig"")"),"hadum")</f>
        <v>hadum</v>
      </c>
      <c r="E2676" s="2" t="str">
        <f ca="1">IFERROR(__xludf.DUMMYFUNCTION("GOOGLETRANSLATE(B2676,""en"",""fr"")"),"tout à fait")</f>
        <v>tout à fait</v>
      </c>
      <c r="F2676" s="2" t="str">
        <f ca="1">IFERROR(__xludf.DUMMYFUNCTION("GOOGLETRANSLATE(B2676,""en"",""it"")"),"del tutto")</f>
        <v>del tutto</v>
      </c>
      <c r="G2676" s="2" t="str">
        <f ca="1">IFERROR(__xludf.DUMMYFUNCTION("GOOGLETRANSLATE(B2676,""en"",""de"")"),"insgesamt")</f>
        <v>insgesamt</v>
      </c>
      <c r="H2676" s="2" t="str">
        <f ca="1">IFERROR(__xludf.DUMMYFUNCTION("GOOGLETRANSLATE(B2676,""en"",""zh"")"),"共")</f>
        <v>共</v>
      </c>
      <c r="I2676" s="2" t="str">
        <f ca="1">IFERROR(__xludf.DUMMYFUNCTION("GOOGLETRANSLATE(B2676,""en"",""gd"")"),"gu tur")</f>
        <v>gu tur</v>
      </c>
    </row>
    <row r="2677" spans="1:9" ht="14.25" customHeight="1" x14ac:dyDescent="0.3">
      <c r="A2677" s="2">
        <v>2676</v>
      </c>
      <c r="B2677" s="3" t="s">
        <v>2684</v>
      </c>
      <c r="C2677" s="2" t="str">
        <f ca="1">IFERROR(__xludf.DUMMYFUNCTION("GOOGLETRANSLATE(B2677, ""en"",""es"")"),"ficción")</f>
        <v>ficción</v>
      </c>
      <c r="D2677" s="2" t="str">
        <f ca="1">IFERROR(__xludf.DUMMYFUNCTION("GOOGLETRANSLATE(B2677,""en"",""ig"")"),"agwa")</f>
        <v>agwa</v>
      </c>
      <c r="E2677" s="2" t="str">
        <f ca="1">IFERROR(__xludf.DUMMYFUNCTION("GOOGLETRANSLATE(B2677,""en"",""fr"")"),"fiction")</f>
        <v>fiction</v>
      </c>
      <c r="F2677" s="2" t="str">
        <f ca="1">IFERROR(__xludf.DUMMYFUNCTION("GOOGLETRANSLATE(B2677,""en"",""it"")"),"Fiction")</f>
        <v>Fiction</v>
      </c>
      <c r="G2677" s="2" t="str">
        <f ca="1">IFERROR(__xludf.DUMMYFUNCTION("GOOGLETRANSLATE(B2677,""en"",""de"")"),"Fiktion")</f>
        <v>Fiktion</v>
      </c>
      <c r="H2677" s="2" t="str">
        <f ca="1">IFERROR(__xludf.DUMMYFUNCTION("GOOGLETRANSLATE(B2677,""en"",""zh"")"),"小说")</f>
        <v>小说</v>
      </c>
      <c r="I2677" s="2" t="str">
        <f ca="1">IFERROR(__xludf.DUMMYFUNCTION("GOOGLETRANSLATE(B2677,""en"",""gd"")"),"Ficsean")</f>
        <v>Ficsean</v>
      </c>
    </row>
    <row r="2678" spans="1:9" ht="14.25" customHeight="1" x14ac:dyDescent="0.3">
      <c r="A2678" s="2">
        <v>2677</v>
      </c>
      <c r="B2678" s="3" t="s">
        <v>2685</v>
      </c>
      <c r="C2678" s="2" t="str">
        <f ca="1">IFERROR(__xludf.DUMMYFUNCTION("GOOGLETRANSLATE(B2678, ""en"",""es"")"),"alfombra")</f>
        <v>alfombra</v>
      </c>
      <c r="D2678" s="2" t="str">
        <f ca="1">IFERROR(__xludf.DUMMYFUNCTION("GOOGLETRANSLATE(B2678,""en"",""ig"")"),"kapeeti")</f>
        <v>kapeeti</v>
      </c>
      <c r="E2678" s="2" t="str">
        <f ca="1">IFERROR(__xludf.DUMMYFUNCTION("GOOGLETRANSLATE(B2678,""en"",""fr"")"),"tapis")</f>
        <v>tapis</v>
      </c>
      <c r="F2678" s="2" t="str">
        <f ca="1">IFERROR(__xludf.DUMMYFUNCTION("GOOGLETRANSLATE(B2678,""en"",""it"")"),"tappeto")</f>
        <v>tappeto</v>
      </c>
      <c r="G2678" s="2" t="str">
        <f ca="1">IFERROR(__xludf.DUMMYFUNCTION("GOOGLETRANSLATE(B2678,""en"",""de"")"),"Teppich")</f>
        <v>Teppich</v>
      </c>
      <c r="H2678" s="2" t="str">
        <f ca="1">IFERROR(__xludf.DUMMYFUNCTION("GOOGLETRANSLATE(B2678,""en"",""zh"")"),"地毯")</f>
        <v>地毯</v>
      </c>
      <c r="I2678" s="2" t="str">
        <f ca="1">IFERROR(__xludf.DUMMYFUNCTION("GOOGLETRANSLATE(B2678,""en"",""gd"")"),"brat-ùrlair")</f>
        <v>brat-ùrlair</v>
      </c>
    </row>
    <row r="2679" spans="1:9" ht="14.25" customHeight="1" x14ac:dyDescent="0.3">
      <c r="A2679" s="2">
        <v>2678</v>
      </c>
      <c r="B2679" s="3" t="s">
        <v>2686</v>
      </c>
      <c r="C2679" s="2" t="str">
        <f ca="1">IFERROR(__xludf.DUMMYFUNCTION("GOOGLETRANSLATE(B2679, ""en"",""es"")"),"grupo")</f>
        <v>grupo</v>
      </c>
      <c r="D2679" s="2" t="str">
        <f ca="1">IFERROR(__xludf.DUMMYFUNCTION("GOOGLETRANSLATE(B2679,""en"",""ig"")"),"ụyọkọ")</f>
        <v>ụyọkọ</v>
      </c>
      <c r="E2679" s="2" t="str">
        <f ca="1">IFERROR(__xludf.DUMMYFUNCTION("GOOGLETRANSLATE(B2679,""en"",""fr"")"),"grappe")</f>
        <v>grappe</v>
      </c>
      <c r="F2679" s="2" t="str">
        <f ca="1">IFERROR(__xludf.DUMMYFUNCTION("GOOGLETRANSLATE(B2679,""en"",""it"")"),"grappolo")</f>
        <v>grappolo</v>
      </c>
      <c r="G2679" s="2" t="str">
        <f ca="1">IFERROR(__xludf.DUMMYFUNCTION("GOOGLETRANSLATE(B2679,""en"",""de"")"),"Cluster")</f>
        <v>Cluster</v>
      </c>
      <c r="H2679" s="2" t="str">
        <f ca="1">IFERROR(__xludf.DUMMYFUNCTION("GOOGLETRANSLATE(B2679,""en"",""zh"")"),"簇")</f>
        <v>簇</v>
      </c>
      <c r="I2679" s="2" t="str">
        <f ca="1">IFERROR(__xludf.DUMMYFUNCTION("GOOGLETRANSLATE(B2679,""en"",""gd"")"),"brabhsair")</f>
        <v>brabhsair</v>
      </c>
    </row>
    <row r="2680" spans="1:9" ht="14.25" customHeight="1" x14ac:dyDescent="0.3">
      <c r="A2680" s="2">
        <v>2679</v>
      </c>
      <c r="B2680" s="3" t="s">
        <v>2687</v>
      </c>
      <c r="C2680" s="2" t="str">
        <f ca="1">IFERROR(__xludf.DUMMYFUNCTION("GOOGLETRANSLATE(B2680, ""en"",""es"")"),"confusión")</f>
        <v>confusión</v>
      </c>
      <c r="D2680" s="2" t="str">
        <f ca="1">IFERROR(__xludf.DUMMYFUNCTION("GOOGLETRANSLATE(B2680,""en"",""ig"")"),"mmesa anya")</f>
        <v>mmesa anya</v>
      </c>
      <c r="E2680" s="2" t="str">
        <f ca="1">IFERROR(__xludf.DUMMYFUNCTION("GOOGLETRANSLATE(B2680,""en"",""fr"")"),"confusion")</f>
        <v>confusion</v>
      </c>
      <c r="F2680" s="2" t="str">
        <f ca="1">IFERROR(__xludf.DUMMYFUNCTION("GOOGLETRANSLATE(B2680,""en"",""it"")"),"confusione")</f>
        <v>confusione</v>
      </c>
      <c r="G2680" s="2" t="str">
        <f ca="1">IFERROR(__xludf.DUMMYFUNCTION("GOOGLETRANSLATE(B2680,""en"",""de"")"),"Verwirrung")</f>
        <v>Verwirrung</v>
      </c>
      <c r="H2680" s="2" t="str">
        <f ca="1">IFERROR(__xludf.DUMMYFUNCTION("GOOGLETRANSLATE(B2680,""en"",""zh"")"),"困惑")</f>
        <v>困惑</v>
      </c>
      <c r="I2680" s="2" t="str">
        <f ca="1">IFERROR(__xludf.DUMMYFUNCTION("GOOGLETRANSLATE(B2680,""en"",""gd"")"),"troimh-chèile")</f>
        <v>troimh-chèile</v>
      </c>
    </row>
    <row r="2681" spans="1:9" ht="14.25" customHeight="1" x14ac:dyDescent="0.3">
      <c r="A2681" s="2">
        <v>2680</v>
      </c>
      <c r="B2681" s="3" t="s">
        <v>2688</v>
      </c>
      <c r="C2681" s="2" t="str">
        <f ca="1">IFERROR(__xludf.DUMMYFUNCTION("GOOGLETRANSLATE(B2681, ""en"",""es"")"),"apurarse")</f>
        <v>apurarse</v>
      </c>
      <c r="D2681" s="2" t="str">
        <f ca="1">IFERROR(__xludf.DUMMYFUNCTION("GOOGLETRANSLATE(B2681,""en"",""ig"")"),"me osooso")</f>
        <v>me osooso</v>
      </c>
      <c r="E2681" s="2" t="str">
        <f ca="1">IFERROR(__xludf.DUMMYFUNCTION("GOOGLETRANSLATE(B2681,""en"",""fr"")"),"dépêchez-vous")</f>
        <v>dépêchez-vous</v>
      </c>
      <c r="F2681" s="2" t="str">
        <f ca="1">IFERROR(__xludf.DUMMYFUNCTION("GOOGLETRANSLATE(B2681,""en"",""it"")"),"fretta")</f>
        <v>fretta</v>
      </c>
      <c r="G2681" s="2" t="str">
        <f ca="1">IFERROR(__xludf.DUMMYFUNCTION("GOOGLETRANSLATE(B2681,""en"",""de"")"),"beeil dich")</f>
        <v>beeil dich</v>
      </c>
      <c r="H2681" s="2" t="str">
        <f ca="1">IFERROR(__xludf.DUMMYFUNCTION("GOOGLETRANSLATE(B2681,""en"",""zh"")"),"匆忙")</f>
        <v>匆忙</v>
      </c>
      <c r="I2681" s="2" t="str">
        <f ca="1">IFERROR(__xludf.DUMMYFUNCTION("GOOGLETRANSLATE(B2681,""en"",""gd"")"),"cabhag")</f>
        <v>cabhag</v>
      </c>
    </row>
    <row r="2682" spans="1:9" ht="14.25" customHeight="1" x14ac:dyDescent="0.3">
      <c r="A2682" s="2">
        <v>2681</v>
      </c>
      <c r="B2682" s="3" t="s">
        <v>2689</v>
      </c>
      <c r="C2682" s="2" t="str">
        <f ca="1">IFERROR(__xludf.DUMMYFUNCTION("GOOGLETRANSLATE(B2682, ""en"",""es"")"),"lógica")</f>
        <v>lógica</v>
      </c>
      <c r="D2682" s="2" t="str">
        <f ca="1">IFERROR(__xludf.DUMMYFUNCTION("GOOGLETRANSLATE(B2682,""en"",""ig"")"),"uchenso")</f>
        <v>uchenso</v>
      </c>
      <c r="E2682" s="2" t="str">
        <f ca="1">IFERROR(__xludf.DUMMYFUNCTION("GOOGLETRANSLATE(B2682,""en"",""fr"")"),"logique")</f>
        <v>logique</v>
      </c>
      <c r="F2682" s="2" t="str">
        <f ca="1">IFERROR(__xludf.DUMMYFUNCTION("GOOGLETRANSLATE(B2682,""en"",""it"")"),"logica")</f>
        <v>logica</v>
      </c>
      <c r="G2682" s="2" t="str">
        <f ca="1">IFERROR(__xludf.DUMMYFUNCTION("GOOGLETRANSLATE(B2682,""en"",""de"")"),"Logik")</f>
        <v>Logik</v>
      </c>
      <c r="H2682" s="2" t="str">
        <f ca="1">IFERROR(__xludf.DUMMYFUNCTION("GOOGLETRANSLATE(B2682,""en"",""zh"")"),"逻辑")</f>
        <v>逻辑</v>
      </c>
      <c r="I2682" s="2" t="str">
        <f ca="1">IFERROR(__xludf.DUMMYFUNCTION("GOOGLETRANSLATE(B2682,""en"",""gd"")"),"loidsig")</f>
        <v>loidsig</v>
      </c>
    </row>
    <row r="2683" spans="1:9" ht="14.25" customHeight="1" x14ac:dyDescent="0.3">
      <c r="A2683" s="2">
        <v>2682</v>
      </c>
      <c r="B2683" s="3" t="s">
        <v>2690</v>
      </c>
      <c r="C2683" s="2" t="str">
        <f ca="1">IFERROR(__xludf.DUMMYFUNCTION("GOOGLETRANSLATE(B2683, ""en"",""es"")"),"controversial")</f>
        <v>controversial</v>
      </c>
      <c r="D2683" s="2" t="str">
        <f ca="1">IFERROR(__xludf.DUMMYFUNCTION("GOOGLETRANSLATE(B2683,""en"",""ig"")"),"enweghi esemokwu")</f>
        <v>enweghi esemokwu</v>
      </c>
      <c r="E2683" s="2" t="str">
        <f ca="1">IFERROR(__xludf.DUMMYFUNCTION("GOOGLETRANSLATE(B2683,""en"",""fr"")"),"controversé")</f>
        <v>controversé</v>
      </c>
      <c r="F2683" s="2" t="str">
        <f ca="1">IFERROR(__xludf.DUMMYFUNCTION("GOOGLETRANSLATE(B2683,""en"",""it"")"),"controverso")</f>
        <v>controverso</v>
      </c>
      <c r="G2683" s="2" t="str">
        <f ca="1">IFERROR(__xludf.DUMMYFUNCTION("GOOGLETRANSLATE(B2683,""en"",""de"")"),"umstritten")</f>
        <v>umstritten</v>
      </c>
      <c r="H2683" s="2" t="str">
        <f ca="1">IFERROR(__xludf.DUMMYFUNCTION("GOOGLETRANSLATE(B2683,""en"",""zh"")"),"有争议的")</f>
        <v>有争议的</v>
      </c>
      <c r="I2683" s="2" t="str">
        <f ca="1">IFERROR(__xludf.DUMMYFUNCTION("GOOGLETRANSLATE(B2683,""en"",""gd"")"),"connspaideach")</f>
        <v>connspaideach</v>
      </c>
    </row>
    <row r="2684" spans="1:9" ht="14.25" customHeight="1" x14ac:dyDescent="0.3">
      <c r="A2684" s="2">
        <v>2683</v>
      </c>
      <c r="B2684" s="3" t="s">
        <v>2691</v>
      </c>
      <c r="C2684" s="2" t="str">
        <f ca="1">IFERROR(__xludf.DUMMYFUNCTION("GOOGLETRANSLATE(B2684, ""en"",""es"")"),"crudo")</f>
        <v>crudo</v>
      </c>
      <c r="D2684" s="2" t="str">
        <f ca="1">IFERROR(__xludf.DUMMYFUNCTION("GOOGLETRANSLATE(B2684,""en"",""ig"")"),"nke ndu")</f>
        <v>nke ndu</v>
      </c>
      <c r="E2684" s="2" t="str">
        <f ca="1">IFERROR(__xludf.DUMMYFUNCTION("GOOGLETRANSLATE(B2684,""en"",""fr"")"),"brut")</f>
        <v>brut</v>
      </c>
      <c r="F2684" s="2" t="str">
        <f ca="1">IFERROR(__xludf.DUMMYFUNCTION("GOOGLETRANSLATE(B2684,""en"",""it"")"),"crudo")</f>
        <v>crudo</v>
      </c>
      <c r="G2684" s="2" t="str">
        <f ca="1">IFERROR(__xludf.DUMMYFUNCTION("GOOGLETRANSLATE(B2684,""en"",""de"")"),"roh")</f>
        <v>roh</v>
      </c>
      <c r="H2684" s="2" t="str">
        <f ca="1">IFERROR(__xludf.DUMMYFUNCTION("GOOGLETRANSLATE(B2684,""en"",""zh"")"),"生的")</f>
        <v>生的</v>
      </c>
      <c r="I2684" s="2" t="str">
        <f ca="1">IFERROR(__xludf.DUMMYFUNCTION("GOOGLETRANSLATE(B2684,""en"",""gd"")"),"amh")</f>
        <v>amh</v>
      </c>
    </row>
    <row r="2685" spans="1:9" ht="14.25" customHeight="1" x14ac:dyDescent="0.3">
      <c r="A2685" s="2">
        <v>2684</v>
      </c>
      <c r="B2685" s="3" t="s">
        <v>2692</v>
      </c>
      <c r="C2685" s="2" t="str">
        <f ca="1">IFERROR(__xludf.DUMMYFUNCTION("GOOGLETRANSLATE(B2685, ""en"",""es"")"),"gramática")</f>
        <v>gramática</v>
      </c>
      <c r="D2685" s="2" t="str">
        <f ca="1">IFERROR(__xludf.DUMMYFUNCTION("GOOGLETRANSLATE(B2685,""en"",""ig"")"),"utoaususu")</f>
        <v>utoaususu</v>
      </c>
      <c r="E2685" s="2" t="str">
        <f ca="1">IFERROR(__xludf.DUMMYFUNCTION("GOOGLETRANSLATE(B2685,""en"",""fr"")"),"grammaire")</f>
        <v>grammaire</v>
      </c>
      <c r="F2685" s="2" t="str">
        <f ca="1">IFERROR(__xludf.DUMMYFUNCTION("GOOGLETRANSLATE(B2685,""en"",""it"")"),"grammatica")</f>
        <v>grammatica</v>
      </c>
      <c r="G2685" s="2" t="str">
        <f ca="1">IFERROR(__xludf.DUMMYFUNCTION("GOOGLETRANSLATE(B2685,""en"",""de"")"),"Grammatik")</f>
        <v>Grammatik</v>
      </c>
      <c r="H2685" s="2" t="str">
        <f ca="1">IFERROR(__xludf.DUMMYFUNCTION("GOOGLETRANSLATE(B2685,""en"",""zh"")"),"语法")</f>
        <v>语法</v>
      </c>
      <c r="I2685" s="2" t="str">
        <f ca="1">IFERROR(__xludf.DUMMYFUNCTION("GOOGLETRANSLATE(B2685,""en"",""gd"")"),"gràmar")</f>
        <v>gràmar</v>
      </c>
    </row>
    <row r="2686" spans="1:9" ht="14.25" customHeight="1" x14ac:dyDescent="0.3">
      <c r="A2686" s="2">
        <v>2685</v>
      </c>
      <c r="B2686" s="3" t="s">
        <v>2693</v>
      </c>
      <c r="C2686" s="2" t="str">
        <f ca="1">IFERROR(__xludf.DUMMYFUNCTION("GOOGLETRANSLATE(B2686, ""en"",""es"")"),"revisar")</f>
        <v>revisar</v>
      </c>
      <c r="D2686" s="2" t="str">
        <f ca="1">IFERROR(__xludf.DUMMYFUNCTION("GOOGLETRANSLATE(B2686,""en"",""ig"")"),"imeghari")</f>
        <v>imeghari</v>
      </c>
      <c r="E2686" s="2" t="str">
        <f ca="1">IFERROR(__xludf.DUMMYFUNCTION("GOOGLETRANSLATE(B2686,""en"",""fr"")"),"réviser")</f>
        <v>réviser</v>
      </c>
      <c r="F2686" s="2" t="str">
        <f ca="1">IFERROR(__xludf.DUMMYFUNCTION("GOOGLETRANSLATE(B2686,""en"",""it"")"),"rivedere")</f>
        <v>rivedere</v>
      </c>
      <c r="G2686" s="2" t="str">
        <f ca="1">IFERROR(__xludf.DUMMYFUNCTION("GOOGLETRANSLATE(B2686,""en"",""de"")"),"überarbeiten")</f>
        <v>überarbeiten</v>
      </c>
      <c r="H2686" s="2" t="str">
        <f ca="1">IFERROR(__xludf.DUMMYFUNCTION("GOOGLETRANSLATE(B2686,""en"",""zh"")"),"修订")</f>
        <v>修订</v>
      </c>
      <c r="I2686" s="2" t="str">
        <f ca="1">IFERROR(__xludf.DUMMYFUNCTION("GOOGLETRANSLATE(B2686,""en"",""gd"")"),"ath-sgrùdadh")</f>
        <v>ath-sgrùdadh</v>
      </c>
    </row>
    <row r="2687" spans="1:9" ht="14.25" customHeight="1" x14ac:dyDescent="0.3">
      <c r="A2687" s="2">
        <v>2686</v>
      </c>
      <c r="B2687" s="3" t="s">
        <v>2694</v>
      </c>
      <c r="C2687" s="2" t="str">
        <f ca="1">IFERROR(__xludf.DUMMYFUNCTION("GOOGLETRANSLATE(B2687, ""en"",""es"")"),"pista")</f>
        <v>pista</v>
      </c>
      <c r="D2687" s="2" t="str">
        <f ca="1">IFERROR(__xludf.DUMMYFUNCTION("GOOGLETRANSLATE(B2687,""en"",""ig"")"),"ndumodu")</f>
        <v>ndumodu</v>
      </c>
      <c r="E2687" s="2" t="str">
        <f ca="1">IFERROR(__xludf.DUMMYFUNCTION("GOOGLETRANSLATE(B2687,""en"",""fr"")"),"indice")</f>
        <v>indice</v>
      </c>
      <c r="F2687" s="2" t="str">
        <f ca="1">IFERROR(__xludf.DUMMYFUNCTION("GOOGLETRANSLATE(B2687,""en"",""it"")"),"suggerimento")</f>
        <v>suggerimento</v>
      </c>
      <c r="G2687" s="2" t="str">
        <f ca="1">IFERROR(__xludf.DUMMYFUNCTION("GOOGLETRANSLATE(B2687,""en"",""de"")"),"Hinweis")</f>
        <v>Hinweis</v>
      </c>
      <c r="H2687" s="2" t="str">
        <f ca="1">IFERROR(__xludf.DUMMYFUNCTION("GOOGLETRANSLATE(B2687,""en"",""zh"")"),"暗示")</f>
        <v>暗示</v>
      </c>
      <c r="I2687" s="2" t="str">
        <f ca="1">IFERROR(__xludf.DUMMYFUNCTION("GOOGLETRANSLATE(B2687,""en"",""gd"")"),"HINT")</f>
        <v>HINT</v>
      </c>
    </row>
    <row r="2688" spans="1:9" ht="14.25" customHeight="1" x14ac:dyDescent="0.3">
      <c r="A2688" s="2">
        <v>2687</v>
      </c>
      <c r="B2688" s="3" t="s">
        <v>2695</v>
      </c>
      <c r="C2688" s="2" t="str">
        <f ca="1">IFERROR(__xludf.DUMMYFUNCTION("GOOGLETRANSLATE(B2688, ""en"",""es"")"),"gancho")</f>
        <v>gancho</v>
      </c>
      <c r="D2688" s="2" t="str">
        <f ca="1">IFERROR(__xludf.DUMMYFUNCTION("GOOGLETRANSLATE(B2688,""en"",""ig"")"),"ngu")</f>
        <v>ngu</v>
      </c>
      <c r="E2688" s="2" t="str">
        <f ca="1">IFERROR(__xludf.DUMMYFUNCTION("GOOGLETRANSLATE(B2688,""en"",""fr"")"),"crochet")</f>
        <v>crochet</v>
      </c>
      <c r="F2688" s="2" t="str">
        <f ca="1">IFERROR(__xludf.DUMMYFUNCTION("GOOGLETRANSLATE(B2688,""en"",""it"")"),"gancio")</f>
        <v>gancio</v>
      </c>
      <c r="G2688" s="2" t="str">
        <f ca="1">IFERROR(__xludf.DUMMYFUNCTION("GOOGLETRANSLATE(B2688,""en"",""de"")"),"Haken")</f>
        <v>Haken</v>
      </c>
      <c r="H2688" s="2" t="str">
        <f ca="1">IFERROR(__xludf.DUMMYFUNCTION("GOOGLETRANSLATE(B2688,""en"",""zh"")"),"钩")</f>
        <v>钩</v>
      </c>
      <c r="I2688" s="2" t="str">
        <f ca="1">IFERROR(__xludf.DUMMYFUNCTION("GOOGLETRANSLATE(B2688,""en"",""gd"")"),"dubhan")</f>
        <v>dubhan</v>
      </c>
    </row>
    <row r="2689" spans="1:9" ht="14.25" customHeight="1" x14ac:dyDescent="0.3">
      <c r="A2689" s="2">
        <v>2688</v>
      </c>
      <c r="B2689" s="3" t="s">
        <v>2696</v>
      </c>
      <c r="C2689" s="2" t="str">
        <f ca="1">IFERROR(__xludf.DUMMYFUNCTION("GOOGLETRANSLATE(B2689, ""en"",""es"")"),"campana")</f>
        <v>campana</v>
      </c>
      <c r="D2689" s="2" t="str">
        <f ca="1">IFERROR(__xludf.DUMMYFUNCTION("GOOGLETRANSLATE(B2689,""en"",""ig"")"),"mgbirigba")</f>
        <v>mgbirigba</v>
      </c>
      <c r="E2689" s="2" t="str">
        <f ca="1">IFERROR(__xludf.DUMMYFUNCTION("GOOGLETRANSLATE(B2689,""en"",""fr"")"),"cloche")</f>
        <v>cloche</v>
      </c>
      <c r="F2689" s="2" t="str">
        <f ca="1">IFERROR(__xludf.DUMMYFUNCTION("GOOGLETRANSLATE(B2689,""en"",""it"")"),"campana")</f>
        <v>campana</v>
      </c>
      <c r="G2689" s="2" t="str">
        <f ca="1">IFERROR(__xludf.DUMMYFUNCTION("GOOGLETRANSLATE(B2689,""en"",""de"")"),"Glocke")</f>
        <v>Glocke</v>
      </c>
      <c r="H2689" s="2" t="str">
        <f ca="1">IFERROR(__xludf.DUMMYFUNCTION("GOOGLETRANSLATE(B2689,""en"",""zh"")"),"钟")</f>
        <v>钟</v>
      </c>
      <c r="I2689" s="2" t="str">
        <f ca="1">IFERROR(__xludf.DUMMYFUNCTION("GOOGLETRANSLATE(B2689,""en"",""gd"")"),"clag")</f>
        <v>clag</v>
      </c>
    </row>
    <row r="2690" spans="1:9" ht="14.25" customHeight="1" x14ac:dyDescent="0.3">
      <c r="A2690" s="2">
        <v>2689</v>
      </c>
      <c r="B2690" s="3" t="s">
        <v>2697</v>
      </c>
      <c r="C2690" s="2" t="str">
        <f ca="1">IFERROR(__xludf.DUMMYFUNCTION("GOOGLETRANSLATE(B2690, ""en"",""es"")"),"líquido")</f>
        <v>líquido</v>
      </c>
      <c r="D2690" s="2" t="str">
        <f ca="1">IFERROR(__xludf.DUMMYFUNCTION("GOOGLETRANSLATE(B2690,""en"",""ig"")"),"kemmiri")</f>
        <v>kemmiri</v>
      </c>
      <c r="E2690" s="2" t="str">
        <f ca="1">IFERROR(__xludf.DUMMYFUNCTION("GOOGLETRANSLATE(B2690,""en"",""fr"")"),"liquide")</f>
        <v>liquide</v>
      </c>
      <c r="F2690" s="2" t="str">
        <f ca="1">IFERROR(__xludf.DUMMYFUNCTION("GOOGLETRANSLATE(B2690,""en"",""it"")"),"liquido")</f>
        <v>liquido</v>
      </c>
      <c r="G2690" s="2" t="str">
        <f ca="1">IFERROR(__xludf.DUMMYFUNCTION("GOOGLETRANSLATE(B2690,""en"",""de"")"),"flüssig")</f>
        <v>flüssig</v>
      </c>
      <c r="H2690" s="2" t="str">
        <f ca="1">IFERROR(__xludf.DUMMYFUNCTION("GOOGLETRANSLATE(B2690,""en"",""zh"")"),"液体")</f>
        <v>液体</v>
      </c>
      <c r="I2690" s="2" t="str">
        <f ca="1">IFERROR(__xludf.DUMMYFUNCTION("GOOGLETRANSLATE(B2690,""en"",""gd"")"),"leaghan")</f>
        <v>leaghan</v>
      </c>
    </row>
    <row r="2691" spans="1:9" ht="14.25" customHeight="1" x14ac:dyDescent="0.3">
      <c r="A2691" s="2">
        <v>2690</v>
      </c>
      <c r="B2691" s="3" t="s">
        <v>2698</v>
      </c>
      <c r="C2691" s="2" t="str">
        <f ca="1">IFERROR(__xludf.DUMMYFUNCTION("GOOGLETRANSLATE(B2691, ""en"",""es"")"),"pánico")</f>
        <v>pánico</v>
      </c>
      <c r="D2691" s="2" t="str">
        <f ca="1">IFERROR(__xludf.DUMMYFUNCTION("GOOGLETRANSLATE(B2691,""en"",""ig"")"),"ụjọ")</f>
        <v>ụjọ</v>
      </c>
      <c r="E2691" s="2" t="str">
        <f ca="1">IFERROR(__xludf.DUMMYFUNCTION("GOOGLETRANSLATE(B2691,""en"",""fr"")"),"panique")</f>
        <v>panique</v>
      </c>
      <c r="F2691" s="2" t="str">
        <f ca="1">IFERROR(__xludf.DUMMYFUNCTION("GOOGLETRANSLATE(B2691,""en"",""it"")"),"panico")</f>
        <v>panico</v>
      </c>
      <c r="G2691" s="2" t="str">
        <f ca="1">IFERROR(__xludf.DUMMYFUNCTION("GOOGLETRANSLATE(B2691,""en"",""de"")"),"Panik")</f>
        <v>Panik</v>
      </c>
      <c r="H2691" s="2" t="str">
        <f ca="1">IFERROR(__xludf.DUMMYFUNCTION("GOOGLETRANSLATE(B2691,""en"",""zh"")"),"恐慌")</f>
        <v>恐慌</v>
      </c>
      <c r="I2691" s="2" t="str">
        <f ca="1">IFERROR(__xludf.DUMMYFUNCTION("GOOGLETRANSLATE(B2691,""en"",""gd"")"),"maoim")</f>
        <v>maoim</v>
      </c>
    </row>
    <row r="2692" spans="1:9" ht="14.25" customHeight="1" x14ac:dyDescent="0.3">
      <c r="A2692" s="2">
        <v>2691</v>
      </c>
      <c r="B2692" s="3" t="s">
        <v>2699</v>
      </c>
      <c r="C2692" s="2" t="str">
        <f ca="1">IFERROR(__xludf.DUMMYFUNCTION("GOOGLETRANSLATE(B2692, ""en"",""es"")"),"tío")</f>
        <v>tío</v>
      </c>
      <c r="D2692" s="2" t="str">
        <f ca="1">IFERROR(__xludf.DUMMYFUNCTION("GOOGLETRANSLATE(B2692,""en"",""ig"")"),"nwanne nwoke nna")</f>
        <v>nwanne nwoke nna</v>
      </c>
      <c r="E2692" s="2" t="str">
        <f ca="1">IFERROR(__xludf.DUMMYFUNCTION("GOOGLETRANSLATE(B2692,""en"",""fr"")"),"oncle")</f>
        <v>oncle</v>
      </c>
      <c r="F2692" s="2" t="str">
        <f ca="1">IFERROR(__xludf.DUMMYFUNCTION("GOOGLETRANSLATE(B2692,""en"",""it"")"),"zio")</f>
        <v>zio</v>
      </c>
      <c r="G2692" s="2" t="str">
        <f ca="1">IFERROR(__xludf.DUMMYFUNCTION("GOOGLETRANSLATE(B2692,""en"",""de"")"),"Onkel")</f>
        <v>Onkel</v>
      </c>
      <c r="H2692" s="2" t="str">
        <f ca="1">IFERROR(__xludf.DUMMYFUNCTION("GOOGLETRANSLATE(B2692,""en"",""zh"")"),"叔叔")</f>
        <v>叔叔</v>
      </c>
      <c r="I2692" s="2" t="str">
        <f ca="1">IFERROR(__xludf.DUMMYFUNCTION("GOOGLETRANSLATE(B2692,""en"",""gd"")"),"Uncle")</f>
        <v>Uncle</v>
      </c>
    </row>
    <row r="2693" spans="1:9" ht="14.25" customHeight="1" x14ac:dyDescent="0.3">
      <c r="A2693" s="2">
        <v>2692</v>
      </c>
      <c r="B2693" s="3" t="s">
        <v>2700</v>
      </c>
      <c r="C2693" s="2" t="str">
        <f ca="1">IFERROR(__xludf.DUMMYFUNCTION("GOOGLETRANSLATE(B2693, ""en"",""es"")"),"arroz")</f>
        <v>arroz</v>
      </c>
      <c r="D2693" s="2" t="str">
        <f ca="1">IFERROR(__xludf.DUMMYFUNCTION("GOOGLETRANSLATE(B2693,""en"",""ig"")"),"ereesi")</f>
        <v>ereesi</v>
      </c>
      <c r="E2693" s="2" t="str">
        <f ca="1">IFERROR(__xludf.DUMMYFUNCTION("GOOGLETRANSLATE(B2693,""en"",""fr"")"),"riz")</f>
        <v>riz</v>
      </c>
      <c r="F2693" s="2" t="str">
        <f ca="1">IFERROR(__xludf.DUMMYFUNCTION("GOOGLETRANSLATE(B2693,""en"",""it"")"),"riso")</f>
        <v>riso</v>
      </c>
      <c r="G2693" s="2" t="str">
        <f ca="1">IFERROR(__xludf.DUMMYFUNCTION("GOOGLETRANSLATE(B2693,""en"",""de"")"),"Reis")</f>
        <v>Reis</v>
      </c>
      <c r="H2693" s="2" t="str">
        <f ca="1">IFERROR(__xludf.DUMMYFUNCTION("GOOGLETRANSLATE(B2693,""en"",""zh"")"),"米")</f>
        <v>米</v>
      </c>
      <c r="I2693" s="2" t="str">
        <f ca="1">IFERROR(__xludf.DUMMYFUNCTION("GOOGLETRANSLATE(B2693,""en"",""gd"")"),"rus")</f>
        <v>rus</v>
      </c>
    </row>
    <row r="2694" spans="1:9" ht="14.25" customHeight="1" x14ac:dyDescent="0.3">
      <c r="A2694" s="2">
        <v>2693</v>
      </c>
      <c r="B2694" s="3" t="s">
        <v>2701</v>
      </c>
      <c r="C2694" s="2" t="str">
        <f ca="1">IFERROR(__xludf.DUMMYFUNCTION("GOOGLETRANSLATE(B2694, ""en"",""es"")"),"pendiente")</f>
        <v>pendiente</v>
      </c>
      <c r="D2694" s="2" t="str">
        <f ca="1">IFERROR(__xludf.DUMMYFUNCTION("GOOGLETRANSLATE(B2694,""en"",""ig"")"),"ndida")</f>
        <v>ndida</v>
      </c>
      <c r="E2694" s="2" t="str">
        <f ca="1">IFERROR(__xludf.DUMMYFUNCTION("GOOGLETRANSLATE(B2694,""en"",""fr"")"),"pente")</f>
        <v>pente</v>
      </c>
      <c r="F2694" s="2" t="str">
        <f ca="1">IFERROR(__xludf.DUMMYFUNCTION("GOOGLETRANSLATE(B2694,""en"",""it"")"),"pendenza")</f>
        <v>pendenza</v>
      </c>
      <c r="G2694" s="2" t="str">
        <f ca="1">IFERROR(__xludf.DUMMYFUNCTION("GOOGLETRANSLATE(B2694,""en"",""de"")"),"Neigung")</f>
        <v>Neigung</v>
      </c>
      <c r="H2694" s="2" t="str">
        <f ca="1">IFERROR(__xludf.DUMMYFUNCTION("GOOGLETRANSLATE(B2694,""en"",""zh"")"),"坡")</f>
        <v>坡</v>
      </c>
      <c r="I2694" s="2" t="str">
        <f ca="1">IFERROR(__xludf.DUMMYFUNCTION("GOOGLETRANSLATE(B2694,""en"",""gd"")"),"leathad")</f>
        <v>leathad</v>
      </c>
    </row>
    <row r="2695" spans="1:9" ht="14.25" customHeight="1" x14ac:dyDescent="0.3">
      <c r="A2695" s="2">
        <v>2694</v>
      </c>
      <c r="B2695" s="3" t="s">
        <v>2702</v>
      </c>
      <c r="C2695" s="2" t="str">
        <f ca="1">IFERROR(__xludf.DUMMYFUNCTION("GOOGLETRANSLATE(B2695, ""en"",""es"")"),"felicidad")</f>
        <v>felicidad</v>
      </c>
      <c r="D2695" s="2" t="str">
        <f ca="1">IFERROR(__xludf.DUMMYFUNCTION("GOOGLETRANSLATE(B2695,""en"",""ig"")"),"obi anuri")</f>
        <v>obi anuri</v>
      </c>
      <c r="E2695" s="2" t="str">
        <f ca="1">IFERROR(__xludf.DUMMYFUNCTION("GOOGLETRANSLATE(B2695,""en"",""fr"")"),"bonheur")</f>
        <v>bonheur</v>
      </c>
      <c r="F2695" s="2" t="str">
        <f ca="1">IFERROR(__xludf.DUMMYFUNCTION("GOOGLETRANSLATE(B2695,""en"",""it"")"),"felicità")</f>
        <v>felicità</v>
      </c>
      <c r="G2695" s="2" t="str">
        <f ca="1">IFERROR(__xludf.DUMMYFUNCTION("GOOGLETRANSLATE(B2695,""en"",""de"")"),"Glück")</f>
        <v>Glück</v>
      </c>
      <c r="H2695" s="2" t="str">
        <f ca="1">IFERROR(__xludf.DUMMYFUNCTION("GOOGLETRANSLATE(B2695,""en"",""zh"")"),"幸福")</f>
        <v>幸福</v>
      </c>
      <c r="I2695" s="2" t="str">
        <f ca="1">IFERROR(__xludf.DUMMYFUNCTION("GOOGLETRANSLATE(B2695,""en"",""gd"")"),"Sonas")</f>
        <v>Sonas</v>
      </c>
    </row>
    <row r="2696" spans="1:9" ht="14.25" customHeight="1" x14ac:dyDescent="0.3">
      <c r="A2696" s="2">
        <v>2695</v>
      </c>
      <c r="B2696" s="3" t="s">
        <v>2703</v>
      </c>
      <c r="C2696" s="2" t="str">
        <f ca="1">IFERROR(__xludf.DUMMYFUNCTION("GOOGLETRANSLATE(B2696, ""en"",""es"")"),"genuino")</f>
        <v>genuino</v>
      </c>
      <c r="D2696" s="2" t="str">
        <f ca="1">IFERROR(__xludf.DUMMYFUNCTION("GOOGLETRANSLATE(B2696,""en"",""ig"")"),"keoma")</f>
        <v>keoma</v>
      </c>
      <c r="E2696" s="2" t="str">
        <f ca="1">IFERROR(__xludf.DUMMYFUNCTION("GOOGLETRANSLATE(B2696,""en"",""fr"")"),"authentique")</f>
        <v>authentique</v>
      </c>
      <c r="F2696" s="2" t="str">
        <f ca="1">IFERROR(__xludf.DUMMYFUNCTION("GOOGLETRANSLATE(B2696,""en"",""it"")"),"autentico")</f>
        <v>autentico</v>
      </c>
      <c r="G2696" s="2" t="str">
        <f ca="1">IFERROR(__xludf.DUMMYFUNCTION("GOOGLETRANSLATE(B2696,""en"",""de"")"),"echt")</f>
        <v>echt</v>
      </c>
      <c r="H2696" s="2" t="str">
        <f ca="1">IFERROR(__xludf.DUMMYFUNCTION("GOOGLETRANSLATE(B2696,""en"",""zh"")"),"真的")</f>
        <v>真的</v>
      </c>
      <c r="I2696" s="2" t="str">
        <f ca="1">IFERROR(__xludf.DUMMYFUNCTION("GOOGLETRANSLATE(B2696,""en"",""gd"")"),"fìor")</f>
        <v>fìor</v>
      </c>
    </row>
    <row r="2697" spans="1:9" ht="14.25" customHeight="1" x14ac:dyDescent="0.3">
      <c r="A2697" s="2">
        <v>2696</v>
      </c>
      <c r="B2697" s="3" t="s">
        <v>2704</v>
      </c>
      <c r="C2697" s="2" t="str">
        <f ca="1">IFERROR(__xludf.DUMMYFUNCTION("GOOGLETRANSLATE(B2697, ""en"",""es"")"),"buque")</f>
        <v>buque</v>
      </c>
      <c r="D2697" s="2" t="str">
        <f ca="1">IFERROR(__xludf.DUMMYFUNCTION("GOOGLETRANSLATE(B2697,""en"",""ig"")"),"nkwari")</f>
        <v>nkwari</v>
      </c>
      <c r="E2697" s="2" t="str">
        <f ca="1">IFERROR(__xludf.DUMMYFUNCTION("GOOGLETRANSLATE(B2697,""en"",""fr"")"),"navire")</f>
        <v>navire</v>
      </c>
      <c r="F2697" s="2" t="str">
        <f ca="1">IFERROR(__xludf.DUMMYFUNCTION("GOOGLETRANSLATE(B2697,""en"",""it"")"),"nave")</f>
        <v>nave</v>
      </c>
      <c r="G2697" s="2" t="str">
        <f ca="1">IFERROR(__xludf.DUMMYFUNCTION("GOOGLETRANSLATE(B2697,""en"",""de"")"),"Schiff")</f>
        <v>Schiff</v>
      </c>
      <c r="H2697" s="2" t="str">
        <f ca="1">IFERROR(__xludf.DUMMYFUNCTION("GOOGLETRANSLATE(B2697,""en"",""zh"")"),"血管")</f>
        <v>血管</v>
      </c>
      <c r="I2697" s="2" t="str">
        <f ca="1">IFERROR(__xludf.DUMMYFUNCTION("GOOGLETRANSLATE(B2697,""en"",""gd"")"),"soitheach")</f>
        <v>soitheach</v>
      </c>
    </row>
    <row r="2698" spans="1:9" ht="14.25" customHeight="1" x14ac:dyDescent="0.3">
      <c r="A2698" s="2">
        <v>2697</v>
      </c>
      <c r="B2698" s="3" t="s">
        <v>2705</v>
      </c>
      <c r="C2698" s="2" t="str">
        <f ca="1">IFERROR(__xludf.DUMMYFUNCTION("GOOGLETRANSLATE(B2698, ""en"",""es"")"),"verbo")</f>
        <v>verbo</v>
      </c>
      <c r="D2698" s="2" t="str">
        <f ca="1">IFERROR(__xludf.DUMMYFUNCTION("GOOGLETRANSLATE(B2698,""en"",""ig"")"),"ngwaa")</f>
        <v>ngwaa</v>
      </c>
      <c r="E2698" s="2" t="str">
        <f ca="1">IFERROR(__xludf.DUMMYFUNCTION("GOOGLETRANSLATE(B2698,""en"",""fr"")"),"verbe")</f>
        <v>verbe</v>
      </c>
      <c r="F2698" s="2" t="str">
        <f ca="1">IFERROR(__xludf.DUMMYFUNCTION("GOOGLETRANSLATE(B2698,""en"",""it"")"),"verbo")</f>
        <v>verbo</v>
      </c>
      <c r="G2698" s="2" t="str">
        <f ca="1">IFERROR(__xludf.DUMMYFUNCTION("GOOGLETRANSLATE(B2698,""en"",""de"")"),"Verb")</f>
        <v>Verb</v>
      </c>
      <c r="H2698" s="2" t="str">
        <f ca="1">IFERROR(__xludf.DUMMYFUNCTION("GOOGLETRANSLATE(B2698,""en"",""zh"")"),"动词")</f>
        <v>动词</v>
      </c>
      <c r="I2698" s="2" t="str">
        <f ca="1">IFERROR(__xludf.DUMMYFUNCTION("GOOGLETRANSLATE(B2698,""en"",""gd"")"),"gnìomhair")</f>
        <v>gnìomhair</v>
      </c>
    </row>
    <row r="2699" spans="1:9" ht="14.25" customHeight="1" x14ac:dyDescent="0.3">
      <c r="A2699" s="2">
        <v>2698</v>
      </c>
      <c r="B2699" s="3" t="s">
        <v>2706</v>
      </c>
      <c r="C2699" s="2" t="str">
        <f ca="1">IFERROR(__xludf.DUMMYFUNCTION("GOOGLETRANSLATE(B2699, ""en"",""es"")"),"contar")</f>
        <v>contar</v>
      </c>
      <c r="D2699" s="2" t="str">
        <f ca="1">IFERROR(__xludf.DUMMYFUNCTION("GOOGLETRANSLATE(B2699,""en"",""ig"")"),"itu onu")</f>
        <v>itu onu</v>
      </c>
      <c r="E2699" s="2" t="str">
        <f ca="1">IFERROR(__xludf.DUMMYFUNCTION("GOOGLETRANSLATE(B2699,""en"",""fr"")"),"compter")</f>
        <v>compter</v>
      </c>
      <c r="F2699" s="2" t="str">
        <f ca="1">IFERROR(__xludf.DUMMYFUNCTION("GOOGLETRANSLATE(B2699,""en"",""it"")"),"considerare")</f>
        <v>considerare</v>
      </c>
      <c r="G2699" s="2" t="str">
        <f ca="1">IFERROR(__xludf.DUMMYFUNCTION("GOOGLETRANSLATE(B2699,""en"",""de"")"),"rechnen")</f>
        <v>rechnen</v>
      </c>
      <c r="H2699" s="2" t="str">
        <f ca="1">IFERROR(__xludf.DUMMYFUNCTION("GOOGLETRANSLATE(B2699,""en"",""zh"")"),"估计")</f>
        <v>估计</v>
      </c>
      <c r="I2699" s="2" t="str">
        <f ca="1">IFERROR(__xludf.DUMMYFUNCTION("GOOGLETRANSLATE(B2699,""en"",""gd"")"),"Reckon")</f>
        <v>Reckon</v>
      </c>
    </row>
    <row r="2700" spans="1:9" ht="14.25" customHeight="1" x14ac:dyDescent="0.3">
      <c r="A2700" s="2">
        <v>2699</v>
      </c>
      <c r="B2700" s="3" t="s">
        <v>2707</v>
      </c>
      <c r="C2700" s="2" t="str">
        <f ca="1">IFERROR(__xludf.DUMMYFUNCTION("GOOGLETRANSLATE(B2700, ""en"",""es"")"),"tonto")</f>
        <v>tonto</v>
      </c>
      <c r="D2700" s="2" t="str">
        <f ca="1">IFERROR(__xludf.DUMMYFUNCTION("GOOGLETRANSLATE(B2700,""en"",""ig"")"),"mgbede")</f>
        <v>mgbede</v>
      </c>
      <c r="E2700" s="2" t="str">
        <f ca="1">IFERROR(__xludf.DUMMYFUNCTION("GOOGLETRANSLATE(B2700,""en"",""fr"")"),"idiot")</f>
        <v>idiot</v>
      </c>
      <c r="F2700" s="2" t="str">
        <f ca="1">IFERROR(__xludf.DUMMYFUNCTION("GOOGLETRANSLATE(B2700,""en"",""it"")"),"sciocco")</f>
        <v>sciocco</v>
      </c>
      <c r="G2700" s="2" t="str">
        <f ca="1">IFERROR(__xludf.DUMMYFUNCTION("GOOGLETRANSLATE(B2700,""en"",""de"")"),"dumm")</f>
        <v>dumm</v>
      </c>
      <c r="H2700" s="2" t="str">
        <f ca="1">IFERROR(__xludf.DUMMYFUNCTION("GOOGLETRANSLATE(B2700,""en"",""zh"")"),"愚蠢的")</f>
        <v>愚蠢的</v>
      </c>
      <c r="I2700" s="2" t="str">
        <f ca="1">IFERROR(__xludf.DUMMYFUNCTION("GOOGLETRANSLATE(B2700,""en"",""gd"")"),"gòrach")</f>
        <v>gòrach</v>
      </c>
    </row>
    <row r="2701" spans="1:9" ht="14.25" customHeight="1" x14ac:dyDescent="0.3">
      <c r="A2701" s="2">
        <v>2700</v>
      </c>
      <c r="B2701" s="3" t="s">
        <v>2708</v>
      </c>
      <c r="C2701" s="2" t="str">
        <f ca="1">IFERROR(__xludf.DUMMYFUNCTION("GOOGLETRANSLATE(B2701, ""en"",""es"")"),"transporte")</f>
        <v>transporte</v>
      </c>
      <c r="D2701" s="2" t="str">
        <f ca="1">IFERROR(__xludf.DUMMYFUNCTION("GOOGLETRANSLATE(B2701,""en"",""ig"")"),"mbubata")</f>
        <v>mbubata</v>
      </c>
      <c r="E2701" s="2" t="str">
        <f ca="1">IFERROR(__xludf.DUMMYFUNCTION("GOOGLETRANSLATE(B2701,""en"",""fr"")"),"transport")</f>
        <v>transport</v>
      </c>
      <c r="F2701" s="2" t="str">
        <f ca="1">IFERROR(__xludf.DUMMYFUNCTION("GOOGLETRANSLATE(B2701,""en"",""it"")"),"trasporto")</f>
        <v>trasporto</v>
      </c>
      <c r="G2701" s="2" t="str">
        <f ca="1">IFERROR(__xludf.DUMMYFUNCTION("GOOGLETRANSLATE(B2701,""en"",""de"")"),"Transport")</f>
        <v>Transport</v>
      </c>
      <c r="H2701" s="2" t="str">
        <f ca="1">IFERROR(__xludf.DUMMYFUNCTION("GOOGLETRANSLATE(B2701,""en"",""zh"")"),"运输")</f>
        <v>运输</v>
      </c>
      <c r="I2701" s="2" t="str">
        <f ca="1">IFERROR(__xludf.DUMMYFUNCTION("GOOGLETRANSLATE(B2701,""en"",""gd"")"),"Còmhdhail")</f>
        <v>Còmhdhail</v>
      </c>
    </row>
    <row r="2702" spans="1:9" ht="14.25" customHeight="1" x14ac:dyDescent="0.3">
      <c r="A2702" s="2">
        <v>2701</v>
      </c>
      <c r="B2702" s="3" t="s">
        <v>2709</v>
      </c>
      <c r="C2702" s="2" t="str">
        <f ca="1">IFERROR(__xludf.DUMMYFUNCTION("GOOGLETRANSLATE(B2702, ""en"",""es"")"),"puerto")</f>
        <v>puerto</v>
      </c>
      <c r="D2702" s="2" t="str">
        <f ca="1">IFERROR(__xludf.DUMMYFUNCTION("GOOGLETRANSLATE(B2702,""en"",""ig"")"),"habo")</f>
        <v>habo</v>
      </c>
      <c r="E2702" s="2" t="str">
        <f ca="1">IFERROR(__xludf.DUMMYFUNCTION("GOOGLETRANSLATE(B2702,""en"",""fr"")"),"port")</f>
        <v>port</v>
      </c>
      <c r="F2702" s="2" t="str">
        <f ca="1">IFERROR(__xludf.DUMMYFUNCTION("GOOGLETRANSLATE(B2702,""en"",""it"")"),"porto")</f>
        <v>porto</v>
      </c>
      <c r="G2702" s="2" t="str">
        <f ca="1">IFERROR(__xludf.DUMMYFUNCTION("GOOGLETRANSLATE(B2702,""en"",""de"")"),"Hafen")</f>
        <v>Hafen</v>
      </c>
      <c r="H2702" s="2" t="str">
        <f ca="1">IFERROR(__xludf.DUMMYFUNCTION("GOOGLETRANSLATE(B2702,""en"",""zh"")"),"港口")</f>
        <v>港口</v>
      </c>
      <c r="I2702" s="2" t="str">
        <f ca="1">IFERROR(__xludf.DUMMYFUNCTION("GOOGLETRANSLATE(B2702,""en"",""gd"")"),"Acarsaid")</f>
        <v>Acarsaid</v>
      </c>
    </row>
    <row r="2703" spans="1:9" ht="14.25" customHeight="1" x14ac:dyDescent="0.3">
      <c r="A2703" s="2">
        <v>2702</v>
      </c>
      <c r="B2703" s="3" t="s">
        <v>2710</v>
      </c>
      <c r="C2703" s="2" t="str">
        <f ca="1">IFERROR(__xludf.DUMMYFUNCTION("GOOGLETRANSLATE(B2703, ""en"",""es"")"),"comedia")</f>
        <v>comedia</v>
      </c>
      <c r="D2703" s="2" t="str">
        <f ca="1">IFERROR(__xludf.DUMMYFUNCTION("GOOGLETRANSLATE(B2703,""en"",""ig"")"),"ntochi")</f>
        <v>ntochi</v>
      </c>
      <c r="E2703" s="2" t="str">
        <f ca="1">IFERROR(__xludf.DUMMYFUNCTION("GOOGLETRANSLATE(B2703,""en"",""fr"")"),"comédie")</f>
        <v>comédie</v>
      </c>
      <c r="F2703" s="2" t="str">
        <f ca="1">IFERROR(__xludf.DUMMYFUNCTION("GOOGLETRANSLATE(B2703,""en"",""it"")"),"commedia")</f>
        <v>commedia</v>
      </c>
      <c r="G2703" s="2" t="str">
        <f ca="1">IFERROR(__xludf.DUMMYFUNCTION("GOOGLETRANSLATE(B2703,""en"",""de"")"),"Komödie")</f>
        <v>Komödie</v>
      </c>
      <c r="H2703" s="2" t="str">
        <f ca="1">IFERROR(__xludf.DUMMYFUNCTION("GOOGLETRANSLATE(B2703,""en"",""zh"")"),"喜剧")</f>
        <v>喜剧</v>
      </c>
      <c r="I2703" s="2" t="str">
        <f ca="1">IFERROR(__xludf.DUMMYFUNCTION("GOOGLETRANSLATE(B2703,""en"",""gd"")"),"Comadaidh")</f>
        <v>Comadaidh</v>
      </c>
    </row>
    <row r="2704" spans="1:9" ht="14.25" customHeight="1" x14ac:dyDescent="0.3">
      <c r="A2704" s="2">
        <v>2703</v>
      </c>
      <c r="B2704" s="3" t="s">
        <v>2711</v>
      </c>
      <c r="C2704" s="2" t="str">
        <f ca="1">IFERROR(__xludf.DUMMYFUNCTION("GOOGLETRANSLATE(B2704, ""en"",""es"")"),"perseguir")</f>
        <v>perseguir</v>
      </c>
      <c r="D2704" s="2" t="str">
        <f ca="1">IFERROR(__xludf.DUMMYFUNCTION("GOOGLETRANSLATE(B2704,""en"",""ig"")"),"ichu oso")</f>
        <v>ichu oso</v>
      </c>
      <c r="E2704" s="2" t="str">
        <f ca="1">IFERROR(__xludf.DUMMYFUNCTION("GOOGLETRANSLATE(B2704,""en"",""fr"")"),"chasse")</f>
        <v>chasse</v>
      </c>
      <c r="F2704" s="2" t="str">
        <f ca="1">IFERROR(__xludf.DUMMYFUNCTION("GOOGLETRANSLATE(B2704,""en"",""it"")"),"caccia")</f>
        <v>caccia</v>
      </c>
      <c r="G2704" s="2" t="str">
        <f ca="1">IFERROR(__xludf.DUMMYFUNCTION("GOOGLETRANSLATE(B2704,""en"",""de"")"),"Verfolgungsjagd")</f>
        <v>Verfolgungsjagd</v>
      </c>
      <c r="H2704" s="2" t="str">
        <f ca="1">IFERROR(__xludf.DUMMYFUNCTION("GOOGLETRANSLATE(B2704,""en"",""zh"")"),"追赶")</f>
        <v>追赶</v>
      </c>
      <c r="I2704" s="2" t="str">
        <f ca="1">IFERROR(__xludf.DUMMYFUNCTION("GOOGLETRANSLATE(B2704,""en"",""gd"")"),"ruaig")</f>
        <v>ruaig</v>
      </c>
    </row>
    <row r="2705" spans="1:9" ht="14.25" customHeight="1" x14ac:dyDescent="0.3">
      <c r="A2705" s="2">
        <v>2704</v>
      </c>
      <c r="B2705" s="3" t="s">
        <v>2712</v>
      </c>
      <c r="C2705" s="2" t="str">
        <f ca="1">IFERROR(__xludf.DUMMYFUNCTION("GOOGLETRANSLATE(B2705, ""en"",""es"")"),"almacenamiento")</f>
        <v>almacenamiento</v>
      </c>
      <c r="D2705" s="2" t="str">
        <f ca="1">IFERROR(__xludf.DUMMYFUNCTION("GOOGLETRANSLATE(B2705,""en"",""ig"")"),"storaji")</f>
        <v>storaji</v>
      </c>
      <c r="E2705" s="2" t="str">
        <f ca="1">IFERROR(__xludf.DUMMYFUNCTION("GOOGLETRANSLATE(B2705,""en"",""fr"")"),"stockage")</f>
        <v>stockage</v>
      </c>
      <c r="F2705" s="2" t="str">
        <f ca="1">IFERROR(__xludf.DUMMYFUNCTION("GOOGLETRANSLATE(B2705,""en"",""it"")"),"magazzinaggio")</f>
        <v>magazzinaggio</v>
      </c>
      <c r="G2705" s="2" t="str">
        <f ca="1">IFERROR(__xludf.DUMMYFUNCTION("GOOGLETRANSLATE(B2705,""en"",""de"")"),"Lagerung")</f>
        <v>Lagerung</v>
      </c>
      <c r="H2705" s="2" t="str">
        <f ca="1">IFERROR(__xludf.DUMMYFUNCTION("GOOGLETRANSLATE(B2705,""en"",""zh"")"),"贮存")</f>
        <v>贮存</v>
      </c>
      <c r="I2705" s="2" t="str">
        <f ca="1">IFERROR(__xludf.DUMMYFUNCTION("GOOGLETRANSLATE(B2705,""en"",""gd"")"),"stòradh")</f>
        <v>stòradh</v>
      </c>
    </row>
    <row r="2706" spans="1:9" ht="14.25" customHeight="1" x14ac:dyDescent="0.3">
      <c r="A2706" s="2">
        <v>2705</v>
      </c>
      <c r="B2706" s="3" t="s">
        <v>2713</v>
      </c>
      <c r="C2706" s="2" t="str">
        <f ca="1">IFERROR(__xludf.DUMMYFUNCTION("GOOGLETRANSLATE(B2706, ""en"",""es"")"),"universo")</f>
        <v>universo</v>
      </c>
      <c r="D2706" s="2" t="str">
        <f ca="1">IFERROR(__xludf.DUMMYFUNCTION("GOOGLETRANSLATE(B2706,""en"",""ig"")"),"eluuwa")</f>
        <v>eluuwa</v>
      </c>
      <c r="E2706" s="2" t="str">
        <f ca="1">IFERROR(__xludf.DUMMYFUNCTION("GOOGLETRANSLATE(B2706,""en"",""fr"")"),"univers")</f>
        <v>univers</v>
      </c>
      <c r="F2706" s="2" t="str">
        <f ca="1">IFERROR(__xludf.DUMMYFUNCTION("GOOGLETRANSLATE(B2706,""en"",""it"")"),"universo")</f>
        <v>universo</v>
      </c>
      <c r="G2706" s="2" t="str">
        <f ca="1">IFERROR(__xludf.DUMMYFUNCTION("GOOGLETRANSLATE(B2706,""en"",""de"")"),"Universum")</f>
        <v>Universum</v>
      </c>
      <c r="H2706" s="2" t="str">
        <f ca="1">IFERROR(__xludf.DUMMYFUNCTION("GOOGLETRANSLATE(B2706,""en"",""zh"")"),"宇宙")</f>
        <v>宇宙</v>
      </c>
      <c r="I2706" s="2" t="str">
        <f ca="1">IFERROR(__xludf.DUMMYFUNCTION("GOOGLETRANSLATE(B2706,""en"",""gd"")"),"Cruinn-""Cruinne")</f>
        <v>Cruinn-"Cruinne</v>
      </c>
    </row>
    <row r="2707" spans="1:9" ht="14.25" customHeight="1" x14ac:dyDescent="0.3">
      <c r="A2707" s="2">
        <v>2706</v>
      </c>
      <c r="B2707" s="3" t="s">
        <v>2714</v>
      </c>
      <c r="C2707" s="2" t="str">
        <f ca="1">IFERROR(__xludf.DUMMYFUNCTION("GOOGLETRANSLATE(B2707, ""en"",""es"")"),"horrible")</f>
        <v>horrible</v>
      </c>
      <c r="D2707" s="2" t="str">
        <f ca="1">IFERROR(__xludf.DUMMYFUNCTION("GOOGLETRANSLATE(B2707,""en"",""ig"")"),"kediegwu")</f>
        <v>kediegwu</v>
      </c>
      <c r="E2707" s="2" t="str">
        <f ca="1">IFERROR(__xludf.DUMMYFUNCTION("GOOGLETRANSLATE(B2707,""en"",""fr"")"),"horrible")</f>
        <v>horrible</v>
      </c>
      <c r="F2707" s="2" t="str">
        <f ca="1">IFERROR(__xludf.DUMMYFUNCTION("GOOGLETRANSLATE(B2707,""en"",""it"")"),"orribile")</f>
        <v>orribile</v>
      </c>
      <c r="G2707" s="2" t="str">
        <f ca="1">IFERROR(__xludf.DUMMYFUNCTION("GOOGLETRANSLATE(B2707,""en"",""de"")"),"schrecklich")</f>
        <v>schrecklich</v>
      </c>
      <c r="H2707" s="2" t="str">
        <f ca="1">IFERROR(__xludf.DUMMYFUNCTION("GOOGLETRANSLATE(B2707,""en"",""zh"")"),"可怕")</f>
        <v>可怕</v>
      </c>
      <c r="I2707" s="2" t="str">
        <f ca="1">IFERROR(__xludf.DUMMYFUNCTION("GOOGLETRANSLATE(B2707,""en"",""gd"")"),"uamhasach")</f>
        <v>uamhasach</v>
      </c>
    </row>
    <row r="2708" spans="1:9" ht="14.25" customHeight="1" x14ac:dyDescent="0.3">
      <c r="A2708" s="2">
        <v>2707</v>
      </c>
      <c r="B2708" s="3" t="s">
        <v>2715</v>
      </c>
      <c r="C2708" s="2" t="str">
        <f ca="1">IFERROR(__xludf.DUMMYFUNCTION("GOOGLETRANSLATE(B2708, ""en"",""es"")"),"oveja")</f>
        <v>oveja</v>
      </c>
      <c r="D2708" s="2" t="str">
        <f ca="1">IFERROR(__xludf.DUMMYFUNCTION("GOOGLETRANSLATE(B2708,""en"",""ig"")"),"aturu")</f>
        <v>aturu</v>
      </c>
      <c r="E2708" s="2" t="str">
        <f ca="1">IFERROR(__xludf.DUMMYFUNCTION("GOOGLETRANSLATE(B2708,""en"",""fr"")"),"mouton")</f>
        <v>mouton</v>
      </c>
      <c r="F2708" s="2" t="str">
        <f ca="1">IFERROR(__xludf.DUMMYFUNCTION("GOOGLETRANSLATE(B2708,""en"",""it"")"),"pecora")</f>
        <v>pecora</v>
      </c>
      <c r="G2708" s="2" t="str">
        <f ca="1">IFERROR(__xludf.DUMMYFUNCTION("GOOGLETRANSLATE(B2708,""en"",""de"")"),"Schaf")</f>
        <v>Schaf</v>
      </c>
      <c r="H2708" s="2" t="str">
        <f ca="1">IFERROR(__xludf.DUMMYFUNCTION("GOOGLETRANSLATE(B2708,""en"",""zh"")"),"羊")</f>
        <v>羊</v>
      </c>
      <c r="I2708" s="2" t="str">
        <f ca="1">IFERROR(__xludf.DUMMYFUNCTION("GOOGLETRANSLATE(B2708,""en"",""gd"")"),"Caoraich")</f>
        <v>Caoraich</v>
      </c>
    </row>
    <row r="2709" spans="1:9" ht="14.25" customHeight="1" x14ac:dyDescent="0.3">
      <c r="A2709" s="2">
        <v>2708</v>
      </c>
      <c r="B2709" s="3" t="s">
        <v>2716</v>
      </c>
      <c r="C2709" s="2" t="str">
        <f ca="1">IFERROR(__xludf.DUMMYFUNCTION("GOOGLETRANSLATE(B2709, ""en"",""es"")"),"amante")</f>
        <v>amante</v>
      </c>
      <c r="D2709" s="2" t="str">
        <f ca="1">IFERROR(__xludf.DUMMYFUNCTION("GOOGLETRANSLATE(B2709,""en"",""ig"")"),"onye aghaghi")</f>
        <v>onye aghaghi</v>
      </c>
      <c r="E2709" s="2" t="str">
        <f ca="1">IFERROR(__xludf.DUMMYFUNCTION("GOOGLETRANSLATE(B2709,""en"",""fr"")"),"amoureux")</f>
        <v>amoureux</v>
      </c>
      <c r="F2709" s="2" t="str">
        <f ca="1">IFERROR(__xludf.DUMMYFUNCTION("GOOGLETRANSLATE(B2709,""en"",""it"")"),"amante")</f>
        <v>amante</v>
      </c>
      <c r="G2709" s="2" t="str">
        <f ca="1">IFERROR(__xludf.DUMMYFUNCTION("GOOGLETRANSLATE(B2709,""en"",""de"")"),"Liebhaber")</f>
        <v>Liebhaber</v>
      </c>
      <c r="H2709" s="2" t="str">
        <f ca="1">IFERROR(__xludf.DUMMYFUNCTION("GOOGLETRANSLATE(B2709,""en"",""zh"")"),"情人")</f>
        <v>情人</v>
      </c>
      <c r="I2709" s="2" t="str">
        <f ca="1">IFERROR(__xludf.DUMMYFUNCTION("GOOGLETRANSLATE(B2709,""en"",""gd"")"),"Lover")</f>
        <v>Lover</v>
      </c>
    </row>
    <row r="2710" spans="1:9" ht="14.25" customHeight="1" x14ac:dyDescent="0.3">
      <c r="A2710" s="2">
        <v>2709</v>
      </c>
      <c r="B2710" s="3" t="s">
        <v>2717</v>
      </c>
      <c r="C2710" s="2" t="str">
        <f ca="1">IFERROR(__xludf.DUMMYFUNCTION("GOOGLETRANSLATE(B2710, ""en"",""es"")"),"rata")</f>
        <v>rata</v>
      </c>
      <c r="D2710" s="2" t="str">
        <f ca="1">IFERROR(__xludf.DUMMYFUNCTION("GOOGLETRANSLATE(B2710,""en"",""ig"")"),"oke")</f>
        <v>oke</v>
      </c>
      <c r="E2710" s="2" t="str">
        <f ca="1">IFERROR(__xludf.DUMMYFUNCTION("GOOGLETRANSLATE(B2710,""en"",""fr"")"),"rat")</f>
        <v>rat</v>
      </c>
      <c r="F2710" s="2" t="str">
        <f ca="1">IFERROR(__xludf.DUMMYFUNCTION("GOOGLETRANSLATE(B2710,""en"",""it"")"),"ratto")</f>
        <v>ratto</v>
      </c>
      <c r="G2710" s="2" t="str">
        <f ca="1">IFERROR(__xludf.DUMMYFUNCTION("GOOGLETRANSLATE(B2710,""en"",""de"")"),"Ratte")</f>
        <v>Ratte</v>
      </c>
      <c r="H2710" s="2" t="str">
        <f ca="1">IFERROR(__xludf.DUMMYFUNCTION("GOOGLETRANSLATE(B2710,""en"",""zh"")"),"鼠")</f>
        <v>鼠</v>
      </c>
      <c r="I2710" s="2" t="str">
        <f ca="1">IFERROR(__xludf.DUMMYFUNCTION("GOOGLETRANSLATE(B2710,""en"",""gd"")"),"radan")</f>
        <v>radan</v>
      </c>
    </row>
    <row r="2711" spans="1:9" ht="14.25" customHeight="1" x14ac:dyDescent="0.3">
      <c r="A2711" s="2">
        <v>2710</v>
      </c>
      <c r="B2711" s="3" t="s">
        <v>2718</v>
      </c>
      <c r="C2711" s="2" t="str">
        <f ca="1">IFERROR(__xludf.DUMMYFUNCTION("GOOGLETRANSLATE(B2711, ""en"",""es"")"),"retrato")</f>
        <v>retrato</v>
      </c>
      <c r="D2711" s="2" t="str">
        <f ca="1">IFERROR(__xludf.DUMMYFUNCTION("GOOGLETRANSLATE(B2711,""en"",""ig"")"),"onu uzo")</f>
        <v>onu uzo</v>
      </c>
      <c r="E2711" s="2" t="str">
        <f ca="1">IFERROR(__xludf.DUMMYFUNCTION("GOOGLETRANSLATE(B2711,""en"",""fr"")"),"portrait")</f>
        <v>portrait</v>
      </c>
      <c r="F2711" s="2" t="str">
        <f ca="1">IFERROR(__xludf.DUMMYFUNCTION("GOOGLETRANSLATE(B2711,""en"",""it"")"),"ritratto")</f>
        <v>ritratto</v>
      </c>
      <c r="G2711" s="2" t="str">
        <f ca="1">IFERROR(__xludf.DUMMYFUNCTION("GOOGLETRANSLATE(B2711,""en"",""de"")"),"Porträt")</f>
        <v>Porträt</v>
      </c>
      <c r="H2711" s="2" t="str">
        <f ca="1">IFERROR(__xludf.DUMMYFUNCTION("GOOGLETRANSLATE(B2711,""en"",""zh"")"),"肖像")</f>
        <v>肖像</v>
      </c>
      <c r="I2711" s="2" t="str">
        <f ca="1">IFERROR(__xludf.DUMMYFUNCTION("GOOGLETRANSLATE(B2711,""en"",""gd"")"),"Dealbh")</f>
        <v>Dealbh</v>
      </c>
    </row>
    <row r="2712" spans="1:9" ht="14.25" customHeight="1" x14ac:dyDescent="0.3">
      <c r="A2712" s="2">
        <v>2711</v>
      </c>
      <c r="B2712" s="3" t="s">
        <v>2719</v>
      </c>
      <c r="C2712" s="2" t="str">
        <f ca="1">IFERROR(__xludf.DUMMYFUNCTION("GOOGLETRANSLATE(B2712, ""en"",""es"")"),"inocente")</f>
        <v>inocente</v>
      </c>
      <c r="D2712" s="2" t="str">
        <f ca="1">IFERROR(__xludf.DUMMYFUNCTION("GOOGLETRANSLATE(B2712,""en"",""ig"")"),"keaka idi ocha")</f>
        <v>keaka idi ocha</v>
      </c>
      <c r="E2712" s="2" t="str">
        <f ca="1">IFERROR(__xludf.DUMMYFUNCTION("GOOGLETRANSLATE(B2712,""en"",""fr"")"),"innocent")</f>
        <v>innocent</v>
      </c>
      <c r="F2712" s="2" t="str">
        <f ca="1">IFERROR(__xludf.DUMMYFUNCTION("GOOGLETRANSLATE(B2712,""en"",""it"")"),"innocente")</f>
        <v>innocente</v>
      </c>
      <c r="G2712" s="2" t="str">
        <f ca="1">IFERROR(__xludf.DUMMYFUNCTION("GOOGLETRANSLATE(B2712,""en"",""de"")"),"unschuldig")</f>
        <v>unschuldig</v>
      </c>
      <c r="H2712" s="2" t="str">
        <f ca="1">IFERROR(__xludf.DUMMYFUNCTION("GOOGLETRANSLATE(B2712,""en"",""zh"")"),"清白的")</f>
        <v>清白的</v>
      </c>
      <c r="I2712" s="2" t="str">
        <f ca="1">IFERROR(__xludf.DUMMYFUNCTION("GOOGLETRANSLATE(B2712,""en"",""gd"")"),"Innocent")</f>
        <v>Innocent</v>
      </c>
    </row>
    <row r="2713" spans="1:9" ht="14.25" customHeight="1" x14ac:dyDescent="0.3">
      <c r="A2713" s="2">
        <v>2712</v>
      </c>
      <c r="B2713" s="3" t="s">
        <v>2720</v>
      </c>
      <c r="C2713" s="2" t="str">
        <f ca="1">IFERROR(__xludf.DUMMYFUNCTION("GOOGLETRANSLATE(B2713, ""en"",""es"")"),"sustituto")</f>
        <v>sustituto</v>
      </c>
      <c r="D2713" s="2" t="str">
        <f ca="1">IFERROR(__xludf.DUMMYFUNCTION("GOOGLETRANSLATE(B2713,""en"",""ig"")"),"idochi")</f>
        <v>idochi</v>
      </c>
      <c r="E2713" s="2" t="str">
        <f ca="1">IFERROR(__xludf.DUMMYFUNCTION("GOOGLETRANSLATE(B2713,""en"",""fr"")"),"remplaçant")</f>
        <v>remplaçant</v>
      </c>
      <c r="F2713" s="2" t="str">
        <f ca="1">IFERROR(__xludf.DUMMYFUNCTION("GOOGLETRANSLATE(B2713,""en"",""it"")"),"sostituire")</f>
        <v>sostituire</v>
      </c>
      <c r="G2713" s="2" t="str">
        <f ca="1">IFERROR(__xludf.DUMMYFUNCTION("GOOGLETRANSLATE(B2713,""en"",""de"")"),"Ersatz")</f>
        <v>Ersatz</v>
      </c>
      <c r="H2713" s="2" t="str">
        <f ca="1">IFERROR(__xludf.DUMMYFUNCTION("GOOGLETRANSLATE(B2713,""en"",""zh"")"),"代替")</f>
        <v>代替</v>
      </c>
      <c r="I2713" s="2" t="str">
        <f ca="1">IFERROR(__xludf.DUMMYFUNCTION("GOOGLETRANSLATE(B2713,""en"",""gd"")"),"Cuir an àite")</f>
        <v>Cuir an àite</v>
      </c>
    </row>
    <row r="2714" spans="1:9" ht="14.25" customHeight="1" x14ac:dyDescent="0.3">
      <c r="A2714" s="2">
        <v>2713</v>
      </c>
      <c r="B2714" s="3" t="s">
        <v>2721</v>
      </c>
      <c r="C2714" s="2" t="str">
        <f ca="1">IFERROR(__xludf.DUMMYFUNCTION("GOOGLETRANSLATE(B2714, ""en"",""es"")"),"suplemento")</f>
        <v>suplemento</v>
      </c>
      <c r="D2714" s="2" t="str">
        <f ca="1">IFERROR(__xludf.DUMMYFUNCTION("GOOGLETRANSLATE(B2714,""en"",""ig"")"),"mmejuputa")</f>
        <v>mmejuputa</v>
      </c>
      <c r="E2714" s="2" t="str">
        <f ca="1">IFERROR(__xludf.DUMMYFUNCTION("GOOGLETRANSLATE(B2714,""en"",""fr"")"),"supplément")</f>
        <v>supplément</v>
      </c>
      <c r="F2714" s="2" t="str">
        <f ca="1">IFERROR(__xludf.DUMMYFUNCTION("GOOGLETRANSLATE(B2714,""en"",""it"")"),"supplemento")</f>
        <v>supplemento</v>
      </c>
      <c r="G2714" s="2" t="str">
        <f ca="1">IFERROR(__xludf.DUMMYFUNCTION("GOOGLETRANSLATE(B2714,""en"",""de"")"),"Ergänzung")</f>
        <v>Ergänzung</v>
      </c>
      <c r="H2714" s="2" t="str">
        <f ca="1">IFERROR(__xludf.DUMMYFUNCTION("GOOGLETRANSLATE(B2714,""en"",""zh"")"),"补充")</f>
        <v>补充</v>
      </c>
      <c r="I2714" s="2" t="str">
        <f ca="1">IFERROR(__xludf.DUMMYFUNCTION("GOOGLETRANSLATE(B2714,""en"",""gd"")"),"Leasachadh")</f>
        <v>Leasachadh</v>
      </c>
    </row>
    <row r="2715" spans="1:9" ht="14.25" customHeight="1" x14ac:dyDescent="0.3">
      <c r="A2715" s="2">
        <v>2714</v>
      </c>
      <c r="B2715" s="3" t="s">
        <v>2722</v>
      </c>
      <c r="C2715" s="2" t="str">
        <f ca="1">IFERROR(__xludf.DUMMYFUNCTION("GOOGLETRANSLATE(B2715, ""en"",""es"")"),"ajustamiento")</f>
        <v>ajustamiento</v>
      </c>
      <c r="D2715" s="2" t="str">
        <f ca="1">IFERROR(__xludf.DUMMYFUNCTION("GOOGLETRANSLATE(B2715,""en"",""ig"")"),"mmezi")</f>
        <v>mmezi</v>
      </c>
      <c r="E2715" s="2" t="str">
        <f ca="1">IFERROR(__xludf.DUMMYFUNCTION("GOOGLETRANSLATE(B2715,""en"",""fr"")"),"ajustement")</f>
        <v>ajustement</v>
      </c>
      <c r="F2715" s="2" t="str">
        <f ca="1">IFERROR(__xludf.DUMMYFUNCTION("GOOGLETRANSLATE(B2715,""en"",""it"")"),"Regolazione")</f>
        <v>Regolazione</v>
      </c>
      <c r="G2715" s="2" t="str">
        <f ca="1">IFERROR(__xludf.DUMMYFUNCTION("GOOGLETRANSLATE(B2715,""en"",""de"")"),"Einstellung")</f>
        <v>Einstellung</v>
      </c>
      <c r="H2715" s="2" t="str">
        <f ca="1">IFERROR(__xludf.DUMMYFUNCTION("GOOGLETRANSLATE(B2715,""en"",""zh"")"),"调整")</f>
        <v>调整</v>
      </c>
      <c r="I2715" s="2" t="str">
        <f ca="1">IFERROR(__xludf.DUMMYFUNCTION("GOOGLETRANSLATE(B2715,""en"",""gd"")"),"Atharrachadh")</f>
        <v>Atharrachadh</v>
      </c>
    </row>
    <row r="2716" spans="1:9" ht="14.25" customHeight="1" x14ac:dyDescent="0.3">
      <c r="A2716" s="2">
        <v>2715</v>
      </c>
      <c r="B2716" s="3" t="s">
        <v>2723</v>
      </c>
      <c r="C2716" s="2" t="str">
        <f ca="1">IFERROR(__xludf.DUMMYFUNCTION("GOOGLETRANSLATE(B2716, ""en"",""es"")"),"razonablemente")</f>
        <v>razonablemente</v>
      </c>
      <c r="D2716" s="2" t="str">
        <f ca="1">IFERROR(__xludf.DUMMYFUNCTION("GOOGLETRANSLATE(B2716,""en"",""ig"")"),"nke oma")</f>
        <v>nke oma</v>
      </c>
      <c r="E2716" s="2" t="str">
        <f ca="1">IFERROR(__xludf.DUMMYFUNCTION("GOOGLETRANSLATE(B2716,""en"",""fr"")"),"raisonnablement")</f>
        <v>raisonnablement</v>
      </c>
      <c r="F2716" s="2" t="str">
        <f ca="1">IFERROR(__xludf.DUMMYFUNCTION("GOOGLETRANSLATE(B2716,""en"",""it"")"),"ragionevolmente")</f>
        <v>ragionevolmente</v>
      </c>
      <c r="G2716" s="2" t="str">
        <f ca="1">IFERROR(__xludf.DUMMYFUNCTION("GOOGLETRANSLATE(B2716,""en"",""de"")"),"vernünftig")</f>
        <v>vernünftig</v>
      </c>
      <c r="H2716" s="2" t="str">
        <f ca="1">IFERROR(__xludf.DUMMYFUNCTION("GOOGLETRANSLATE(B2716,""en"",""zh"")"),"合理")</f>
        <v>合理</v>
      </c>
      <c r="I2716" s="2" t="str">
        <f ca="1">IFERROR(__xludf.DUMMYFUNCTION("GOOGLETRANSLATE(B2716,""en"",""gd"")"),"gu reusanta")</f>
        <v>gu reusanta</v>
      </c>
    </row>
    <row r="2717" spans="1:9" ht="14.25" customHeight="1" x14ac:dyDescent="0.3">
      <c r="A2717" s="2">
        <v>2716</v>
      </c>
      <c r="B2717" s="3" t="s">
        <v>2724</v>
      </c>
      <c r="C2717" s="2" t="str">
        <f ca="1">IFERROR(__xludf.DUMMYFUNCTION("GOOGLETRANSLATE(B2717, ""en"",""es"")"),"filtrar")</f>
        <v>filtrar</v>
      </c>
      <c r="D2717" s="2" t="str">
        <f ca="1">IFERROR(__xludf.DUMMYFUNCTION("GOOGLETRANSLATE(B2717,""en"",""ig"")"),"iyo")</f>
        <v>iyo</v>
      </c>
      <c r="E2717" s="2" t="str">
        <f ca="1">IFERROR(__xludf.DUMMYFUNCTION("GOOGLETRANSLATE(B2717,""en"",""fr"")"),"filtre")</f>
        <v>filtre</v>
      </c>
      <c r="F2717" s="2" t="str">
        <f ca="1">IFERROR(__xludf.DUMMYFUNCTION("GOOGLETRANSLATE(B2717,""en"",""it"")"),"filtro")</f>
        <v>filtro</v>
      </c>
      <c r="G2717" s="2" t="str">
        <f ca="1">IFERROR(__xludf.DUMMYFUNCTION("GOOGLETRANSLATE(B2717,""en"",""de"")"),"Filter")</f>
        <v>Filter</v>
      </c>
      <c r="H2717" s="2" t="str">
        <f ca="1">IFERROR(__xludf.DUMMYFUNCTION("GOOGLETRANSLATE(B2717,""en"",""zh"")"),"筛选")</f>
        <v>筛选</v>
      </c>
      <c r="I2717" s="2" t="str">
        <f ca="1">IFERROR(__xludf.DUMMYFUNCTION("GOOGLETRANSLATE(B2717,""en"",""gd"")"),"Filter")</f>
        <v>Filter</v>
      </c>
    </row>
    <row r="2718" spans="1:9" ht="14.25" customHeight="1" x14ac:dyDescent="0.3">
      <c r="A2718" s="2">
        <v>2717</v>
      </c>
      <c r="B2718" s="3" t="s">
        <v>2725</v>
      </c>
      <c r="C2718" s="2" t="str">
        <f ca="1">IFERROR(__xludf.DUMMYFUNCTION("GOOGLETRANSLATE(B2718, ""en"",""es"")"),"flexible")</f>
        <v>flexible</v>
      </c>
      <c r="D2718" s="2" t="str">
        <f ca="1">IFERROR(__xludf.DUMMYFUNCTION("GOOGLETRANSLATE(B2718,""en"",""ig"")"),"kemmeghari ahu")</f>
        <v>kemmeghari ahu</v>
      </c>
      <c r="E2718" s="2" t="str">
        <f ca="1">IFERROR(__xludf.DUMMYFUNCTION("GOOGLETRANSLATE(B2718,""en"",""fr"")"),"flexible")</f>
        <v>flexible</v>
      </c>
      <c r="F2718" s="2" t="str">
        <f ca="1">IFERROR(__xludf.DUMMYFUNCTION("GOOGLETRANSLATE(B2718,""en"",""it"")"),"flessibile")</f>
        <v>flessibile</v>
      </c>
      <c r="G2718" s="2" t="str">
        <f ca="1">IFERROR(__xludf.DUMMYFUNCTION("GOOGLETRANSLATE(B2718,""en"",""de"")"),"flexibel")</f>
        <v>flexibel</v>
      </c>
      <c r="H2718" s="2" t="str">
        <f ca="1">IFERROR(__xludf.DUMMYFUNCTION("GOOGLETRANSLATE(B2718,""en"",""zh"")"),"灵活的")</f>
        <v>灵活的</v>
      </c>
      <c r="I2718" s="2" t="str">
        <f ca="1">IFERROR(__xludf.DUMMYFUNCTION("GOOGLETRANSLATE(B2718,""en"",""gd"")"),"sùbailte")</f>
        <v>sùbailte</v>
      </c>
    </row>
    <row r="2719" spans="1:9" ht="14.25" customHeight="1" x14ac:dyDescent="0.3">
      <c r="A2719" s="2">
        <v>2718</v>
      </c>
      <c r="B2719" s="3" t="s">
        <v>2726</v>
      </c>
      <c r="C2719" s="2" t="str">
        <f ca="1">IFERROR(__xludf.DUMMYFUNCTION("GOOGLETRANSLATE(B2719, ""en"",""es"")"),"abstracto")</f>
        <v>abstracto</v>
      </c>
      <c r="D2719" s="2" t="str">
        <f ca="1">IFERROR(__xludf.DUMMYFUNCTION("GOOGLETRANSLATE(B2719,""en"",""ig"")"),"umi edemede")</f>
        <v>umi edemede</v>
      </c>
      <c r="E2719" s="2" t="str">
        <f ca="1">IFERROR(__xludf.DUMMYFUNCTION("GOOGLETRANSLATE(B2719,""en"",""fr"")"),"abstrait")</f>
        <v>abstrait</v>
      </c>
      <c r="F2719" s="2" t="str">
        <f ca="1">IFERROR(__xludf.DUMMYFUNCTION("GOOGLETRANSLATE(B2719,""en"",""it"")"),"astratto")</f>
        <v>astratto</v>
      </c>
      <c r="G2719" s="2" t="str">
        <f ca="1">IFERROR(__xludf.DUMMYFUNCTION("GOOGLETRANSLATE(B2719,""en"",""de"")"),"abstrakt")</f>
        <v>abstrakt</v>
      </c>
      <c r="H2719" s="2" t="str">
        <f ca="1">IFERROR(__xludf.DUMMYFUNCTION("GOOGLETRANSLATE(B2719,""en"",""zh"")"),"抽象的")</f>
        <v>抽象的</v>
      </c>
      <c r="I2719" s="2" t="str">
        <f ca="1">IFERROR(__xludf.DUMMYFUNCTION("GOOGLETRANSLATE(B2719,""en"",""gd"")"),"eas-chruthach")</f>
        <v>eas-chruthach</v>
      </c>
    </row>
    <row r="2720" spans="1:9" ht="14.25" customHeight="1" x14ac:dyDescent="0.3">
      <c r="A2720" s="2">
        <v>2719</v>
      </c>
      <c r="B2720" s="3" t="s">
        <v>2727</v>
      </c>
      <c r="C2720" s="2" t="str">
        <f ca="1">IFERROR(__xludf.DUMMYFUNCTION("GOOGLETRANSLATE(B2720, ""en"",""es"")"),"carpa")</f>
        <v>carpa</v>
      </c>
      <c r="D2720" s="2" t="str">
        <f ca="1">IFERROR(__xludf.DUMMYFUNCTION("GOOGLETRANSLATE(B2720,""en"",""ig"")"),"tent")</f>
        <v>tent</v>
      </c>
      <c r="E2720" s="2" t="str">
        <f ca="1">IFERROR(__xludf.DUMMYFUNCTION("GOOGLETRANSLATE(B2720,""en"",""fr"")"),"tente")</f>
        <v>tente</v>
      </c>
      <c r="F2720" s="2" t="str">
        <f ca="1">IFERROR(__xludf.DUMMYFUNCTION("GOOGLETRANSLATE(B2720,""en"",""it"")"),"tenda")</f>
        <v>tenda</v>
      </c>
      <c r="G2720" s="2" t="str">
        <f ca="1">IFERROR(__xludf.DUMMYFUNCTION("GOOGLETRANSLATE(B2720,""en"",""de"")"),"Zelt")</f>
        <v>Zelt</v>
      </c>
      <c r="H2720" s="2" t="str">
        <f ca="1">IFERROR(__xludf.DUMMYFUNCTION("GOOGLETRANSLATE(B2720,""en"",""zh"")"),"帐篷")</f>
        <v>帐篷</v>
      </c>
      <c r="I2720" s="2" t="str">
        <f ca="1">IFERROR(__xludf.DUMMYFUNCTION("GOOGLETRANSLATE(B2720,""en"",""gd"")"),"teanta")</f>
        <v>teanta</v>
      </c>
    </row>
    <row r="2721" spans="1:9" ht="14.25" customHeight="1" x14ac:dyDescent="0.3">
      <c r="A2721" s="2">
        <v>2720</v>
      </c>
      <c r="B2721" s="3" t="s">
        <v>2728</v>
      </c>
      <c r="C2721" s="2" t="str">
        <f ca="1">IFERROR(__xludf.DUMMYFUNCTION("GOOGLETRANSLATE(B2721, ""en"",""es"")"),"preciso")</f>
        <v>preciso</v>
      </c>
      <c r="D2721" s="2" t="str">
        <f ca="1">IFERROR(__xludf.DUMMYFUNCTION("GOOGLETRANSLATE(B2721,""en"",""ig"")"),"ime nkenke")</f>
        <v>ime nkenke</v>
      </c>
      <c r="E2721" s="2" t="str">
        <f ca="1">IFERROR(__xludf.DUMMYFUNCTION("GOOGLETRANSLATE(B2721,""en"",""fr"")"),"précis")</f>
        <v>précis</v>
      </c>
      <c r="F2721" s="2" t="str">
        <f ca="1">IFERROR(__xludf.DUMMYFUNCTION("GOOGLETRANSLATE(B2721,""en"",""it"")"),"preciso")</f>
        <v>preciso</v>
      </c>
      <c r="G2721" s="2" t="str">
        <f ca="1">IFERROR(__xludf.DUMMYFUNCTION("GOOGLETRANSLATE(B2721,""en"",""de"")"),"präzise")</f>
        <v>präzise</v>
      </c>
      <c r="H2721" s="2" t="str">
        <f ca="1">IFERROR(__xludf.DUMMYFUNCTION("GOOGLETRANSLATE(B2721,""en"",""zh"")"),"精确的")</f>
        <v>精确的</v>
      </c>
      <c r="I2721" s="2" t="str">
        <f ca="1">IFERROR(__xludf.DUMMYFUNCTION("GOOGLETRANSLATE(B2721,""en"",""gd"")"),"mionaideach")</f>
        <v>mionaideach</v>
      </c>
    </row>
    <row r="2722" spans="1:9" ht="14.25" customHeight="1" x14ac:dyDescent="0.3">
      <c r="A2722" s="2">
        <v>2721</v>
      </c>
      <c r="B2722" s="3" t="s">
        <v>2729</v>
      </c>
      <c r="C2722" s="2" t="str">
        <f ca="1">IFERROR(__xludf.DUMMYFUNCTION("GOOGLETRANSLATE(B2722, ""en"",""es"")"),"distante")</f>
        <v>distante</v>
      </c>
      <c r="D2722" s="2" t="str">
        <f ca="1">IFERROR(__xludf.DUMMYFUNCTION("GOOGLETRANSLATE(B2722,""en"",""ig"")"),"kentoanya")</f>
        <v>kentoanya</v>
      </c>
      <c r="E2722" s="2" t="str">
        <f ca="1">IFERROR(__xludf.DUMMYFUNCTION("GOOGLETRANSLATE(B2722,""en"",""fr"")"),"loin")</f>
        <v>loin</v>
      </c>
      <c r="F2722" s="2" t="str">
        <f ca="1">IFERROR(__xludf.DUMMYFUNCTION("GOOGLETRANSLATE(B2722,""en"",""it"")"),"distante")</f>
        <v>distante</v>
      </c>
      <c r="G2722" s="2" t="str">
        <f ca="1">IFERROR(__xludf.DUMMYFUNCTION("GOOGLETRANSLATE(B2722,""en"",""de"")"),"entfernt")</f>
        <v>entfernt</v>
      </c>
      <c r="H2722" s="2" t="str">
        <f ca="1">IFERROR(__xludf.DUMMYFUNCTION("GOOGLETRANSLATE(B2722,""en"",""zh"")"),"遥远")</f>
        <v>遥远</v>
      </c>
      <c r="I2722" s="2" t="str">
        <f ca="1">IFERROR(__xludf.DUMMYFUNCTION("GOOGLETRANSLATE(B2722,""en"",""gd"")"),"fad às")</f>
        <v>fad às</v>
      </c>
    </row>
    <row r="2723" spans="1:9" ht="14.25" customHeight="1" x14ac:dyDescent="0.3">
      <c r="A2723" s="2">
        <v>2722</v>
      </c>
      <c r="B2723" s="3" t="s">
        <v>2730</v>
      </c>
      <c r="C2723" s="2" t="str">
        <f ca="1">IFERROR(__xludf.DUMMYFUNCTION("GOOGLETRANSLATE(B2723, ""en"",""es"")"),"extraño")</f>
        <v>extraño</v>
      </c>
      <c r="D2723" s="2" t="str">
        <f ca="1">IFERROR(__xludf.DUMMYFUNCTION("GOOGLETRANSLATE(B2723,""en"",""ig"")"),"onyeobia nwoke")</f>
        <v>onyeobia nwoke</v>
      </c>
      <c r="E2723" s="2" t="str">
        <f ca="1">IFERROR(__xludf.DUMMYFUNCTION("GOOGLETRANSLATE(B2723,""en"",""fr"")"),"étranger")</f>
        <v>étranger</v>
      </c>
      <c r="F2723" s="2" t="str">
        <f ca="1">IFERROR(__xludf.DUMMYFUNCTION("GOOGLETRANSLATE(B2723,""en"",""it"")"),"sconosciuto")</f>
        <v>sconosciuto</v>
      </c>
      <c r="G2723" s="2" t="str">
        <f ca="1">IFERROR(__xludf.DUMMYFUNCTION("GOOGLETRANSLATE(B2723,""en"",""de"")"),"Fremder")</f>
        <v>Fremder</v>
      </c>
      <c r="H2723" s="2" t="str">
        <f ca="1">IFERROR(__xludf.DUMMYFUNCTION("GOOGLETRANSLATE(B2723,""en"",""zh"")"),"陌生人")</f>
        <v>陌生人</v>
      </c>
      <c r="I2723" s="2" t="str">
        <f ca="1">IFERROR(__xludf.DUMMYFUNCTION("GOOGLETRANSLATE(B2723,""en"",""gd"")"),"Stranger")</f>
        <v>Stranger</v>
      </c>
    </row>
    <row r="2724" spans="1:9" ht="14.25" customHeight="1" x14ac:dyDescent="0.3">
      <c r="A2724" s="2">
        <v>2723</v>
      </c>
      <c r="B2724" s="3" t="s">
        <v>2731</v>
      </c>
      <c r="C2724" s="2" t="str">
        <f ca="1">IFERROR(__xludf.DUMMYFUNCTION("GOOGLETRANSLATE(B2724, ""en"",""es"")"),"sombra")</f>
        <v>sombra</v>
      </c>
      <c r="D2724" s="2" t="str">
        <f ca="1">IFERROR(__xludf.DUMMYFUNCTION("GOOGLETRANSLATE(B2724,""en"",""ig"")"),"ndo")</f>
        <v>ndo</v>
      </c>
      <c r="E2724" s="2" t="str">
        <f ca="1">IFERROR(__xludf.DUMMYFUNCTION("GOOGLETRANSLATE(B2724,""en"",""fr"")"),"ombre")</f>
        <v>ombre</v>
      </c>
      <c r="F2724" s="2" t="str">
        <f ca="1">IFERROR(__xludf.DUMMYFUNCTION("GOOGLETRANSLATE(B2724,""en"",""it"")"),"ombra")</f>
        <v>ombra</v>
      </c>
      <c r="G2724" s="2" t="str">
        <f ca="1">IFERROR(__xludf.DUMMYFUNCTION("GOOGLETRANSLATE(B2724,""en"",""de"")"),"Schatten")</f>
        <v>Schatten</v>
      </c>
      <c r="H2724" s="2" t="str">
        <f ca="1">IFERROR(__xludf.DUMMYFUNCTION("GOOGLETRANSLATE(B2724,""en"",""zh"")"),"阴影")</f>
        <v>阴影</v>
      </c>
      <c r="I2724" s="2" t="str">
        <f ca="1">IFERROR(__xludf.DUMMYFUNCTION("GOOGLETRANSLATE(B2724,""en"",""gd"")"),"dubhar")</f>
        <v>dubhar</v>
      </c>
    </row>
    <row r="2725" spans="1:9" ht="14.25" customHeight="1" x14ac:dyDescent="0.3">
      <c r="A2725" s="2">
        <v>2724</v>
      </c>
      <c r="B2725" s="3" t="s">
        <v>2732</v>
      </c>
      <c r="C2725" s="2" t="str">
        <f ca="1">IFERROR(__xludf.DUMMYFUNCTION("GOOGLETRANSLATE(B2725, ""en"",""es"")"),"grano")</f>
        <v>grano</v>
      </c>
      <c r="D2725" s="2" t="str">
        <f ca="1">IFERROR(__xludf.DUMMYFUNCTION("GOOGLETRANSLATE(B2725,""en"",""ig"")"),"mkpururu")</f>
        <v>mkpururu</v>
      </c>
      <c r="E2725" s="2" t="str">
        <f ca="1">IFERROR(__xludf.DUMMYFUNCTION("GOOGLETRANSLATE(B2725,""en"",""fr"")"),"grain")</f>
        <v>grain</v>
      </c>
      <c r="F2725" s="2" t="str">
        <f ca="1">IFERROR(__xludf.DUMMYFUNCTION("GOOGLETRANSLATE(B2725,""en"",""it"")"),"grano")</f>
        <v>grano</v>
      </c>
      <c r="G2725" s="2" t="str">
        <f ca="1">IFERROR(__xludf.DUMMYFUNCTION("GOOGLETRANSLATE(B2725,""en"",""de"")"),"Getreide")</f>
        <v>Getreide</v>
      </c>
      <c r="H2725" s="2" t="str">
        <f ca="1">IFERROR(__xludf.DUMMYFUNCTION("GOOGLETRANSLATE(B2725,""en"",""zh"")"),"粮食")</f>
        <v>粮食</v>
      </c>
      <c r="I2725" s="2" t="str">
        <f ca="1">IFERROR(__xludf.DUMMYFUNCTION("GOOGLETRANSLATE(B2725,""en"",""gd"")"),"Gràn")</f>
        <v>Gràn</v>
      </c>
    </row>
    <row r="2726" spans="1:9" ht="14.25" customHeight="1" x14ac:dyDescent="0.3">
      <c r="A2726" s="2">
        <v>2725</v>
      </c>
      <c r="B2726" s="3" t="s">
        <v>2733</v>
      </c>
      <c r="C2726" s="2" t="str">
        <f ca="1">IFERROR(__xludf.DUMMYFUNCTION("GOOGLETRANSLATE(B2726, ""en"",""es"")"),"situar")</f>
        <v>situar</v>
      </c>
      <c r="D2726" s="2" t="str">
        <f ca="1">IFERROR(__xludf.DUMMYFUNCTION("GOOGLETRANSLATE(B2726,""en"",""ig"")"),"isoteetiate")</f>
        <v>isoteetiate</v>
      </c>
      <c r="E2726" s="2" t="str">
        <f ca="1">IFERROR(__xludf.DUMMYFUNCTION("GOOGLETRANSLATE(B2726,""en"",""fr"")"),"situer")</f>
        <v>situer</v>
      </c>
      <c r="F2726" s="2" t="str">
        <f ca="1">IFERROR(__xludf.DUMMYFUNCTION("GOOGLETRANSLATE(B2726,""en"",""it"")"),"situare")</f>
        <v>situare</v>
      </c>
      <c r="G2726" s="2" t="str">
        <f ca="1">IFERROR(__xludf.DUMMYFUNCTION("GOOGLETRANSLATE(B2726,""en"",""de"")"),"aufstellen")</f>
        <v>aufstellen</v>
      </c>
      <c r="H2726" s="2" t="str">
        <f ca="1">IFERROR(__xludf.DUMMYFUNCTION("GOOGLETRANSLATE(B2726,""en"",""zh"")"),"位于")</f>
        <v>位于</v>
      </c>
      <c r="I2726" s="2" t="str">
        <f ca="1">IFERROR(__xludf.DUMMYFUNCTION("GOOGLETRANSLATE(B2726,""en"",""gd"")"),"Suidheachadh")</f>
        <v>Suidheachadh</v>
      </c>
    </row>
    <row r="2727" spans="1:9" ht="14.25" customHeight="1" x14ac:dyDescent="0.3">
      <c r="A2727" s="2">
        <v>2726</v>
      </c>
      <c r="B2727" s="3" t="s">
        <v>2734</v>
      </c>
      <c r="C2727" s="2" t="str">
        <f ca="1">IFERROR(__xludf.DUMMYFUNCTION("GOOGLETRANSLATE(B2727, ""en"",""es"")"),"resumir")</f>
        <v>resumir</v>
      </c>
      <c r="D2727" s="2" t="str">
        <f ca="1">IFERROR(__xludf.DUMMYFUNCTION("GOOGLETRANSLATE(B2727,""en"",""ig"")"),"igbako")</f>
        <v>igbako</v>
      </c>
      <c r="E2727" s="2" t="str">
        <f ca="1">IFERROR(__xludf.DUMMYFUNCTION("GOOGLETRANSLATE(B2727,""en"",""fr"")"),"résumer")</f>
        <v>résumer</v>
      </c>
      <c r="F2727" s="2" t="str">
        <f ca="1">IFERROR(__xludf.DUMMYFUNCTION("GOOGLETRANSLATE(B2727,""en"",""it"")"),"riassumere")</f>
        <v>riassumere</v>
      </c>
      <c r="G2727" s="2" t="str">
        <f ca="1">IFERROR(__xludf.DUMMYFUNCTION("GOOGLETRANSLATE(B2727,""en"",""de"")"),"zusammenfassen")</f>
        <v>zusammenfassen</v>
      </c>
      <c r="H2727" s="2" t="str">
        <f ca="1">IFERROR(__xludf.DUMMYFUNCTION("GOOGLETRANSLATE(B2727,""en"",""zh"")"),"总结")</f>
        <v>总结</v>
      </c>
      <c r="I2727" s="2" t="str">
        <f ca="1">IFERROR(__xludf.DUMMYFUNCTION("GOOGLETRANSLATE(B2727,""en"",""gd"")"),"geàrr-chunntas")</f>
        <v>geàrr-chunntas</v>
      </c>
    </row>
    <row r="2728" spans="1:9" ht="14.25" customHeight="1" x14ac:dyDescent="0.3">
      <c r="A2728" s="2">
        <v>2727</v>
      </c>
      <c r="B2728" s="3" t="s">
        <v>2735</v>
      </c>
      <c r="C2728" s="2" t="str">
        <f ca="1">IFERROR(__xludf.DUMMYFUNCTION("GOOGLETRANSLATE(B2728, ""en"",""es"")"),"salto")</f>
        <v>salto</v>
      </c>
      <c r="D2728" s="2" t="str">
        <f ca="1">IFERROR(__xludf.DUMMYFUNCTION("GOOGLETRANSLATE(B2728,""en"",""ig"")"),"itu ukwu")</f>
        <v>itu ukwu</v>
      </c>
      <c r="E2728" s="2" t="str">
        <f ca="1">IFERROR(__xludf.DUMMYFUNCTION("GOOGLETRANSLATE(B2728,""en"",""fr"")"),"saut")</f>
        <v>saut</v>
      </c>
      <c r="F2728" s="2" t="str">
        <f ca="1">IFERROR(__xludf.DUMMYFUNCTION("GOOGLETRANSLATE(B2728,""en"",""it"")"),"salto")</f>
        <v>salto</v>
      </c>
      <c r="G2728" s="2" t="str">
        <f ca="1">IFERROR(__xludf.DUMMYFUNCTION("GOOGLETRANSLATE(B2728,""en"",""de"")"),"Sprung")</f>
        <v>Sprung</v>
      </c>
      <c r="H2728" s="2" t="str">
        <f ca="1">IFERROR(__xludf.DUMMYFUNCTION("GOOGLETRANSLATE(B2728,""en"",""zh"")"),"飞跃")</f>
        <v>飞跃</v>
      </c>
      <c r="I2728" s="2" t="str">
        <f ca="1">IFERROR(__xludf.DUMMYFUNCTION("GOOGLETRANSLATE(B2728,""en"",""gd"")"),"leum")</f>
        <v>leum</v>
      </c>
    </row>
    <row r="2729" spans="1:9" ht="14.25" customHeight="1" x14ac:dyDescent="0.3">
      <c r="A2729" s="2">
        <v>2728</v>
      </c>
      <c r="B2729" s="3" t="s">
        <v>2736</v>
      </c>
      <c r="C2729" s="2" t="str">
        <f ca="1">IFERROR(__xludf.DUMMYFUNCTION("GOOGLETRANSLATE(B2729, ""en"",""es"")"),"quebrar")</f>
        <v>quebrar</v>
      </c>
      <c r="D2729" s="2" t="str">
        <f ca="1">IFERROR(__xludf.DUMMYFUNCTION("GOOGLETRANSLATE(B2729,""en"",""ig"")"),"snap")</f>
        <v>snap</v>
      </c>
      <c r="E2729" s="2" t="str">
        <f ca="1">IFERROR(__xludf.DUMMYFUNCTION("GOOGLETRANSLATE(B2729,""en"",""fr"")"),"instantané")</f>
        <v>instantané</v>
      </c>
      <c r="F2729" s="2" t="str">
        <f ca="1">IFERROR(__xludf.DUMMYFUNCTION("GOOGLETRANSLATE(B2729,""en"",""it"")"),"affrettato")</f>
        <v>affrettato</v>
      </c>
      <c r="G2729" s="2" t="str">
        <f ca="1">IFERROR(__xludf.DUMMYFUNCTION("GOOGLETRANSLATE(B2729,""en"",""de"")"),"Schnappnahme")</f>
        <v>Schnappnahme</v>
      </c>
      <c r="H2729" s="2" t="str">
        <f ca="1">IFERROR(__xludf.DUMMYFUNCTION("GOOGLETRANSLATE(B2729,""en"",""zh"")"),"折断")</f>
        <v>折断</v>
      </c>
      <c r="I2729" s="2" t="str">
        <f ca="1">IFERROR(__xludf.DUMMYFUNCTION("GOOGLETRANSLATE(B2729,""en"",""gd"")"),"Snap")</f>
        <v>Snap</v>
      </c>
    </row>
    <row r="2730" spans="1:9" ht="14.25" customHeight="1" x14ac:dyDescent="0.3">
      <c r="A2730" s="2">
        <v>2729</v>
      </c>
      <c r="B2730" s="3" t="s">
        <v>2737</v>
      </c>
      <c r="C2730" s="2" t="str">
        <f ca="1">IFERROR(__xludf.DUMMYFUNCTION("GOOGLETRANSLATE(B2730, ""en"",""es"")"),"probabilidad")</f>
        <v>probabilidad</v>
      </c>
      <c r="D2730" s="2" t="str">
        <f ca="1">IFERROR(__xludf.DUMMYFUNCTION("GOOGLETRANSLATE(B2730,""en"",""ig"")"),"ihe gbasara nke puru omume")</f>
        <v>ihe gbasara nke puru omume</v>
      </c>
      <c r="E2730" s="2" t="str">
        <f ca="1">IFERROR(__xludf.DUMMYFUNCTION("GOOGLETRANSLATE(B2730,""en"",""fr"")"),"probabilité")</f>
        <v>probabilité</v>
      </c>
      <c r="F2730" s="2" t="str">
        <f ca="1">IFERROR(__xludf.DUMMYFUNCTION("GOOGLETRANSLATE(B2730,""en"",""it"")"),"probabilità")</f>
        <v>probabilità</v>
      </c>
      <c r="G2730" s="2" t="str">
        <f ca="1">IFERROR(__xludf.DUMMYFUNCTION("GOOGLETRANSLATE(B2730,""en"",""de"")"),"Wahrscheinlichkeit")</f>
        <v>Wahrscheinlichkeit</v>
      </c>
      <c r="H2730" s="2" t="str">
        <f ca="1">IFERROR(__xludf.DUMMYFUNCTION("GOOGLETRANSLATE(B2730,""en"",""zh"")"),"可能性")</f>
        <v>可能性</v>
      </c>
      <c r="I2730" s="2" t="str">
        <f ca="1">IFERROR(__xludf.DUMMYFUNCTION("GOOGLETRANSLATE(B2730,""en"",""gd"")"),"coltachd")</f>
        <v>coltachd</v>
      </c>
    </row>
    <row r="2731" spans="1:9" ht="14.25" customHeight="1" x14ac:dyDescent="0.3">
      <c r="A2731" s="2">
        <v>2730</v>
      </c>
      <c r="B2731" s="3" t="s">
        <v>2738</v>
      </c>
      <c r="C2731" s="2" t="str">
        <f ca="1">IFERROR(__xludf.DUMMYFUNCTION("GOOGLETRANSLATE(B2731, ""en"",""es"")"),"cuero")</f>
        <v>cuero</v>
      </c>
      <c r="D2731" s="2" t="str">
        <f ca="1">IFERROR(__xludf.DUMMYFUNCTION("GOOGLETRANSLATE(B2731,""en"",""ig"")"),"leda")</f>
        <v>leda</v>
      </c>
      <c r="E2731" s="2" t="str">
        <f ca="1">IFERROR(__xludf.DUMMYFUNCTION("GOOGLETRANSLATE(B2731,""en"",""fr"")"),"cuir")</f>
        <v>cuir</v>
      </c>
      <c r="F2731" s="2" t="str">
        <f ca="1">IFERROR(__xludf.DUMMYFUNCTION("GOOGLETRANSLATE(B2731,""en"",""it"")"),"pelle")</f>
        <v>pelle</v>
      </c>
      <c r="G2731" s="2" t="str">
        <f ca="1">IFERROR(__xludf.DUMMYFUNCTION("GOOGLETRANSLATE(B2731,""en"",""de"")"),"Leder")</f>
        <v>Leder</v>
      </c>
      <c r="H2731" s="2" t="str">
        <f ca="1">IFERROR(__xludf.DUMMYFUNCTION("GOOGLETRANSLATE(B2731,""en"",""zh"")"),"皮革")</f>
        <v>皮革</v>
      </c>
      <c r="I2731" s="2" t="str">
        <f ca="1">IFERROR(__xludf.DUMMYFUNCTION("GOOGLETRANSLATE(B2731,""en"",""gd"")"),"leathar")</f>
        <v>leathar</v>
      </c>
    </row>
    <row r="2732" spans="1:9" ht="14.25" customHeight="1" x14ac:dyDescent="0.3">
      <c r="A2732" s="2">
        <v>2731</v>
      </c>
      <c r="B2732" s="3" t="s">
        <v>2739</v>
      </c>
      <c r="C2732" s="2" t="str">
        <f ca="1">IFERROR(__xludf.DUMMYFUNCTION("GOOGLETRANSLATE(B2732, ""en"",""es"")"),"incertidumbre")</f>
        <v>incertidumbre</v>
      </c>
      <c r="D2732" s="2" t="str">
        <f ca="1">IFERROR(__xludf.DUMMYFUNCTION("GOOGLETRANSLATE(B2732,""en"",""ig"")"),"ejighi ihe")</f>
        <v>ejighi ihe</v>
      </c>
      <c r="E2732" s="2" t="str">
        <f ca="1">IFERROR(__xludf.DUMMYFUNCTION("GOOGLETRANSLATE(B2732,""en"",""fr"")"),"incertitude")</f>
        <v>incertitude</v>
      </c>
      <c r="F2732" s="2" t="str">
        <f ca="1">IFERROR(__xludf.DUMMYFUNCTION("GOOGLETRANSLATE(B2732,""en"",""it"")"),"incertezza")</f>
        <v>incertezza</v>
      </c>
      <c r="G2732" s="2" t="str">
        <f ca="1">IFERROR(__xludf.DUMMYFUNCTION("GOOGLETRANSLATE(B2732,""en"",""de"")"),"Unsicherheit")</f>
        <v>Unsicherheit</v>
      </c>
      <c r="H2732" s="2" t="str">
        <f ca="1">IFERROR(__xludf.DUMMYFUNCTION("GOOGLETRANSLATE(B2732,""en"",""zh"")"),"不确定")</f>
        <v>不确定</v>
      </c>
      <c r="I2732" s="2" t="str">
        <f ca="1">IFERROR(__xludf.DUMMYFUNCTION("GOOGLETRANSLATE(B2732,""en"",""gd"")"),"mì-chinnt")</f>
        <v>mì-chinnt</v>
      </c>
    </row>
    <row r="2733" spans="1:9" ht="14.25" customHeight="1" x14ac:dyDescent="0.3">
      <c r="A2733" s="2">
        <v>2732</v>
      </c>
      <c r="B2733" s="3" t="s">
        <v>2740</v>
      </c>
      <c r="C2733" s="2" t="str">
        <f ca="1">IFERROR(__xludf.DUMMYFUNCTION("GOOGLETRANSLATE(B2733, ""en"",""es"")"),"jurar")</f>
        <v>jurar</v>
      </c>
      <c r="D2733" s="2" t="str">
        <f ca="1">IFERROR(__xludf.DUMMYFUNCTION("GOOGLETRANSLATE(B2733,""en"",""ig"")"),"ibuonu")</f>
        <v>ibuonu</v>
      </c>
      <c r="E2733" s="2" t="str">
        <f ca="1">IFERROR(__xludf.DUMMYFUNCTION("GOOGLETRANSLATE(B2733,""en"",""fr"")"),"jurer")</f>
        <v>jurer</v>
      </c>
      <c r="F2733" s="2" t="str">
        <f ca="1">IFERROR(__xludf.DUMMYFUNCTION("GOOGLETRANSLATE(B2733,""en"",""it"")"),"imprecare")</f>
        <v>imprecare</v>
      </c>
      <c r="G2733" s="2" t="str">
        <f ca="1">IFERROR(__xludf.DUMMYFUNCTION("GOOGLETRANSLATE(B2733,""en"",""de"")"),"schwören")</f>
        <v>schwören</v>
      </c>
      <c r="H2733" s="2" t="str">
        <f ca="1">IFERROR(__xludf.DUMMYFUNCTION("GOOGLETRANSLATE(B2733,""en"",""zh"")"),"发誓")</f>
        <v>发誓</v>
      </c>
      <c r="I2733" s="2" t="str">
        <f ca="1">IFERROR(__xludf.DUMMYFUNCTION("GOOGLETRANSLATE(B2733,""en"",""gd"")"),"mionnachadh")</f>
        <v>mionnachadh</v>
      </c>
    </row>
    <row r="2734" spans="1:9" ht="14.25" customHeight="1" x14ac:dyDescent="0.3">
      <c r="A2734" s="2">
        <v>2733</v>
      </c>
      <c r="B2734" s="3" t="s">
        <v>2741</v>
      </c>
      <c r="C2734" s="2" t="str">
        <f ca="1">IFERROR(__xludf.DUMMYFUNCTION("GOOGLETRANSLATE(B2734, ""en"",""es"")"),"refugiado")</f>
        <v>refugiado</v>
      </c>
      <c r="D2734" s="2" t="str">
        <f ca="1">IFERROR(__xludf.DUMMYFUNCTION("GOOGLETRANSLATE(B2734,""en"",""ig"")"),"ogba osondu nwoke")</f>
        <v>ogba osondu nwoke</v>
      </c>
      <c r="E2734" s="2" t="str">
        <f ca="1">IFERROR(__xludf.DUMMYFUNCTION("GOOGLETRANSLATE(B2734,""en"",""fr"")"),"réfugié")</f>
        <v>réfugié</v>
      </c>
      <c r="F2734" s="2" t="str">
        <f ca="1">IFERROR(__xludf.DUMMYFUNCTION("GOOGLETRANSLATE(B2734,""en"",""it"")"),"profugo")</f>
        <v>profugo</v>
      </c>
      <c r="G2734" s="2" t="str">
        <f ca="1">IFERROR(__xludf.DUMMYFUNCTION("GOOGLETRANSLATE(B2734,""en"",""de"")"),"Flüchtling")</f>
        <v>Flüchtling</v>
      </c>
      <c r="H2734" s="2" t="str">
        <f ca="1">IFERROR(__xludf.DUMMYFUNCTION("GOOGLETRANSLATE(B2734,""en"",""zh"")"),"难民")</f>
        <v>难民</v>
      </c>
      <c r="I2734" s="2" t="str">
        <f ca="1">IFERROR(__xludf.DUMMYFUNCTION("GOOGLETRANSLATE(B2734,""en"",""gd"")"),"fògarraich")</f>
        <v>fògarraich</v>
      </c>
    </row>
    <row r="2735" spans="1:9" ht="14.25" customHeight="1" x14ac:dyDescent="0.3">
      <c r="A2735" s="2">
        <v>2734</v>
      </c>
      <c r="B2735" s="3" t="s">
        <v>2742</v>
      </c>
      <c r="C2735" s="2" t="str">
        <f ca="1">IFERROR(__xludf.DUMMYFUNCTION("GOOGLETRANSLATE(B2735, ""en"",""es"")"),"costa")</f>
        <v>costa</v>
      </c>
      <c r="D2735" s="2" t="str">
        <f ca="1">IFERROR(__xludf.DUMMYFUNCTION("GOOGLETRANSLATE(B2735,""en"",""ig"")"),"onummiri")</f>
        <v>onummiri</v>
      </c>
      <c r="E2735" s="2" t="str">
        <f ca="1">IFERROR(__xludf.DUMMYFUNCTION("GOOGLETRANSLATE(B2735,""en"",""fr"")"),"rive")</f>
        <v>rive</v>
      </c>
      <c r="F2735" s="2" t="str">
        <f ca="1">IFERROR(__xludf.DUMMYFUNCTION("GOOGLETRANSLATE(B2735,""en"",""it"")"),"costa")</f>
        <v>costa</v>
      </c>
      <c r="G2735" s="2" t="str">
        <f ca="1">IFERROR(__xludf.DUMMYFUNCTION("GOOGLETRANSLATE(B2735,""en"",""de"")"),"Ufer")</f>
        <v>Ufer</v>
      </c>
      <c r="H2735" s="2" t="str">
        <f ca="1">IFERROR(__xludf.DUMMYFUNCTION("GOOGLETRANSLATE(B2735,""en"",""zh"")"),"支撑")</f>
        <v>支撑</v>
      </c>
      <c r="I2735" s="2" t="str">
        <f ca="1">IFERROR(__xludf.DUMMYFUNCTION("GOOGLETRANSLATE(B2735,""en"",""gd"")"),"cladach")</f>
        <v>cladach</v>
      </c>
    </row>
    <row r="2736" spans="1:9" ht="14.25" customHeight="1" x14ac:dyDescent="0.3">
      <c r="A2736" s="2">
        <v>2735</v>
      </c>
      <c r="B2736" s="3" t="s">
        <v>2743</v>
      </c>
      <c r="C2736" s="2" t="str">
        <f ca="1">IFERROR(__xludf.DUMMYFUNCTION("GOOGLETRANSLATE(B2736, ""en"",""es"")"),"mensual")</f>
        <v>mensual</v>
      </c>
      <c r="D2736" s="2" t="str">
        <f ca="1">IFERROR(__xludf.DUMMYFUNCTION("GOOGLETRANSLATE(B2736,""en"",""ig"")"),"lewa onwa")</f>
        <v>lewa onwa</v>
      </c>
      <c r="E2736" s="2" t="str">
        <f ca="1">IFERROR(__xludf.DUMMYFUNCTION("GOOGLETRANSLATE(B2736,""en"",""fr"")"),"mensuel")</f>
        <v>mensuel</v>
      </c>
      <c r="F2736" s="2" t="str">
        <f ca="1">IFERROR(__xludf.DUMMYFUNCTION("GOOGLETRANSLATE(B2736,""en"",""it"")"),"mensile")</f>
        <v>mensile</v>
      </c>
      <c r="G2736" s="2" t="str">
        <f ca="1">IFERROR(__xludf.DUMMYFUNCTION("GOOGLETRANSLATE(B2736,""en"",""de"")"),"monatlich")</f>
        <v>monatlich</v>
      </c>
      <c r="H2736" s="2" t="str">
        <f ca="1">IFERROR(__xludf.DUMMYFUNCTION("GOOGLETRANSLATE(B2736,""en"",""zh"")"),"每月")</f>
        <v>每月</v>
      </c>
      <c r="I2736" s="2" t="str">
        <f ca="1">IFERROR(__xludf.DUMMYFUNCTION("GOOGLETRANSLATE(B2736,""en"",""gd"")"),"mìosail")</f>
        <v>mìosail</v>
      </c>
    </row>
    <row r="2737" spans="1:9" ht="14.25" customHeight="1" x14ac:dyDescent="0.3">
      <c r="A2737" s="2">
        <v>2736</v>
      </c>
      <c r="B2737" s="3" t="s">
        <v>2744</v>
      </c>
      <c r="C2737" s="2" t="str">
        <f ca="1">IFERROR(__xludf.DUMMYFUNCTION("GOOGLETRANSLATE(B2737, ""en"",""es"")"),"comprender")</f>
        <v>comprender</v>
      </c>
      <c r="D2737" s="2" t="str">
        <f ca="1">IFERROR(__xludf.DUMMYFUNCTION("GOOGLETRANSLATE(B2737,""en"",""ig"")"),"kenduwe")</f>
        <v>kenduwe</v>
      </c>
      <c r="E2737" s="2" t="str">
        <f ca="1">IFERROR(__xludf.DUMMYFUNCTION("GOOGLETRANSLATE(B2737,""en"",""fr"")"),"comprendre")</f>
        <v>comprendre</v>
      </c>
      <c r="F2737" s="2" t="str">
        <f ca="1">IFERROR(__xludf.DUMMYFUNCTION("GOOGLETRANSLATE(B2737,""en"",""it"")"),"comprendere")</f>
        <v>comprendere</v>
      </c>
      <c r="G2737" s="2" t="str">
        <f ca="1">IFERROR(__xludf.DUMMYFUNCTION("GOOGLETRANSLATE(B2737,""en"",""de"")"),"umfassen")</f>
        <v>umfassen</v>
      </c>
      <c r="H2737" s="2" t="str">
        <f ca="1">IFERROR(__xludf.DUMMYFUNCTION("GOOGLETRANSLATE(B2737,""en"",""zh"")"),"包括")</f>
        <v>包括</v>
      </c>
      <c r="I2737" s="2" t="str">
        <f ca="1">IFERROR(__xludf.DUMMYFUNCTION("GOOGLETRANSLATE(B2737,""en"",""gd"")"),"a 'dèanamh suas")</f>
        <v>a 'dèanamh suas</v>
      </c>
    </row>
    <row r="2738" spans="1:9" ht="14.25" customHeight="1" x14ac:dyDescent="0.3">
      <c r="A2738" s="2">
        <v>2737</v>
      </c>
      <c r="B2738" s="3" t="s">
        <v>2745</v>
      </c>
      <c r="C2738" s="2" t="str">
        <f ca="1">IFERROR(__xludf.DUMMYFUNCTION("GOOGLETRANSLATE(B2738, ""en"",""es"")"),"remover")</f>
        <v>remover</v>
      </c>
      <c r="D2738" s="2" t="str">
        <f ca="1">IFERROR(__xludf.DUMMYFUNCTION("GOOGLETRANSLATE(B2738,""en"",""ig"")"),"ibido")</f>
        <v>ibido</v>
      </c>
      <c r="E2738" s="2" t="str">
        <f ca="1">IFERROR(__xludf.DUMMYFUNCTION("GOOGLETRANSLATE(B2738,""en"",""fr"")"),"remuer")</f>
        <v>remuer</v>
      </c>
      <c r="F2738" s="2" t="str">
        <f ca="1">IFERROR(__xludf.DUMMYFUNCTION("GOOGLETRANSLATE(B2738,""en"",""it"")"),"mescolata")</f>
        <v>mescolata</v>
      </c>
      <c r="G2738" s="2" t="str">
        <f ca="1">IFERROR(__xludf.DUMMYFUNCTION("GOOGLETRANSLATE(B2738,""en"",""de"")"),"Aufsehen")</f>
        <v>Aufsehen</v>
      </c>
      <c r="H2738" s="2" t="str">
        <f ca="1">IFERROR(__xludf.DUMMYFUNCTION("GOOGLETRANSLATE(B2738,""en"",""zh"")"),"搅拌")</f>
        <v>搅拌</v>
      </c>
      <c r="I2738" s="2" t="str">
        <f ca="1">IFERROR(__xludf.DUMMYFUNCTION("GOOGLETRANSLATE(B2738,""en"",""gd"")"),"stir")</f>
        <v>stir</v>
      </c>
    </row>
    <row r="2739" spans="1:9" ht="14.25" customHeight="1" x14ac:dyDescent="0.3">
      <c r="A2739" s="2">
        <v>2738</v>
      </c>
      <c r="B2739" s="3" t="s">
        <v>2746</v>
      </c>
      <c r="C2739" s="2" t="str">
        <f ca="1">IFERROR(__xludf.DUMMYFUNCTION("GOOGLETRANSLATE(B2739, ""en"",""es"")"),"excitación")</f>
        <v>excitación</v>
      </c>
      <c r="D2739" s="2" t="str">
        <f ca="1">IFERROR(__xludf.DUMMYFUNCTION("GOOGLETRANSLATE(B2739,""en"",""ig"")"),"amaghi ka odi")</f>
        <v>amaghi ka odi</v>
      </c>
      <c r="E2739" s="2" t="str">
        <f ca="1">IFERROR(__xludf.DUMMYFUNCTION("GOOGLETRANSLATE(B2739,""en"",""fr"")"),"excitation")</f>
        <v>excitation</v>
      </c>
      <c r="F2739" s="2" t="str">
        <f ca="1">IFERROR(__xludf.DUMMYFUNCTION("GOOGLETRANSLATE(B2739,""en"",""it"")"),"eccitazione")</f>
        <v>eccitazione</v>
      </c>
      <c r="G2739" s="2" t="str">
        <f ca="1">IFERROR(__xludf.DUMMYFUNCTION("GOOGLETRANSLATE(B2739,""en"",""de"")"),"Aufregung")</f>
        <v>Aufregung</v>
      </c>
      <c r="H2739" s="2" t="str">
        <f ca="1">IFERROR(__xludf.DUMMYFUNCTION("GOOGLETRANSLATE(B2739,""en"",""zh"")"),"激动")</f>
        <v>激动</v>
      </c>
      <c r="I2739" s="2" t="str">
        <f ca="1">IFERROR(__xludf.DUMMYFUNCTION("GOOGLETRANSLATE(B2739,""en"",""gd"")"),"toileachas")</f>
        <v>toileachas</v>
      </c>
    </row>
    <row r="2740" spans="1:9" ht="14.25" customHeight="1" x14ac:dyDescent="0.3">
      <c r="A2740" s="2">
        <v>2739</v>
      </c>
      <c r="B2740" s="3" t="s">
        <v>2747</v>
      </c>
      <c r="C2740" s="2" t="str">
        <f ca="1">IFERROR(__xludf.DUMMYFUNCTION("GOOGLETRANSLATE(B2740, ""en"",""es"")"),"suspiro")</f>
        <v>suspiro</v>
      </c>
      <c r="D2740" s="2" t="str">
        <f ca="1">IFERROR(__xludf.DUMMYFUNCTION("GOOGLETRANSLATE(B2740,""en"",""ig"")"),"itaghari")</f>
        <v>itaghari</v>
      </c>
      <c r="E2740" s="2" t="str">
        <f ca="1">IFERROR(__xludf.DUMMYFUNCTION("GOOGLETRANSLATE(B2740,""en"",""fr"")"),"soupir")</f>
        <v>soupir</v>
      </c>
      <c r="F2740" s="2" t="str">
        <f ca="1">IFERROR(__xludf.DUMMYFUNCTION("GOOGLETRANSLATE(B2740,""en"",""it"")"),"sospiro")</f>
        <v>sospiro</v>
      </c>
      <c r="G2740" s="2" t="str">
        <f ca="1">IFERROR(__xludf.DUMMYFUNCTION("GOOGLETRANSLATE(B2740,""en"",""de"")"),"seufzen")</f>
        <v>seufzen</v>
      </c>
      <c r="H2740" s="2" t="str">
        <f ca="1">IFERROR(__xludf.DUMMYFUNCTION("GOOGLETRANSLATE(B2740,""en"",""zh"")"),"叹")</f>
        <v>叹</v>
      </c>
      <c r="I2740" s="2" t="str">
        <f ca="1">IFERROR(__xludf.DUMMYFUNCTION("GOOGLETRANSLATE(B2740,""en"",""gd"")"),"osna")</f>
        <v>osna</v>
      </c>
    </row>
    <row r="2741" spans="1:9" ht="14.25" customHeight="1" x14ac:dyDescent="0.3">
      <c r="A2741" s="2">
        <v>2740</v>
      </c>
      <c r="B2741" s="3" t="s">
        <v>2748</v>
      </c>
      <c r="C2741" s="2" t="str">
        <f ca="1">IFERROR(__xludf.DUMMYFUNCTION("GOOGLETRANSLATE(B2741, ""en"",""es"")"),"el embarazo")</f>
        <v>el embarazo</v>
      </c>
      <c r="D2741" s="2" t="str">
        <f ca="1">IFERROR(__xludf.DUMMYFUNCTION("GOOGLETRANSLATE(B2741,""en"",""ig"")"),"afo ime")</f>
        <v>afo ime</v>
      </c>
      <c r="E2741" s="2" t="str">
        <f ca="1">IFERROR(__xludf.DUMMYFUNCTION("GOOGLETRANSLATE(B2741,""en"",""fr"")"),"grossesse")</f>
        <v>grossesse</v>
      </c>
      <c r="F2741" s="2" t="str">
        <f ca="1">IFERROR(__xludf.DUMMYFUNCTION("GOOGLETRANSLATE(B2741,""en"",""it"")"),"gravidanza")</f>
        <v>gravidanza</v>
      </c>
      <c r="G2741" s="2" t="str">
        <f ca="1">IFERROR(__xludf.DUMMYFUNCTION("GOOGLETRANSLATE(B2741,""en"",""de"")"),"Schwangerschaft")</f>
        <v>Schwangerschaft</v>
      </c>
      <c r="H2741" s="2" t="str">
        <f ca="1">IFERROR(__xludf.DUMMYFUNCTION("GOOGLETRANSLATE(B2741,""en"",""zh"")"),"怀孕")</f>
        <v>怀孕</v>
      </c>
      <c r="I2741" s="2" t="str">
        <f ca="1">IFERROR(__xludf.DUMMYFUNCTION("GOOGLETRANSLATE(B2741,""en"",""gd"")"),"torrachas")</f>
        <v>torrachas</v>
      </c>
    </row>
    <row r="2742" spans="1:9" ht="14.25" customHeight="1" x14ac:dyDescent="0.3">
      <c r="A2742" s="2">
        <v>2741</v>
      </c>
      <c r="B2742" s="3" t="s">
        <v>2749</v>
      </c>
      <c r="C2742" s="2" t="str">
        <f ca="1">IFERROR(__xludf.DUMMYFUNCTION("GOOGLETRANSLATE(B2742, ""en"",""es"")"),"experimental")</f>
        <v>experimental</v>
      </c>
      <c r="D2742" s="2" t="str">
        <f ca="1">IFERROR(__xludf.DUMMYFUNCTION("GOOGLETRANSLATE(B2742,""en"",""ig"")"),"nnwale")</f>
        <v>nnwale</v>
      </c>
      <c r="E2742" s="2" t="str">
        <f ca="1">IFERROR(__xludf.DUMMYFUNCTION("GOOGLETRANSLATE(B2742,""en"",""fr"")"),"expérimental")</f>
        <v>expérimental</v>
      </c>
      <c r="F2742" s="2" t="str">
        <f ca="1">IFERROR(__xludf.DUMMYFUNCTION("GOOGLETRANSLATE(B2742,""en"",""it"")"),"sperimentale")</f>
        <v>sperimentale</v>
      </c>
      <c r="G2742" s="2" t="str">
        <f ca="1">IFERROR(__xludf.DUMMYFUNCTION("GOOGLETRANSLATE(B2742,""en"",""de"")"),"Experimental-")</f>
        <v>Experimental-</v>
      </c>
      <c r="H2742" s="2" t="str">
        <f ca="1">IFERROR(__xludf.DUMMYFUNCTION("GOOGLETRANSLATE(B2742,""en"",""zh"")"),"实验")</f>
        <v>实验</v>
      </c>
      <c r="I2742" s="2" t="str">
        <f ca="1">IFERROR(__xludf.DUMMYFUNCTION("GOOGLETRANSLATE(B2742,""en"",""gd"")"),"deuchainneach")</f>
        <v>deuchainneach</v>
      </c>
    </row>
    <row r="2743" spans="1:9" ht="14.25" customHeight="1" x14ac:dyDescent="0.3">
      <c r="A2743" s="2">
        <v>2742</v>
      </c>
      <c r="B2743" s="3" t="s">
        <v>2750</v>
      </c>
      <c r="C2743" s="2" t="str">
        <f ca="1">IFERROR(__xludf.DUMMYFUNCTION("GOOGLETRANSLATE(B2743, ""en"",""es"")"),"institucional")</f>
        <v>institucional</v>
      </c>
      <c r="D2743" s="2" t="str">
        <f ca="1">IFERROR(__xludf.DUMMYFUNCTION("GOOGLETRANSLATE(B2743,""en"",""ig"")"),"ulo akwukwo")</f>
        <v>ulo akwukwo</v>
      </c>
      <c r="E2743" s="2" t="str">
        <f ca="1">IFERROR(__xludf.DUMMYFUNCTION("GOOGLETRANSLATE(B2743,""en"",""fr"")"),"institutionnel")</f>
        <v>institutionnel</v>
      </c>
      <c r="F2743" s="2" t="str">
        <f ca="1">IFERROR(__xludf.DUMMYFUNCTION("GOOGLETRANSLATE(B2743,""en"",""it"")"),"istituzionale")</f>
        <v>istituzionale</v>
      </c>
      <c r="G2743" s="2" t="str">
        <f ca="1">IFERROR(__xludf.DUMMYFUNCTION("GOOGLETRANSLATE(B2743,""en"",""de"")"),"institutionell")</f>
        <v>institutionell</v>
      </c>
      <c r="H2743" s="2" t="str">
        <f ca="1">IFERROR(__xludf.DUMMYFUNCTION("GOOGLETRANSLATE(B2743,""en"",""zh"")"),"机构")</f>
        <v>机构</v>
      </c>
      <c r="I2743" s="2" t="str">
        <f ca="1">IFERROR(__xludf.DUMMYFUNCTION("GOOGLETRANSLATE(B2743,""en"",""gd"")"),"Institiùil")</f>
        <v>Institiùil</v>
      </c>
    </row>
    <row r="2744" spans="1:9" ht="14.25" customHeight="1" x14ac:dyDescent="0.3">
      <c r="A2744" s="2">
        <v>2743</v>
      </c>
      <c r="B2744" s="3" t="s">
        <v>2751</v>
      </c>
      <c r="C2744" s="2" t="str">
        <f ca="1">IFERROR(__xludf.DUMMYFUNCTION("GOOGLETRANSLATE(B2744, ""en"",""es"")"),"rebanada")</f>
        <v>rebanada</v>
      </c>
      <c r="D2744" s="2" t="str">
        <f ca="1">IFERROR(__xludf.DUMMYFUNCTION("GOOGLETRANSLATE(B2744,""en"",""ig"")"),"iberi")</f>
        <v>iberi</v>
      </c>
      <c r="E2744" s="2" t="str">
        <f ca="1">IFERROR(__xludf.DUMMYFUNCTION("GOOGLETRANSLATE(B2744,""en"",""fr"")"),"tranche")</f>
        <v>tranche</v>
      </c>
      <c r="F2744" s="2" t="str">
        <f ca="1">IFERROR(__xludf.DUMMYFUNCTION("GOOGLETRANSLATE(B2744,""en"",""it"")"),"fetta")</f>
        <v>fetta</v>
      </c>
      <c r="G2744" s="2" t="str">
        <f ca="1">IFERROR(__xludf.DUMMYFUNCTION("GOOGLETRANSLATE(B2744,""en"",""de"")"),"Scheibe")</f>
        <v>Scheibe</v>
      </c>
      <c r="H2744" s="2" t="str">
        <f ca="1">IFERROR(__xludf.DUMMYFUNCTION("GOOGLETRANSLATE(B2744,""en"",""zh"")"),"片")</f>
        <v>片</v>
      </c>
      <c r="I2744" s="2" t="str">
        <f ca="1">IFERROR(__xludf.DUMMYFUNCTION("GOOGLETRANSLATE(B2744,""en"",""gd"")"),"Slice")</f>
        <v>Slice</v>
      </c>
    </row>
    <row r="2745" spans="1:9" ht="14.25" customHeight="1" x14ac:dyDescent="0.3">
      <c r="A2745" s="2">
        <v>2744</v>
      </c>
      <c r="B2745" s="3" t="s">
        <v>2752</v>
      </c>
      <c r="C2745" s="2" t="str">
        <f ca="1">IFERROR(__xludf.DUMMYFUNCTION("GOOGLETRANSLATE(B2745, ""en"",""es"")"),"deambular")</f>
        <v>deambular</v>
      </c>
      <c r="D2745" s="2" t="str">
        <f ca="1">IFERROR(__xludf.DUMMYFUNCTION("GOOGLETRANSLATE(B2745,""en"",""ig"")"),"wonda")</f>
        <v>wonda</v>
      </c>
      <c r="E2745" s="2" t="str">
        <f ca="1">IFERROR(__xludf.DUMMYFUNCTION("GOOGLETRANSLATE(B2745,""en"",""fr"")"),"errer")</f>
        <v>errer</v>
      </c>
      <c r="F2745" s="2" t="str">
        <f ca="1">IFERROR(__xludf.DUMMYFUNCTION("GOOGLETRANSLATE(B2745,""en"",""it"")"),"passeggiata")</f>
        <v>passeggiata</v>
      </c>
      <c r="G2745" s="2" t="str">
        <f ca="1">IFERROR(__xludf.DUMMYFUNCTION("GOOGLETRANSLATE(B2745,""en"",""de"")"),"wandern")</f>
        <v>wandern</v>
      </c>
      <c r="H2745" s="2" t="str">
        <f ca="1">IFERROR(__xludf.DUMMYFUNCTION("GOOGLETRANSLATE(B2745,""en"",""zh"")"),"漫步")</f>
        <v>漫步</v>
      </c>
      <c r="I2745" s="2" t="str">
        <f ca="1">IFERROR(__xludf.DUMMYFUNCTION("GOOGLETRANSLATE(B2745,""en"",""gd"")"),"wander wander")</f>
        <v>wander wander</v>
      </c>
    </row>
    <row r="2746" spans="1:9" ht="14.25" customHeight="1" x14ac:dyDescent="0.3">
      <c r="A2746" s="2">
        <v>2745</v>
      </c>
      <c r="B2746" s="3" t="s">
        <v>2753</v>
      </c>
      <c r="C2746" s="2" t="str">
        <f ca="1">IFERROR(__xludf.DUMMYFUNCTION("GOOGLETRANSLATE(B2746, ""en"",""es"")"),"imperio")</f>
        <v>imperio</v>
      </c>
      <c r="D2746" s="2" t="str">
        <f ca="1">IFERROR(__xludf.DUMMYFUNCTION("GOOGLETRANSLATE(B2746,""en"",""ig"")"),"empaya")</f>
        <v>empaya</v>
      </c>
      <c r="E2746" s="2" t="str">
        <f ca="1">IFERROR(__xludf.DUMMYFUNCTION("GOOGLETRANSLATE(B2746,""en"",""fr"")"),"Empire")</f>
        <v>Empire</v>
      </c>
      <c r="F2746" s="2" t="str">
        <f ca="1">IFERROR(__xludf.DUMMYFUNCTION("GOOGLETRANSLATE(B2746,""en"",""it"")"),"impero")</f>
        <v>impero</v>
      </c>
      <c r="G2746" s="2" t="str">
        <f ca="1">IFERROR(__xludf.DUMMYFUNCTION("GOOGLETRANSLATE(B2746,""en"",""de"")"),"Reich")</f>
        <v>Reich</v>
      </c>
      <c r="H2746" s="2" t="str">
        <f ca="1">IFERROR(__xludf.DUMMYFUNCTION("GOOGLETRANSLATE(B2746,""en"",""zh"")"),"帝国")</f>
        <v>帝国</v>
      </c>
      <c r="I2746" s="2" t="str">
        <f ca="1">IFERROR(__xludf.DUMMYFUNCTION("GOOGLETRANSLATE(B2746,""en"",""gd"")"),"Ìmpireachd")</f>
        <v>Ìmpireachd</v>
      </c>
    </row>
    <row r="2747" spans="1:9" ht="14.25" customHeight="1" x14ac:dyDescent="0.3">
      <c r="A2747" s="2">
        <v>2746</v>
      </c>
      <c r="B2747" s="3" t="s">
        <v>2754</v>
      </c>
      <c r="C2747" s="2" t="str">
        <f ca="1">IFERROR(__xludf.DUMMYFUNCTION("GOOGLETRANSLATE(B2747, ""en"",""es"")"),"después")</f>
        <v>después</v>
      </c>
      <c r="D2747" s="2" t="str">
        <f ca="1">IFERROR(__xludf.DUMMYFUNCTION("GOOGLETRANSLATE(B2747,""en"",""ig"")"),"nupu okwu")</f>
        <v>nupu okwu</v>
      </c>
      <c r="E2747" s="2" t="str">
        <f ca="1">IFERROR(__xludf.DUMMYFUNCTION("GOOGLETRANSLATE(B2747,""en"",""fr"")"),"ensuite")</f>
        <v>ensuite</v>
      </c>
      <c r="F2747" s="2" t="str">
        <f ca="1">IFERROR(__xludf.DUMMYFUNCTION("GOOGLETRANSLATE(B2747,""en"",""it"")"),"successivamente")</f>
        <v>successivamente</v>
      </c>
      <c r="G2747" s="2" t="str">
        <f ca="1">IFERROR(__xludf.DUMMYFUNCTION("GOOGLETRANSLATE(B2747,""en"",""de"")"),"anschließend")</f>
        <v>anschließend</v>
      </c>
      <c r="H2747" s="2" t="str">
        <f ca="1">IFERROR(__xludf.DUMMYFUNCTION("GOOGLETRANSLATE(B2747,""en"",""zh"")"),"随后")</f>
        <v>随后</v>
      </c>
      <c r="I2747" s="2" t="str">
        <f ca="1">IFERROR(__xludf.DUMMYFUNCTION("GOOGLETRANSLATE(B2747,""en"",""gd"")"),"às deidh sin")</f>
        <v>às deidh sin</v>
      </c>
    </row>
    <row r="2748" spans="1:9" ht="14.25" customHeight="1" x14ac:dyDescent="0.3">
      <c r="A2748" s="2">
        <v>2747</v>
      </c>
      <c r="B2748" s="3" t="s">
        <v>2755</v>
      </c>
      <c r="C2748" s="2" t="str">
        <f ca="1">IFERROR(__xludf.DUMMYFUNCTION("GOOGLETRANSLATE(B2748, ""en"",""es"")"),"amable")</f>
        <v>amable</v>
      </c>
      <c r="D2748" s="2" t="str">
        <f ca="1">IFERROR(__xludf.DUMMYFUNCTION("GOOGLETRANSLATE(B2748,""en"",""ig"")"),"keumeala")</f>
        <v>keumeala</v>
      </c>
      <c r="E2748" s="2" t="str">
        <f ca="1">IFERROR(__xludf.DUMMYFUNCTION("GOOGLETRANSLATE(B2748,""en"",""fr"")"),"doux")</f>
        <v>doux</v>
      </c>
      <c r="F2748" s="2" t="str">
        <f ca="1">IFERROR(__xludf.DUMMYFUNCTION("GOOGLETRANSLATE(B2748,""en"",""it"")"),"gentile")</f>
        <v>gentile</v>
      </c>
      <c r="G2748" s="2" t="str">
        <f ca="1">IFERROR(__xludf.DUMMYFUNCTION("GOOGLETRANSLATE(B2748,""en"",""de"")"),"sanft")</f>
        <v>sanft</v>
      </c>
      <c r="H2748" s="2" t="str">
        <f ca="1">IFERROR(__xludf.DUMMYFUNCTION("GOOGLETRANSLATE(B2748,""en"",""zh"")"),"温和的")</f>
        <v>温和的</v>
      </c>
      <c r="I2748" s="2" t="str">
        <f ca="1">IFERROR(__xludf.DUMMYFUNCTION("GOOGLETRANSLATE(B2748,""en"",""gd"")"),"socair")</f>
        <v>socair</v>
      </c>
    </row>
    <row r="2749" spans="1:9" ht="14.25" customHeight="1" x14ac:dyDescent="0.3">
      <c r="A2749" s="2">
        <v>2748</v>
      </c>
      <c r="B2749" s="3" t="s">
        <v>2756</v>
      </c>
      <c r="C2749" s="2" t="str">
        <f ca="1">IFERROR(__xludf.DUMMYFUNCTION("GOOGLETRANSLATE(B2749, ""en"",""es"")"),"asistencia")</f>
        <v>asistencia</v>
      </c>
      <c r="D2749" s="2" t="str">
        <f ca="1">IFERROR(__xludf.DUMMYFUNCTION("GOOGLETRANSLATE(B2749,""en"",""ig"")"),"ogiga")</f>
        <v>ogiga</v>
      </c>
      <c r="E2749" s="2" t="str">
        <f ca="1">IFERROR(__xludf.DUMMYFUNCTION("GOOGLETRANSLATE(B2749,""en"",""fr"")"),"présence")</f>
        <v>présence</v>
      </c>
      <c r="F2749" s="2" t="str">
        <f ca="1">IFERROR(__xludf.DUMMYFUNCTION("GOOGLETRANSLATE(B2749,""en"",""it"")"),"presenza")</f>
        <v>presenza</v>
      </c>
      <c r="G2749" s="2" t="str">
        <f ca="1">IFERROR(__xludf.DUMMYFUNCTION("GOOGLETRANSLATE(B2749,""en"",""de"")"),"Teilnahme")</f>
        <v>Teilnahme</v>
      </c>
      <c r="H2749" s="2" t="str">
        <f ca="1">IFERROR(__xludf.DUMMYFUNCTION("GOOGLETRANSLATE(B2749,""en"",""zh"")"),"出勤")</f>
        <v>出勤</v>
      </c>
      <c r="I2749" s="2" t="str">
        <f ca="1">IFERROR(__xludf.DUMMYFUNCTION("GOOGLETRANSLATE(B2749,""en"",""gd"")"),"Frithealadh")</f>
        <v>Frithealadh</v>
      </c>
    </row>
    <row r="2750" spans="1:9" ht="14.25" customHeight="1" x14ac:dyDescent="0.3">
      <c r="A2750" s="2">
        <v>2749</v>
      </c>
      <c r="B2750" s="3" t="s">
        <v>2757</v>
      </c>
      <c r="C2750" s="2" t="str">
        <f ca="1">IFERROR(__xludf.DUMMYFUNCTION("GOOGLETRANSLATE(B2750, ""en"",""es"")"),"propiedad")</f>
        <v>propiedad</v>
      </c>
      <c r="D2750" s="2" t="str">
        <f ca="1">IFERROR(__xludf.DUMMYFUNCTION("GOOGLETRANSLATE(B2750,""en"",""ig"")"),"nke onye")</f>
        <v>nke onye</v>
      </c>
      <c r="E2750" s="2" t="str">
        <f ca="1">IFERROR(__xludf.DUMMYFUNCTION("GOOGLETRANSLATE(B2750,""en"",""fr"")"),"la possession")</f>
        <v>la possession</v>
      </c>
      <c r="F2750" s="2" t="str">
        <f ca="1">IFERROR(__xludf.DUMMYFUNCTION("GOOGLETRANSLATE(B2750,""en"",""it"")"),"proprietà")</f>
        <v>proprietà</v>
      </c>
      <c r="G2750" s="2" t="str">
        <f ca="1">IFERROR(__xludf.DUMMYFUNCTION("GOOGLETRANSLATE(B2750,""en"",""de"")"),"Eigentum")</f>
        <v>Eigentum</v>
      </c>
      <c r="H2750" s="2" t="str">
        <f ca="1">IFERROR(__xludf.DUMMYFUNCTION("GOOGLETRANSLATE(B2750,""en"",""zh"")"),"所有权")</f>
        <v>所有权</v>
      </c>
      <c r="I2750" s="2" t="str">
        <f ca="1">IFERROR(__xludf.DUMMYFUNCTION("GOOGLETRANSLATE(B2750,""en"",""gd"")"),"Seilbh")</f>
        <v>Seilbh</v>
      </c>
    </row>
    <row r="2751" spans="1:9" ht="14.25" customHeight="1" x14ac:dyDescent="0.3">
      <c r="A2751" s="2">
        <v>2750</v>
      </c>
      <c r="B2751" s="3" t="s">
        <v>2758</v>
      </c>
      <c r="C2751" s="2" t="str">
        <f ca="1">IFERROR(__xludf.DUMMYFUNCTION("GOOGLETRANSLATE(B2751, ""en"",""es"")"),"calificación")</f>
        <v>calificación</v>
      </c>
      <c r="D2751" s="2" t="str">
        <f ca="1">IFERROR(__xludf.DUMMYFUNCTION("GOOGLETRANSLATE(B2751,""en"",""ig"")"),"ntozu")</f>
        <v>ntozu</v>
      </c>
      <c r="E2751" s="2" t="str">
        <f ca="1">IFERROR(__xludf.DUMMYFUNCTION("GOOGLETRANSLATE(B2751,""en"",""fr"")"),"qualification")</f>
        <v>qualification</v>
      </c>
      <c r="F2751" s="2" t="str">
        <f ca="1">IFERROR(__xludf.DUMMYFUNCTION("GOOGLETRANSLATE(B2751,""en"",""it"")"),"qualificazione")</f>
        <v>qualificazione</v>
      </c>
      <c r="G2751" s="2" t="str">
        <f ca="1">IFERROR(__xludf.DUMMYFUNCTION("GOOGLETRANSLATE(B2751,""en"",""de"")"),"Qualifikation")</f>
        <v>Qualifikation</v>
      </c>
      <c r="H2751" s="2" t="str">
        <f ca="1">IFERROR(__xludf.DUMMYFUNCTION("GOOGLETRANSLATE(B2751,""en"",""zh"")"),"资格")</f>
        <v>资格</v>
      </c>
      <c r="I2751" s="2" t="str">
        <f ca="1">IFERROR(__xludf.DUMMYFUNCTION("GOOGLETRANSLATE(B2751,""en"",""gd"")"),"Teisteanas")</f>
        <v>Teisteanas</v>
      </c>
    </row>
    <row r="2752" spans="1:9" ht="14.25" customHeight="1" x14ac:dyDescent="0.3">
      <c r="A2752" s="2">
        <v>2751</v>
      </c>
      <c r="B2752" s="3" t="s">
        <v>2759</v>
      </c>
      <c r="C2752" s="2" t="str">
        <f ca="1">IFERROR(__xludf.DUMMYFUNCTION("GOOGLETRANSLATE(B2752, ""en"",""es"")"),"suspender")</f>
        <v>suspender</v>
      </c>
      <c r="D2752" s="2" t="str">
        <f ca="1">IFERROR(__xludf.DUMMYFUNCTION("GOOGLETRANSLATE(B2752,""en"",""ig"")"),"kwusi")</f>
        <v>kwusi</v>
      </c>
      <c r="E2752" s="2" t="str">
        <f ca="1">IFERROR(__xludf.DUMMYFUNCTION("GOOGLETRANSLATE(B2752,""en"",""fr"")"),"suspendre")</f>
        <v>suspendre</v>
      </c>
      <c r="F2752" s="2" t="str">
        <f ca="1">IFERROR(__xludf.DUMMYFUNCTION("GOOGLETRANSLATE(B2752,""en"",""it"")"),"sospendere")</f>
        <v>sospendere</v>
      </c>
      <c r="G2752" s="2" t="str">
        <f ca="1">IFERROR(__xludf.DUMMYFUNCTION("GOOGLETRANSLATE(B2752,""en"",""de"")"),"aussetzen")</f>
        <v>aussetzen</v>
      </c>
      <c r="H2752" s="2" t="str">
        <f ca="1">IFERROR(__xludf.DUMMYFUNCTION("GOOGLETRANSLATE(B2752,""en"",""zh"")"),"暂停")</f>
        <v>暂停</v>
      </c>
      <c r="I2752" s="2" t="str">
        <f ca="1">IFERROR(__xludf.DUMMYFUNCTION("GOOGLETRANSLATE(B2752,""en"",""gd"")"),"Stachadh")</f>
        <v>Stachadh</v>
      </c>
    </row>
    <row r="2753" spans="1:9" ht="14.25" customHeight="1" x14ac:dyDescent="0.3">
      <c r="A2753" s="2">
        <v>2752</v>
      </c>
      <c r="B2753" s="3" t="s">
        <v>2760</v>
      </c>
      <c r="C2753" s="2" t="str">
        <f ca="1">IFERROR(__xludf.DUMMYFUNCTION("GOOGLETRANSLATE(B2753, ""en"",""es"")"),"funcional")</f>
        <v>funcional</v>
      </c>
      <c r="D2753" s="2" t="str">
        <f ca="1">IFERROR(__xludf.DUMMYFUNCTION("GOOGLETRANSLATE(B2753,""en"",""ig"")"),"onodu")</f>
        <v>onodu</v>
      </c>
      <c r="E2753" s="2" t="str">
        <f ca="1">IFERROR(__xludf.DUMMYFUNCTION("GOOGLETRANSLATE(B2753,""en"",""fr"")"),"fonctionnel")</f>
        <v>fonctionnel</v>
      </c>
      <c r="F2753" s="2" t="str">
        <f ca="1">IFERROR(__xludf.DUMMYFUNCTION("GOOGLETRANSLATE(B2753,""en"",""it"")"),"funzionale")</f>
        <v>funzionale</v>
      </c>
      <c r="G2753" s="2" t="str">
        <f ca="1">IFERROR(__xludf.DUMMYFUNCTION("GOOGLETRANSLATE(B2753,""en"",""de"")"),"funktional")</f>
        <v>funktional</v>
      </c>
      <c r="H2753" s="2" t="str">
        <f ca="1">IFERROR(__xludf.DUMMYFUNCTION("GOOGLETRANSLATE(B2753,""en"",""zh"")"),"功能")</f>
        <v>功能</v>
      </c>
      <c r="I2753" s="2" t="str">
        <f ca="1">IFERROR(__xludf.DUMMYFUNCTION("GOOGLETRANSLATE(B2753,""en"",""gd"")"),"gnìomh")</f>
        <v>gnìomh</v>
      </c>
    </row>
    <row r="2754" spans="1:9" ht="14.25" customHeight="1" x14ac:dyDescent="0.3">
      <c r="A2754" s="2">
        <v>2753</v>
      </c>
      <c r="B2754" s="3" t="s">
        <v>2761</v>
      </c>
      <c r="C2754" s="2" t="str">
        <f ca="1">IFERROR(__xludf.DUMMYFUNCTION("GOOGLETRANSLATE(B2754, ""en"",""es"")"),"voluntario")</f>
        <v>voluntario</v>
      </c>
      <c r="D2754" s="2" t="str">
        <f ca="1">IFERROR(__xludf.DUMMYFUNCTION("GOOGLETRANSLATE(B2754,""en"",""ig"")"),"keobioma")</f>
        <v>keobioma</v>
      </c>
      <c r="E2754" s="2" t="str">
        <f ca="1">IFERROR(__xludf.DUMMYFUNCTION("GOOGLETRANSLATE(B2754,""en"",""fr"")"),"volontaire")</f>
        <v>volontaire</v>
      </c>
      <c r="F2754" s="2" t="str">
        <f ca="1">IFERROR(__xludf.DUMMYFUNCTION("GOOGLETRANSLATE(B2754,""en"",""it"")"),"volontario")</f>
        <v>volontario</v>
      </c>
      <c r="G2754" s="2" t="str">
        <f ca="1">IFERROR(__xludf.DUMMYFUNCTION("GOOGLETRANSLATE(B2754,""en"",""de"")"),"freiwillig")</f>
        <v>freiwillig</v>
      </c>
      <c r="H2754" s="2" t="str">
        <f ca="1">IFERROR(__xludf.DUMMYFUNCTION("GOOGLETRANSLATE(B2754,""en"",""zh"")"),"自主性")</f>
        <v>自主性</v>
      </c>
      <c r="I2754" s="2" t="str">
        <f ca="1">IFERROR(__xludf.DUMMYFUNCTION("GOOGLETRANSLATE(B2754,""en"",""gd"")"),"saor-thoileach")</f>
        <v>saor-thoileach</v>
      </c>
    </row>
    <row r="2755" spans="1:9" ht="14.25" customHeight="1" x14ac:dyDescent="0.3">
      <c r="A2755" s="2">
        <v>2754</v>
      </c>
      <c r="B2755" s="3" t="s">
        <v>2762</v>
      </c>
      <c r="C2755" s="2" t="str">
        <f ca="1">IFERROR(__xludf.DUMMYFUNCTION("GOOGLETRANSLATE(B2755, ""en"",""es"")"),"pálido")</f>
        <v>pálido</v>
      </c>
      <c r="D2755" s="2" t="str">
        <f ca="1">IFERROR(__xludf.DUMMYFUNCTION("GOOGLETRANSLATE(B2755,""en"",""ig"")"),"icha mmirimmiri")</f>
        <v>icha mmirimmiri</v>
      </c>
      <c r="E2755" s="2" t="str">
        <f ca="1">IFERROR(__xludf.DUMMYFUNCTION("GOOGLETRANSLATE(B2755,""en"",""fr"")"),"pâle")</f>
        <v>pâle</v>
      </c>
      <c r="F2755" s="2" t="str">
        <f ca="1">IFERROR(__xludf.DUMMYFUNCTION("GOOGLETRANSLATE(B2755,""en"",""it"")"),"pallido")</f>
        <v>pallido</v>
      </c>
      <c r="G2755" s="2" t="str">
        <f ca="1">IFERROR(__xludf.DUMMYFUNCTION("GOOGLETRANSLATE(B2755,""en"",""de"")"),"blass")</f>
        <v>blass</v>
      </c>
      <c r="H2755" s="2" t="str">
        <f ca="1">IFERROR(__xludf.DUMMYFUNCTION("GOOGLETRANSLATE(B2755,""en"",""zh"")"),"苍白")</f>
        <v>苍白</v>
      </c>
      <c r="I2755" s="2" t="str">
        <f ca="1">IFERROR(__xludf.DUMMYFUNCTION("GOOGLETRANSLATE(B2755,""en"",""gd"")"),"bàn")</f>
        <v>bàn</v>
      </c>
    </row>
    <row r="2756" spans="1:9" ht="14.25" customHeight="1" x14ac:dyDescent="0.3">
      <c r="A2756" s="2">
        <v>2755</v>
      </c>
      <c r="B2756" s="3" t="s">
        <v>2763</v>
      </c>
      <c r="C2756" s="2" t="str">
        <f ca="1">IFERROR(__xludf.DUMMYFUNCTION("GOOGLETRANSLATE(B2756, ""en"",""es"")"),"mancha")</f>
        <v>mancha</v>
      </c>
      <c r="D2756" s="2" t="str">
        <f ca="1">IFERROR(__xludf.DUMMYFUNCTION("GOOGLETRANSLATE(B2756,""en"",""ig"")"),"mpa")</f>
        <v>mpa</v>
      </c>
      <c r="E2756" s="2" t="str">
        <f ca="1">IFERROR(__xludf.DUMMYFUNCTION("GOOGLETRANSLATE(B2756,""en"",""fr"")"),"tache")</f>
        <v>tache</v>
      </c>
      <c r="F2756" s="2" t="str">
        <f ca="1">IFERROR(__xludf.DUMMYFUNCTION("GOOGLETRANSLATE(B2756,""en"",""it"")"),"macchia")</f>
        <v>macchia</v>
      </c>
      <c r="G2756" s="2" t="str">
        <f ca="1">IFERROR(__xludf.DUMMYFUNCTION("GOOGLETRANSLATE(B2756,""en"",""de"")"),"Fleck")</f>
        <v>Fleck</v>
      </c>
      <c r="H2756" s="2" t="str">
        <f ca="1">IFERROR(__xludf.DUMMYFUNCTION("GOOGLETRANSLATE(B2756,""en"",""zh"")"),"弄脏")</f>
        <v>弄脏</v>
      </c>
      <c r="I2756" s="2" t="str">
        <f ca="1">IFERROR(__xludf.DUMMYFUNCTION("GOOGLETRANSLATE(B2756,""en"",""gd"")"),"stain")</f>
        <v>stain</v>
      </c>
    </row>
    <row r="2757" spans="1:9" ht="14.25" customHeight="1" x14ac:dyDescent="0.3">
      <c r="A2757" s="2">
        <v>2756</v>
      </c>
      <c r="B2757" s="3" t="s">
        <v>2764</v>
      </c>
      <c r="C2757" s="2" t="str">
        <f ca="1">IFERROR(__xludf.DUMMYFUNCTION("GOOGLETRANSLATE(B2757, ""en"",""es"")"),"atleta")</f>
        <v>atleta</v>
      </c>
      <c r="D2757" s="2" t="str">
        <f ca="1">IFERROR(__xludf.DUMMYFUNCTION("GOOGLETRANSLATE(B2757,""en"",""ig"")"),"onye supotu")</f>
        <v>onye supotu</v>
      </c>
      <c r="E2757" s="2" t="str">
        <f ca="1">IFERROR(__xludf.DUMMYFUNCTION("GOOGLETRANSLATE(B2757,""en"",""fr"")"),"athlète")</f>
        <v>athlète</v>
      </c>
      <c r="F2757" s="2" t="str">
        <f ca="1">IFERROR(__xludf.DUMMYFUNCTION("GOOGLETRANSLATE(B2757,""en"",""it"")"),"atleta")</f>
        <v>atleta</v>
      </c>
      <c r="G2757" s="2" t="str">
        <f ca="1">IFERROR(__xludf.DUMMYFUNCTION("GOOGLETRANSLATE(B2757,""en"",""de"")"),"Athlet")</f>
        <v>Athlet</v>
      </c>
      <c r="H2757" s="2" t="str">
        <f ca="1">IFERROR(__xludf.DUMMYFUNCTION("GOOGLETRANSLATE(B2757,""en"",""zh"")"),"运动员")</f>
        <v>运动员</v>
      </c>
      <c r="I2757" s="2" t="str">
        <f ca="1">IFERROR(__xludf.DUMMYFUNCTION("GOOGLETRANSLATE(B2757,""en"",""gd"")"),"lùth-chleasaiche")</f>
        <v>lùth-chleasaiche</v>
      </c>
    </row>
    <row r="2758" spans="1:9" ht="14.25" customHeight="1" x14ac:dyDescent="0.3">
      <c r="A2758" s="2">
        <v>2757</v>
      </c>
      <c r="B2758" s="3" t="s">
        <v>2765</v>
      </c>
      <c r="C2758" s="2" t="str">
        <f ca="1">IFERROR(__xludf.DUMMYFUNCTION("GOOGLETRANSLATE(B2758, ""en"",""es"")"),"orgánico")</f>
        <v>orgánico</v>
      </c>
      <c r="D2758" s="2" t="str">
        <f ca="1">IFERROR(__xludf.DUMMYFUNCTION("GOOGLETRANSLATE(B2758,""en"",""ig"")"),"Organic")</f>
        <v>Organic</v>
      </c>
      <c r="E2758" s="2" t="str">
        <f ca="1">IFERROR(__xludf.DUMMYFUNCTION("GOOGLETRANSLATE(B2758,""en"",""fr"")"),"organique")</f>
        <v>organique</v>
      </c>
      <c r="F2758" s="2" t="str">
        <f ca="1">IFERROR(__xludf.DUMMYFUNCTION("GOOGLETRANSLATE(B2758,""en"",""it"")"),"biologico")</f>
        <v>biologico</v>
      </c>
      <c r="G2758" s="2" t="str">
        <f ca="1">IFERROR(__xludf.DUMMYFUNCTION("GOOGLETRANSLATE(B2758,""en"",""de"")"),"organisch")</f>
        <v>organisch</v>
      </c>
      <c r="H2758" s="2" t="str">
        <f ca="1">IFERROR(__xludf.DUMMYFUNCTION("GOOGLETRANSLATE(B2758,""en"",""zh"")"),"有机的")</f>
        <v>有机的</v>
      </c>
      <c r="I2758" s="2" t="str">
        <f ca="1">IFERROR(__xludf.DUMMYFUNCTION("GOOGLETRANSLATE(B2758,""en"",""gd"")"),"organach")</f>
        <v>organach</v>
      </c>
    </row>
    <row r="2759" spans="1:9" ht="14.25" customHeight="1" x14ac:dyDescent="0.3">
      <c r="A2759" s="2">
        <v>2758</v>
      </c>
      <c r="B2759" s="3" t="s">
        <v>2766</v>
      </c>
      <c r="C2759" s="2" t="str">
        <f ca="1">IFERROR(__xludf.DUMMYFUNCTION("GOOGLETRANSLATE(B2759, ""en"",""es"")"),"lengua")</f>
        <v>lengua</v>
      </c>
      <c r="D2759" s="2" t="str">
        <f ca="1">IFERROR(__xludf.DUMMYFUNCTION("GOOGLETRANSLATE(B2759,""en"",""ig"")"),"ire")</f>
        <v>ire</v>
      </c>
      <c r="E2759" s="2" t="str">
        <f ca="1">IFERROR(__xludf.DUMMYFUNCTION("GOOGLETRANSLATE(B2759,""en"",""fr"")"),"langue")</f>
        <v>langue</v>
      </c>
      <c r="F2759" s="2" t="str">
        <f ca="1">IFERROR(__xludf.DUMMYFUNCTION("GOOGLETRANSLATE(B2759,""en"",""it"")"),"lingua")</f>
        <v>lingua</v>
      </c>
      <c r="G2759" s="2" t="str">
        <f ca="1">IFERROR(__xludf.DUMMYFUNCTION("GOOGLETRANSLATE(B2759,""en"",""de"")"),"Zunge")</f>
        <v>Zunge</v>
      </c>
      <c r="H2759" s="2" t="str">
        <f ca="1">IFERROR(__xludf.DUMMYFUNCTION("GOOGLETRANSLATE(B2759,""en"",""zh"")"),"舌头")</f>
        <v>舌头</v>
      </c>
      <c r="I2759" s="2" t="str">
        <f ca="1">IFERROR(__xludf.DUMMYFUNCTION("GOOGLETRANSLATE(B2759,""en"",""gd"")"),"teanga")</f>
        <v>teanga</v>
      </c>
    </row>
    <row r="2760" spans="1:9" ht="14.25" customHeight="1" x14ac:dyDescent="0.3">
      <c r="A2760" s="2">
        <v>2759</v>
      </c>
      <c r="B2760" s="3" t="s">
        <v>2767</v>
      </c>
      <c r="C2760" s="2" t="str">
        <f ca="1">IFERROR(__xludf.DUMMYFUNCTION("GOOGLETRANSLATE(B2760, ""en"",""es"")"),"servidor")</f>
        <v>servidor</v>
      </c>
      <c r="D2760" s="2" t="str">
        <f ca="1">IFERROR(__xludf.DUMMYFUNCTION("GOOGLETRANSLATE(B2760,""en"",""ig"")"),"nkesa")</f>
        <v>nkesa</v>
      </c>
      <c r="E2760" s="2" t="str">
        <f ca="1">IFERROR(__xludf.DUMMYFUNCTION("GOOGLETRANSLATE(B2760,""en"",""fr"")"),"serveur")</f>
        <v>serveur</v>
      </c>
      <c r="F2760" s="2" t="str">
        <f ca="1">IFERROR(__xludf.DUMMYFUNCTION("GOOGLETRANSLATE(B2760,""en"",""it"")"),"server")</f>
        <v>server</v>
      </c>
      <c r="G2760" s="2" t="str">
        <f ca="1">IFERROR(__xludf.DUMMYFUNCTION("GOOGLETRANSLATE(B2760,""en"",""de"")"),"Server")</f>
        <v>Server</v>
      </c>
      <c r="H2760" s="2" t="str">
        <f ca="1">IFERROR(__xludf.DUMMYFUNCTION("GOOGLETRANSLATE(B2760,""en"",""zh"")"),"服务器")</f>
        <v>服务器</v>
      </c>
      <c r="I2760" s="2" t="str">
        <f ca="1">IFERROR(__xludf.DUMMYFUNCTION("GOOGLETRANSLATE(B2760,""en"",""gd"")"),"Frithealaiche")</f>
        <v>Frithealaiche</v>
      </c>
    </row>
    <row r="2761" spans="1:9" ht="14.25" customHeight="1" x14ac:dyDescent="0.3">
      <c r="A2761" s="2">
        <v>2760</v>
      </c>
      <c r="B2761" s="3" t="s">
        <v>2768</v>
      </c>
      <c r="C2761" s="2" t="str">
        <f ca="1">IFERROR(__xludf.DUMMYFUNCTION("GOOGLETRANSLATE(B2761, ""en"",""es"")"),"estructural")</f>
        <v>estructural</v>
      </c>
      <c r="D2761" s="2" t="str">
        <f ca="1">IFERROR(__xludf.DUMMYFUNCTION("GOOGLETRANSLATE(B2761,""en"",""ig"")"),"maka oru")</f>
        <v>maka oru</v>
      </c>
      <c r="E2761" s="2" t="str">
        <f ca="1">IFERROR(__xludf.DUMMYFUNCTION("GOOGLETRANSLATE(B2761,""en"",""fr"")"),"de construction")</f>
        <v>de construction</v>
      </c>
      <c r="F2761" s="2" t="str">
        <f ca="1">IFERROR(__xludf.DUMMYFUNCTION("GOOGLETRANSLATE(B2761,""en"",""it"")"),"strutturale")</f>
        <v>strutturale</v>
      </c>
      <c r="G2761" s="2" t="str">
        <f ca="1">IFERROR(__xludf.DUMMYFUNCTION("GOOGLETRANSLATE(B2761,""en"",""de"")"),"strukturell")</f>
        <v>strukturell</v>
      </c>
      <c r="H2761" s="2" t="str">
        <f ca="1">IFERROR(__xludf.DUMMYFUNCTION("GOOGLETRANSLATE(B2761,""en"",""zh"")"),"结构")</f>
        <v>结构</v>
      </c>
      <c r="I2761" s="2" t="str">
        <f ca="1">IFERROR(__xludf.DUMMYFUNCTION("GOOGLETRANSLATE(B2761,""en"",""gd"")"),"structarail")</f>
        <v>structarail</v>
      </c>
    </row>
    <row r="2762" spans="1:9" ht="14.25" customHeight="1" x14ac:dyDescent="0.3">
      <c r="A2762" s="2">
        <v>2761</v>
      </c>
      <c r="B2762" s="3" t="s">
        <v>2769</v>
      </c>
      <c r="C2762" s="2" t="str">
        <f ca="1">IFERROR(__xludf.DUMMYFUNCTION("GOOGLETRANSLATE(B2762, ""en"",""es"")"),"tonto")</f>
        <v>tonto</v>
      </c>
      <c r="D2762" s="2" t="str">
        <f ca="1">IFERROR(__xludf.DUMMYFUNCTION("GOOGLETRANSLATE(B2762,""en"",""ig"")"),"oluku")</f>
        <v>oluku</v>
      </c>
      <c r="E2762" s="2" t="str">
        <f ca="1">IFERROR(__xludf.DUMMYFUNCTION("GOOGLETRANSLATE(B2762,""en"",""fr"")"),"idiot")</f>
        <v>idiot</v>
      </c>
      <c r="F2762" s="2" t="str">
        <f ca="1">IFERROR(__xludf.DUMMYFUNCTION("GOOGLETRANSLATE(B2762,""en"",""it"")"),"scemo")</f>
        <v>scemo</v>
      </c>
      <c r="G2762" s="2" t="str">
        <f ca="1">IFERROR(__xludf.DUMMYFUNCTION("GOOGLETRANSLATE(B2762,""en"",""de"")"),"Narr")</f>
        <v>Narr</v>
      </c>
      <c r="H2762" s="2" t="str">
        <f ca="1">IFERROR(__xludf.DUMMYFUNCTION("GOOGLETRANSLATE(B2762,""en"",""zh"")"),"傻子")</f>
        <v>傻子</v>
      </c>
      <c r="I2762" s="2" t="str">
        <f ca="1">IFERROR(__xludf.DUMMYFUNCTION("GOOGLETRANSLATE(B2762,""en"",""gd"")"),"amadan")</f>
        <v>amadan</v>
      </c>
    </row>
    <row r="2763" spans="1:9" ht="14.25" customHeight="1" x14ac:dyDescent="0.3">
      <c r="A2763" s="2">
        <v>2762</v>
      </c>
      <c r="B2763" s="3" t="s">
        <v>2770</v>
      </c>
      <c r="C2763" s="2" t="str">
        <f ca="1">IFERROR(__xludf.DUMMYFUNCTION("GOOGLETRANSLATE(B2763, ""en"",""es"")"),"junto a")</f>
        <v>junto a</v>
      </c>
      <c r="D2763" s="2" t="str">
        <f ca="1">IFERROR(__xludf.DUMMYFUNCTION("GOOGLETRANSLATE(B2763,""en"",""ig"")"),"n'akuku")</f>
        <v>n'akuku</v>
      </c>
      <c r="E2763" s="2" t="str">
        <f ca="1">IFERROR(__xludf.DUMMYFUNCTION("GOOGLETRANSLATE(B2763,""en"",""fr"")"),"aux côtés de")</f>
        <v>aux côtés de</v>
      </c>
      <c r="F2763" s="2" t="str">
        <f ca="1">IFERROR(__xludf.DUMMYFUNCTION("GOOGLETRANSLATE(B2763,""en"",""it"")"),"insieme a")</f>
        <v>insieme a</v>
      </c>
      <c r="G2763" s="2" t="str">
        <f ca="1">IFERROR(__xludf.DUMMYFUNCTION("GOOGLETRANSLATE(B2763,""en"",""de"")"),"neben")</f>
        <v>neben</v>
      </c>
      <c r="H2763" s="2" t="str">
        <f ca="1">IFERROR(__xludf.DUMMYFUNCTION("GOOGLETRANSLATE(B2763,""en"",""zh"")"),"旁边")</f>
        <v>旁边</v>
      </c>
      <c r="I2763" s="2" t="str">
        <f ca="1">IFERROR(__xludf.DUMMYFUNCTION("GOOGLETRANSLATE(B2763,""en"",""gd"")"),"Còmhla ri taobh")</f>
        <v>Còmhla ri taobh</v>
      </c>
    </row>
    <row r="2764" spans="1:9" ht="14.25" customHeight="1" x14ac:dyDescent="0.3">
      <c r="A2764" s="2">
        <v>2763</v>
      </c>
      <c r="B2764" s="3" t="s">
        <v>2771</v>
      </c>
      <c r="C2764" s="2" t="str">
        <f ca="1">IFERROR(__xludf.DUMMYFUNCTION("GOOGLETRANSLATE(B2764, ""en"",""es"")"),"unir")</f>
        <v>unir</v>
      </c>
      <c r="D2764" s="2" t="str">
        <f ca="1">IFERROR(__xludf.DUMMYFUNCTION("GOOGLETRANSLATE(B2764,""en"",""ig"")"),"ijikota")</f>
        <v>ijikota</v>
      </c>
      <c r="E2764" s="2" t="str">
        <f ca="1">IFERROR(__xludf.DUMMYFUNCTION("GOOGLETRANSLATE(B2764,""en"",""fr"")"),"unir")</f>
        <v>unir</v>
      </c>
      <c r="F2764" s="2" t="str">
        <f ca="1">IFERROR(__xludf.DUMMYFUNCTION("GOOGLETRANSLATE(B2764,""en"",""it"")"),"unire")</f>
        <v>unire</v>
      </c>
      <c r="G2764" s="2" t="str">
        <f ca="1">IFERROR(__xludf.DUMMYFUNCTION("GOOGLETRANSLATE(B2764,""en"",""de"")"),"Vereinen")</f>
        <v>Vereinen</v>
      </c>
      <c r="H2764" s="2" t="str">
        <f ca="1">IFERROR(__xludf.DUMMYFUNCTION("GOOGLETRANSLATE(B2764,""en"",""zh"")"),"团结")</f>
        <v>团结</v>
      </c>
      <c r="I2764" s="2" t="str">
        <f ca="1">IFERROR(__xludf.DUMMYFUNCTION("GOOGLETRANSLATE(B2764,""en"",""gd"")"),"unite")</f>
        <v>unite</v>
      </c>
    </row>
    <row r="2765" spans="1:9" ht="14.25" customHeight="1" x14ac:dyDescent="0.3">
      <c r="A2765" s="2">
        <v>2764</v>
      </c>
      <c r="B2765" s="3" t="s">
        <v>2772</v>
      </c>
      <c r="C2765" s="2" t="str">
        <f ca="1">IFERROR(__xludf.DUMMYFUNCTION("GOOGLETRANSLATE(B2765, ""en"",""es"")"),"suavemente")</f>
        <v>suavemente</v>
      </c>
      <c r="D2765" s="2" t="str">
        <f ca="1">IFERROR(__xludf.DUMMYFUNCTION("GOOGLETRANSLATE(B2765,""en"",""ig"")"),"keumeala")</f>
        <v>keumeala</v>
      </c>
      <c r="E2765" s="2" t="str">
        <f ca="1">IFERROR(__xludf.DUMMYFUNCTION("GOOGLETRANSLATE(B2765,""en"",""fr"")"),"doucement")</f>
        <v>doucement</v>
      </c>
      <c r="F2765" s="2" t="str">
        <f ca="1">IFERROR(__xludf.DUMMYFUNCTION("GOOGLETRANSLATE(B2765,""en"",""it"")"),"delicatamente")</f>
        <v>delicatamente</v>
      </c>
      <c r="G2765" s="2" t="str">
        <f ca="1">IFERROR(__xludf.DUMMYFUNCTION("GOOGLETRANSLATE(B2765,""en"",""de"")"),"sanft")</f>
        <v>sanft</v>
      </c>
      <c r="H2765" s="2" t="str">
        <f ca="1">IFERROR(__xludf.DUMMYFUNCTION("GOOGLETRANSLATE(B2765,""en"",""zh"")"),"轻轻地")</f>
        <v>轻轻地</v>
      </c>
      <c r="I2765" s="2" t="str">
        <f ca="1">IFERROR(__xludf.DUMMYFUNCTION("GOOGLETRANSLATE(B2765,""en"",""gd"")"),"gu socair")</f>
        <v>gu socair</v>
      </c>
    </row>
    <row r="2766" spans="1:9" ht="14.25" customHeight="1" x14ac:dyDescent="0.3">
      <c r="A2766" s="2">
        <v>2765</v>
      </c>
      <c r="B2766" s="3" t="s">
        <v>2773</v>
      </c>
      <c r="C2766" s="2" t="str">
        <f ca="1">IFERROR(__xludf.DUMMYFUNCTION("GOOGLETRANSLATE(B2766, ""en"",""es"")"),"calcular")</f>
        <v>calcular</v>
      </c>
      <c r="D2766" s="2" t="str">
        <f ca="1">IFERROR(__xludf.DUMMYFUNCTION("GOOGLETRANSLATE(B2766,""en"",""ig"")"),"uko")</f>
        <v>uko</v>
      </c>
      <c r="E2766" s="2" t="str">
        <f ca="1">IFERROR(__xludf.DUMMYFUNCTION("GOOGLETRANSLATE(B2766,""en"",""fr"")"),"calculer")</f>
        <v>calculer</v>
      </c>
      <c r="F2766" s="2" t="str">
        <f ca="1">IFERROR(__xludf.DUMMYFUNCTION("GOOGLETRANSLATE(B2766,""en"",""it"")"),"calcolare")</f>
        <v>calcolare</v>
      </c>
      <c r="G2766" s="2" t="str">
        <f ca="1">IFERROR(__xludf.DUMMYFUNCTION("GOOGLETRANSLATE(B2766,""en"",""de"")"),"berechnen")</f>
        <v>berechnen</v>
      </c>
      <c r="H2766" s="2" t="str">
        <f ca="1">IFERROR(__xludf.DUMMYFUNCTION("GOOGLETRANSLATE(B2766,""en"",""zh"")"),"计算")</f>
        <v>计算</v>
      </c>
      <c r="I2766" s="2" t="str">
        <f ca="1">IFERROR(__xludf.DUMMYFUNCTION("GOOGLETRANSLATE(B2766,""en"",""gd"")"),"Compute")</f>
        <v>Compute</v>
      </c>
    </row>
    <row r="2767" spans="1:9" ht="14.25" customHeight="1" x14ac:dyDescent="0.3">
      <c r="A2767" s="2">
        <v>2766</v>
      </c>
      <c r="B2767" s="3" t="s">
        <v>2774</v>
      </c>
      <c r="C2767" s="2" t="str">
        <f ca="1">IFERROR(__xludf.DUMMYFUNCTION("GOOGLETRANSLATE(B2767, ""en"",""es"")"),"limpiar")</f>
        <v>limpiar</v>
      </c>
      <c r="D2767" s="2" t="str">
        <f ca="1">IFERROR(__xludf.DUMMYFUNCTION("GOOGLETRANSLATE(B2767,""en"",""ig"")"),"hichaa")</f>
        <v>hichaa</v>
      </c>
      <c r="E2767" s="2" t="str">
        <f ca="1">IFERROR(__xludf.DUMMYFUNCTION("GOOGLETRANSLATE(B2767,""en"",""fr"")"),"essuyer")</f>
        <v>essuyer</v>
      </c>
      <c r="F2767" s="2" t="str">
        <f ca="1">IFERROR(__xludf.DUMMYFUNCTION("GOOGLETRANSLATE(B2767,""en"",""it"")"),"pulire")</f>
        <v>pulire</v>
      </c>
      <c r="G2767" s="2" t="str">
        <f ca="1">IFERROR(__xludf.DUMMYFUNCTION("GOOGLETRANSLATE(B2767,""en"",""de"")"),"wischen")</f>
        <v>wischen</v>
      </c>
      <c r="H2767" s="2" t="str">
        <f ca="1">IFERROR(__xludf.DUMMYFUNCTION("GOOGLETRANSLATE(B2767,""en"",""zh"")"),"擦拭")</f>
        <v>擦拭</v>
      </c>
      <c r="I2767" s="2" t="str">
        <f ca="1">IFERROR(__xludf.DUMMYFUNCTION("GOOGLETRANSLATE(B2767,""en"",""gd"")"),"Sguab")</f>
        <v>Sguab</v>
      </c>
    </row>
    <row r="2768" spans="1:9" ht="14.25" customHeight="1" x14ac:dyDescent="0.3">
      <c r="A2768" s="2">
        <v>2767</v>
      </c>
      <c r="B2768" s="3" t="s">
        <v>2775</v>
      </c>
      <c r="C2768" s="2" t="str">
        <f ca="1">IFERROR(__xludf.DUMMYFUNCTION("GOOGLETRANSLATE(B2768, ""en"",""es"")"),"extraño")</f>
        <v>extraño</v>
      </c>
      <c r="D2768" s="2" t="str">
        <f ca="1">IFERROR(__xludf.DUMMYFUNCTION("GOOGLETRANSLATE(B2768,""en"",""ig"")"),"werd")</f>
        <v>werd</v>
      </c>
      <c r="E2768" s="2" t="str">
        <f ca="1">IFERROR(__xludf.DUMMYFUNCTION("GOOGLETRANSLATE(B2768,""en"",""fr"")"),"bizarre")</f>
        <v>bizarre</v>
      </c>
      <c r="F2768" s="2" t="str">
        <f ca="1">IFERROR(__xludf.DUMMYFUNCTION("GOOGLETRANSLATE(B2768,""en"",""it"")"),"Strano")</f>
        <v>Strano</v>
      </c>
      <c r="G2768" s="2" t="str">
        <f ca="1">IFERROR(__xludf.DUMMYFUNCTION("GOOGLETRANSLATE(B2768,""en"",""de"")"),"seltsam")</f>
        <v>seltsam</v>
      </c>
      <c r="H2768" s="2" t="str">
        <f ca="1">IFERROR(__xludf.DUMMYFUNCTION("GOOGLETRANSLATE(B2768,""en"",""zh"")"),"诡异的")</f>
        <v>诡异的</v>
      </c>
      <c r="I2768" s="2" t="str">
        <f ca="1">IFERROR(__xludf.DUMMYFUNCTION("GOOGLETRANSLATE(B2768,""en"",""gd"")"),"neònach")</f>
        <v>neònach</v>
      </c>
    </row>
    <row r="2769" spans="1:9" ht="14.25" customHeight="1" x14ac:dyDescent="0.3">
      <c r="A2769" s="2">
        <v>2768</v>
      </c>
      <c r="B2769" s="3" t="s">
        <v>2776</v>
      </c>
      <c r="C2769" s="2" t="str">
        <f ca="1">IFERROR(__xludf.DUMMYFUNCTION("GOOGLETRANSLATE(B2769, ""en"",""es"")"),"mirada")</f>
        <v>mirada</v>
      </c>
      <c r="D2769" s="2" t="str">
        <f ca="1">IFERROR(__xludf.DUMMYFUNCTION("GOOGLETRANSLATE(B2769,""en"",""ig"")"),"lea")</f>
        <v>lea</v>
      </c>
      <c r="E2769" s="2" t="str">
        <f ca="1">IFERROR(__xludf.DUMMYFUNCTION("GOOGLETRANSLATE(B2769,""en"",""fr"")"),"regard")</f>
        <v>regard</v>
      </c>
      <c r="F2769" s="2" t="str">
        <f ca="1">IFERROR(__xludf.DUMMYFUNCTION("GOOGLETRANSLATE(B2769,""en"",""it"")"),"sguardo")</f>
        <v>sguardo</v>
      </c>
      <c r="G2769" s="2" t="str">
        <f ca="1">IFERROR(__xludf.DUMMYFUNCTION("GOOGLETRANSLATE(B2769,""en"",""de"")"),"Blick")</f>
        <v>Blick</v>
      </c>
      <c r="H2769" s="2" t="str">
        <f ca="1">IFERROR(__xludf.DUMMYFUNCTION("GOOGLETRANSLATE(B2769,""en"",""zh"")"),"凝视")</f>
        <v>凝视</v>
      </c>
      <c r="I2769" s="2" t="str">
        <f ca="1">IFERROR(__xludf.DUMMYFUNCTION("GOOGLETRANSLATE(B2769,""en"",""gd"")"),"spleuchd")</f>
        <v>spleuchd</v>
      </c>
    </row>
    <row r="2770" spans="1:9" ht="14.25" customHeight="1" x14ac:dyDescent="0.3">
      <c r="A2770" s="2">
        <v>2769</v>
      </c>
      <c r="B2770" s="3" t="s">
        <v>2777</v>
      </c>
      <c r="C2770" s="2" t="str">
        <f ca="1">IFERROR(__xludf.DUMMYFUNCTION("GOOGLETRANSLATE(B2770, ""en"",""es"")"),"desteñir")</f>
        <v>desteñir</v>
      </c>
      <c r="D2770" s="2" t="str">
        <f ca="1">IFERROR(__xludf.DUMMYFUNCTION("GOOGLETRANSLATE(B2770,""en"",""ig"")"),"ichabo")</f>
        <v>ichabo</v>
      </c>
      <c r="E2770" s="2" t="str">
        <f ca="1">IFERROR(__xludf.DUMMYFUNCTION("GOOGLETRANSLATE(B2770,""en"",""fr"")"),"disparaître")</f>
        <v>disparaître</v>
      </c>
      <c r="F2770" s="2" t="str">
        <f ca="1">IFERROR(__xludf.DUMMYFUNCTION("GOOGLETRANSLATE(B2770,""en"",""it"")"),"dissolvenza")</f>
        <v>dissolvenza</v>
      </c>
      <c r="G2770" s="2" t="str">
        <f ca="1">IFERROR(__xludf.DUMMYFUNCTION("GOOGLETRANSLATE(B2770,""en"",""de"")"),"verblassen")</f>
        <v>verblassen</v>
      </c>
      <c r="H2770" s="2" t="str">
        <f ca="1">IFERROR(__xludf.DUMMYFUNCTION("GOOGLETRANSLATE(B2770,""en"",""zh"")"),"褪色")</f>
        <v>褪色</v>
      </c>
      <c r="I2770" s="2" t="str">
        <f ca="1">IFERROR(__xludf.DUMMYFUNCTION("GOOGLETRANSLATE(B2770,""en"",""gd"")"),"sear")</f>
        <v>sear</v>
      </c>
    </row>
    <row r="2771" spans="1:9" ht="14.25" customHeight="1" x14ac:dyDescent="0.3">
      <c r="A2771" s="2">
        <v>2770</v>
      </c>
      <c r="B2771" s="3" t="s">
        <v>2778</v>
      </c>
      <c r="C2771" s="2" t="str">
        <f ca="1">IFERROR(__xludf.DUMMYFUNCTION("GOOGLETRANSLATE(B2771, ""en"",""es"")"),"tos")</f>
        <v>tos</v>
      </c>
      <c r="D2771" s="2" t="str">
        <f ca="1">IFERROR(__xludf.DUMMYFUNCTION("GOOGLETRANSLATE(B2771,""en"",""ig"")"),"ukwara")</f>
        <v>ukwara</v>
      </c>
      <c r="E2771" s="2" t="str">
        <f ca="1">IFERROR(__xludf.DUMMYFUNCTION("GOOGLETRANSLATE(B2771,""en"",""fr"")"),"toux")</f>
        <v>toux</v>
      </c>
      <c r="F2771" s="2" t="str">
        <f ca="1">IFERROR(__xludf.DUMMYFUNCTION("GOOGLETRANSLATE(B2771,""en"",""it"")"),"tosse")</f>
        <v>tosse</v>
      </c>
      <c r="G2771" s="2" t="str">
        <f ca="1">IFERROR(__xludf.DUMMYFUNCTION("GOOGLETRANSLATE(B2771,""en"",""de"")"),"Husten")</f>
        <v>Husten</v>
      </c>
      <c r="H2771" s="2" t="str">
        <f ca="1">IFERROR(__xludf.DUMMYFUNCTION("GOOGLETRANSLATE(B2771,""en"",""zh"")"),"咳嗽")</f>
        <v>咳嗽</v>
      </c>
      <c r="I2771" s="2" t="str">
        <f ca="1">IFERROR(__xludf.DUMMYFUNCTION("GOOGLETRANSLATE(B2771,""en"",""gd"")"),"casadaich")</f>
        <v>casadaich</v>
      </c>
    </row>
    <row r="2772" spans="1:9" ht="14.25" customHeight="1" x14ac:dyDescent="0.3">
      <c r="A2772" s="2">
        <v>2771</v>
      </c>
      <c r="B2772" s="3" t="s">
        <v>2779</v>
      </c>
      <c r="C2772" s="2" t="str">
        <f ca="1">IFERROR(__xludf.DUMMYFUNCTION("GOOGLETRANSLATE(B2772, ""en"",""es"")"),"hipótesis")</f>
        <v>hipótesis</v>
      </c>
      <c r="D2772" s="2" t="str">
        <f ca="1">IFERROR(__xludf.DUMMYFUNCTION("GOOGLETRANSLATE(B2772,""en"",""ig"")"),"hypothesis")</f>
        <v>hypothesis</v>
      </c>
      <c r="E2772" s="2" t="str">
        <f ca="1">IFERROR(__xludf.DUMMYFUNCTION("GOOGLETRANSLATE(B2772,""en"",""fr"")"),"hypothèse")</f>
        <v>hypothèse</v>
      </c>
      <c r="F2772" s="2" t="str">
        <f ca="1">IFERROR(__xludf.DUMMYFUNCTION("GOOGLETRANSLATE(B2772,""en"",""it"")"),"ipotesi")</f>
        <v>ipotesi</v>
      </c>
      <c r="G2772" s="2" t="str">
        <f ca="1">IFERROR(__xludf.DUMMYFUNCTION("GOOGLETRANSLATE(B2772,""en"",""de"")"),"Hypothese")</f>
        <v>Hypothese</v>
      </c>
      <c r="H2772" s="2" t="str">
        <f ca="1">IFERROR(__xludf.DUMMYFUNCTION("GOOGLETRANSLATE(B2772,""en"",""zh"")"),"假设")</f>
        <v>假设</v>
      </c>
      <c r="I2772" s="2" t="str">
        <f ca="1">IFERROR(__xludf.DUMMYFUNCTION("GOOGLETRANSLATE(B2772,""en"",""gd"")"),"beachd-bharail")</f>
        <v>beachd-bharail</v>
      </c>
    </row>
    <row r="2773" spans="1:9" ht="14.25" customHeight="1" x14ac:dyDescent="0.3">
      <c r="A2773" s="2">
        <v>2772</v>
      </c>
      <c r="B2773" s="3" t="s">
        <v>2780</v>
      </c>
      <c r="C2773" s="2" t="str">
        <f ca="1">IFERROR(__xludf.DUMMYFUNCTION("GOOGLETRANSLATE(B2773, ""en"",""es"")"),"real")</f>
        <v>real</v>
      </c>
      <c r="D2773" s="2" t="str">
        <f ca="1">IFERROR(__xludf.DUMMYFUNCTION("GOOGLETRANSLATE(B2773,""en"",""ig"")"),"nke eze")</f>
        <v>nke eze</v>
      </c>
      <c r="E2773" s="2" t="str">
        <f ca="1">IFERROR(__xludf.DUMMYFUNCTION("GOOGLETRANSLATE(B2773,""en"",""fr"")"),"Royal")</f>
        <v>Royal</v>
      </c>
      <c r="F2773" s="2" t="str">
        <f ca="1">IFERROR(__xludf.DUMMYFUNCTION("GOOGLETRANSLATE(B2773,""en"",""it"")"),"reale")</f>
        <v>reale</v>
      </c>
      <c r="G2773" s="2" t="str">
        <f ca="1">IFERROR(__xludf.DUMMYFUNCTION("GOOGLETRANSLATE(B2773,""en"",""de"")"),"königlich")</f>
        <v>königlich</v>
      </c>
      <c r="H2773" s="2" t="str">
        <f ca="1">IFERROR(__xludf.DUMMYFUNCTION("GOOGLETRANSLATE(B2773,""en"",""zh"")"),"皇家")</f>
        <v>皇家</v>
      </c>
      <c r="I2773" s="2" t="str">
        <f ca="1">IFERROR(__xludf.DUMMYFUNCTION("GOOGLETRANSLATE(B2773,""en"",""gd"")"),"Royal")</f>
        <v>Royal</v>
      </c>
    </row>
    <row r="2774" spans="1:9" ht="14.25" customHeight="1" x14ac:dyDescent="0.3">
      <c r="A2774" s="2">
        <v>2773</v>
      </c>
      <c r="B2774" s="3" t="s">
        <v>2781</v>
      </c>
      <c r="C2774" s="2" t="str">
        <f ca="1">IFERROR(__xludf.DUMMYFUNCTION("GOOGLETRANSLATE(B2774, ""en"",""es"")"),"teórico")</f>
        <v>teórico</v>
      </c>
      <c r="D2774" s="2" t="str">
        <f ca="1">IFERROR(__xludf.DUMMYFUNCTION("GOOGLETRANSLATE(B2774,""en"",""ig"")"),"mmepeanya")</f>
        <v>mmepeanya</v>
      </c>
      <c r="E2774" s="2" t="str">
        <f ca="1">IFERROR(__xludf.DUMMYFUNCTION("GOOGLETRANSLATE(B2774,""en"",""fr"")"),"théorique")</f>
        <v>théorique</v>
      </c>
      <c r="F2774" s="2" t="str">
        <f ca="1">IFERROR(__xludf.DUMMYFUNCTION("GOOGLETRANSLATE(B2774,""en"",""it"")"),"teorico")</f>
        <v>teorico</v>
      </c>
      <c r="G2774" s="2" t="str">
        <f ca="1">IFERROR(__xludf.DUMMYFUNCTION("GOOGLETRANSLATE(B2774,""en"",""de"")"),"theoretisch")</f>
        <v>theoretisch</v>
      </c>
      <c r="H2774" s="2" t="str">
        <f ca="1">IFERROR(__xludf.DUMMYFUNCTION("GOOGLETRANSLATE(B2774,""en"",""zh"")"),"理论")</f>
        <v>理论</v>
      </c>
      <c r="I2774" s="2" t="str">
        <f ca="1">IFERROR(__xludf.DUMMYFUNCTION("GOOGLETRANSLATE(B2774,""en"",""gd"")"),"teòiridheach")</f>
        <v>teòiridheach</v>
      </c>
    </row>
    <row r="2775" spans="1:9" ht="14.25" customHeight="1" x14ac:dyDescent="0.3">
      <c r="A2775" s="2">
        <v>2774</v>
      </c>
      <c r="B2775" s="3" t="s">
        <v>2782</v>
      </c>
      <c r="C2775" s="2" t="str">
        <f ca="1">IFERROR(__xludf.DUMMYFUNCTION("GOOGLETRANSLATE(B2775, ""en"",""es"")"),"cortina")</f>
        <v>cortina</v>
      </c>
      <c r="D2775" s="2" t="str">
        <f ca="1">IFERROR(__xludf.DUMMYFUNCTION("GOOGLETRANSLATE(B2775,""en"",""ig"")"),"akwa mgbochi")</f>
        <v>akwa mgbochi</v>
      </c>
      <c r="E2775" s="2" t="str">
        <f ca="1">IFERROR(__xludf.DUMMYFUNCTION("GOOGLETRANSLATE(B2775,""en"",""fr"")"),"rideau")</f>
        <v>rideau</v>
      </c>
      <c r="F2775" s="2" t="str">
        <f ca="1">IFERROR(__xludf.DUMMYFUNCTION("GOOGLETRANSLATE(B2775,""en"",""it"")"),"tenda")</f>
        <v>tenda</v>
      </c>
      <c r="G2775" s="2" t="str">
        <f ca="1">IFERROR(__xludf.DUMMYFUNCTION("GOOGLETRANSLATE(B2775,""en"",""de"")"),"Vorhang")</f>
        <v>Vorhang</v>
      </c>
      <c r="H2775" s="2" t="str">
        <f ca="1">IFERROR(__xludf.DUMMYFUNCTION("GOOGLETRANSLATE(B2775,""en"",""zh"")"),"窗帘")</f>
        <v>窗帘</v>
      </c>
      <c r="I2775" s="2" t="str">
        <f ca="1">IFERROR(__xludf.DUMMYFUNCTION("GOOGLETRANSLATE(B2775,""en"",""gd"")"),"Cùirtear")</f>
        <v>Cùirtear</v>
      </c>
    </row>
    <row r="2776" spans="1:9" ht="14.25" customHeight="1" x14ac:dyDescent="0.3">
      <c r="A2776" s="2">
        <v>2775</v>
      </c>
      <c r="B2776" s="3" t="s">
        <v>2783</v>
      </c>
      <c r="C2776" s="2" t="str">
        <f ca="1">IFERROR(__xludf.DUMMYFUNCTION("GOOGLETRANSLATE(B2776, ""en"",""es"")"),"alcalde")</f>
        <v>alcalde</v>
      </c>
      <c r="D2776" s="2" t="str">
        <f ca="1">IFERROR(__xludf.DUMMYFUNCTION("GOOGLETRANSLATE(B2776,""en"",""ig"")"),"meyo")</f>
        <v>meyo</v>
      </c>
      <c r="E2776" s="2" t="str">
        <f ca="1">IFERROR(__xludf.DUMMYFUNCTION("GOOGLETRANSLATE(B2776,""en"",""fr"")"),"maire")</f>
        <v>maire</v>
      </c>
      <c r="F2776" s="2" t="str">
        <f ca="1">IFERROR(__xludf.DUMMYFUNCTION("GOOGLETRANSLATE(B2776,""en"",""it"")"),"Sindaco")</f>
        <v>Sindaco</v>
      </c>
      <c r="G2776" s="2" t="str">
        <f ca="1">IFERROR(__xludf.DUMMYFUNCTION("GOOGLETRANSLATE(B2776,""en"",""de"")"),"Bürgermeister")</f>
        <v>Bürgermeister</v>
      </c>
      <c r="H2776" s="2" t="str">
        <f ca="1">IFERROR(__xludf.DUMMYFUNCTION("GOOGLETRANSLATE(B2776,""en"",""zh"")"),"市长")</f>
        <v>市长</v>
      </c>
      <c r="I2776" s="2" t="str">
        <f ca="1">IFERROR(__xludf.DUMMYFUNCTION("GOOGLETRANSLATE(B2776,""en"",""gd"")"),"na buannachdan")</f>
        <v>na buannachdan</v>
      </c>
    </row>
    <row r="2777" spans="1:9" ht="14.25" customHeight="1" x14ac:dyDescent="0.3">
      <c r="A2777" s="2">
        <v>2776</v>
      </c>
      <c r="B2777" s="3" t="s">
        <v>2784</v>
      </c>
      <c r="C2777" s="2" t="str">
        <f ca="1">IFERROR(__xludf.DUMMYFUNCTION("GOOGLETRANSLATE(B2777, ""en"",""es"")"),"oscuridad")</f>
        <v>oscuridad</v>
      </c>
      <c r="D2777" s="2" t="str">
        <f ca="1">IFERROR(__xludf.DUMMYFUNCTION("GOOGLETRANSLATE(B2777,""en"",""ig"")"),"ochichiri")</f>
        <v>ochichiri</v>
      </c>
      <c r="E2777" s="2" t="str">
        <f ca="1">IFERROR(__xludf.DUMMYFUNCTION("GOOGLETRANSLATE(B2777,""en"",""fr"")"),"obscurité")</f>
        <v>obscurité</v>
      </c>
      <c r="F2777" s="2" t="str">
        <f ca="1">IFERROR(__xludf.DUMMYFUNCTION("GOOGLETRANSLATE(B2777,""en"",""it"")"),"buio")</f>
        <v>buio</v>
      </c>
      <c r="G2777" s="2" t="str">
        <f ca="1">IFERROR(__xludf.DUMMYFUNCTION("GOOGLETRANSLATE(B2777,""en"",""de"")"),"Dunkelheit")</f>
        <v>Dunkelheit</v>
      </c>
      <c r="H2777" s="2" t="str">
        <f ca="1">IFERROR(__xludf.DUMMYFUNCTION("GOOGLETRANSLATE(B2777,""en"",""zh"")"),"黑暗")</f>
        <v>黑暗</v>
      </c>
      <c r="I2777" s="2" t="str">
        <f ca="1">IFERROR(__xludf.DUMMYFUNCTION("GOOGLETRANSLATE(B2777,""en"",""gd"")"),"dorchadas")</f>
        <v>dorchadas</v>
      </c>
    </row>
    <row r="2778" spans="1:9" ht="14.25" customHeight="1" x14ac:dyDescent="0.3">
      <c r="A2778" s="2">
        <v>2777</v>
      </c>
      <c r="B2778" s="3" t="s">
        <v>2785</v>
      </c>
      <c r="C2778" s="2" t="str">
        <f ca="1">IFERROR(__xludf.DUMMYFUNCTION("GOOGLETRANSLATE(B2778, ""en"",""es"")"),"tía")</f>
        <v>tía</v>
      </c>
      <c r="D2778" s="2" t="str">
        <f ca="1">IFERROR(__xludf.DUMMYFUNCTION("GOOGLETRANSLATE(B2778,""en"",""ig"")"),"anti")</f>
        <v>anti</v>
      </c>
      <c r="E2778" s="2" t="str">
        <f ca="1">IFERROR(__xludf.DUMMYFUNCTION("GOOGLETRANSLATE(B2778,""en"",""fr"")"),"tante")</f>
        <v>tante</v>
      </c>
      <c r="F2778" s="2" t="str">
        <f ca="1">IFERROR(__xludf.DUMMYFUNCTION("GOOGLETRANSLATE(B2778,""en"",""it"")"),"zia")</f>
        <v>zia</v>
      </c>
      <c r="G2778" s="2" t="str">
        <f ca="1">IFERROR(__xludf.DUMMYFUNCTION("GOOGLETRANSLATE(B2778,""en"",""de"")"),"Tante")</f>
        <v>Tante</v>
      </c>
      <c r="H2778" s="2" t="str">
        <f ca="1">IFERROR(__xludf.DUMMYFUNCTION("GOOGLETRANSLATE(B2778,""en"",""zh"")"),"阿姨")</f>
        <v>阿姨</v>
      </c>
      <c r="I2778" s="2" t="str">
        <f ca="1">IFERROR(__xludf.DUMMYFUNCTION("GOOGLETRANSLATE(B2778,""en"",""gd"")"),"piuthar")</f>
        <v>piuthar</v>
      </c>
    </row>
    <row r="2779" spans="1:9" ht="14.25" customHeight="1" x14ac:dyDescent="0.3">
      <c r="A2779" s="2">
        <v>2778</v>
      </c>
      <c r="B2779" s="3" t="s">
        <v>2786</v>
      </c>
      <c r="C2779" s="2" t="str">
        <f ca="1">IFERROR(__xludf.DUMMYFUNCTION("GOOGLETRANSLATE(B2779, ""en"",""es"")"),"torneo")</f>
        <v>torneo</v>
      </c>
      <c r="D2779" s="2" t="str">
        <f ca="1">IFERROR(__xludf.DUMMYFUNCTION("GOOGLETRANSLATE(B2779,""en"",""ig"")"),"ndorondoro")</f>
        <v>ndorondoro</v>
      </c>
      <c r="E2779" s="2" t="str">
        <f ca="1">IFERROR(__xludf.DUMMYFUNCTION("GOOGLETRANSLATE(B2779,""en"",""fr"")"),"tournoi")</f>
        <v>tournoi</v>
      </c>
      <c r="F2779" s="2" t="str">
        <f ca="1">IFERROR(__xludf.DUMMYFUNCTION("GOOGLETRANSLATE(B2779,""en"",""it"")"),"torneo")</f>
        <v>torneo</v>
      </c>
      <c r="G2779" s="2" t="str">
        <f ca="1">IFERROR(__xludf.DUMMYFUNCTION("GOOGLETRANSLATE(B2779,""en"",""de"")"),"Turnier")</f>
        <v>Turnier</v>
      </c>
      <c r="H2779" s="2" t="str">
        <f ca="1">IFERROR(__xludf.DUMMYFUNCTION("GOOGLETRANSLATE(B2779,""en"",""zh"")"),"比赛")</f>
        <v>比赛</v>
      </c>
      <c r="I2779" s="2" t="str">
        <f ca="1">IFERROR(__xludf.DUMMYFUNCTION("GOOGLETRANSLATE(B2779,""en"",""gd"")"),"Farpais")</f>
        <v>Farpais</v>
      </c>
    </row>
    <row r="2780" spans="1:9" ht="14.25" customHeight="1" x14ac:dyDescent="0.3">
      <c r="A2780" s="2">
        <v>2779</v>
      </c>
      <c r="B2780" s="3" t="s">
        <v>2787</v>
      </c>
      <c r="C2780" s="2" t="str">
        <f ca="1">IFERROR(__xludf.DUMMYFUNCTION("GOOGLETRANSLATE(B2780, ""en"",""es"")"),"registro")</f>
        <v>registro</v>
      </c>
      <c r="D2780" s="2" t="str">
        <f ca="1">IFERROR(__xludf.DUMMYFUNCTION("GOOGLETRANSLATE(B2780,""en"",""ig"")"),"ndeba aha")</f>
        <v>ndeba aha</v>
      </c>
      <c r="E2780" s="2" t="str">
        <f ca="1">IFERROR(__xludf.DUMMYFUNCTION("GOOGLETRANSLATE(B2780,""en"",""fr"")"),"inscription")</f>
        <v>inscription</v>
      </c>
      <c r="F2780" s="2" t="str">
        <f ca="1">IFERROR(__xludf.DUMMYFUNCTION("GOOGLETRANSLATE(B2780,""en"",""it"")"),"registrazione")</f>
        <v>registrazione</v>
      </c>
      <c r="G2780" s="2" t="str">
        <f ca="1">IFERROR(__xludf.DUMMYFUNCTION("GOOGLETRANSLATE(B2780,""en"",""de"")"),"Anmeldung")</f>
        <v>Anmeldung</v>
      </c>
      <c r="H2780" s="2" t="str">
        <f ca="1">IFERROR(__xludf.DUMMYFUNCTION("GOOGLETRANSLATE(B2780,""en"",""zh"")"),"登记")</f>
        <v>登记</v>
      </c>
      <c r="I2780" s="2" t="str">
        <f ca="1">IFERROR(__xludf.DUMMYFUNCTION("GOOGLETRANSLATE(B2780,""en"",""gd"")"),"Clàradh")</f>
        <v>Clàradh</v>
      </c>
    </row>
    <row r="2781" spans="1:9" ht="14.25" customHeight="1" x14ac:dyDescent="0.3">
      <c r="A2781" s="2">
        <v>2780</v>
      </c>
      <c r="B2781" s="3" t="s">
        <v>2788</v>
      </c>
      <c r="C2781" s="2" t="str">
        <f ca="1">IFERROR(__xludf.DUMMYFUNCTION("GOOGLETRANSLATE(B2781, ""en"",""es"")"),"fragmento")</f>
        <v>fragmento</v>
      </c>
      <c r="D2781" s="2" t="str">
        <f ca="1">IFERROR(__xludf.DUMMYFUNCTION("GOOGLETRANSLATE(B2781,""en"",""ig"")"),"pisiisi")</f>
        <v>pisiisi</v>
      </c>
      <c r="E2781" s="2" t="str">
        <f ca="1">IFERROR(__xludf.DUMMYFUNCTION("GOOGLETRANSLATE(B2781,""en"",""fr"")"),"fragment")</f>
        <v>fragment</v>
      </c>
      <c r="F2781" s="2" t="str">
        <f ca="1">IFERROR(__xludf.DUMMYFUNCTION("GOOGLETRANSLATE(B2781,""en"",""it"")"),"frammento")</f>
        <v>frammento</v>
      </c>
      <c r="G2781" s="2" t="str">
        <f ca="1">IFERROR(__xludf.DUMMYFUNCTION("GOOGLETRANSLATE(B2781,""en"",""de"")"),"Fragment")</f>
        <v>Fragment</v>
      </c>
      <c r="H2781" s="2" t="str">
        <f ca="1">IFERROR(__xludf.DUMMYFUNCTION("GOOGLETRANSLATE(B2781,""en"",""zh"")"),"分段")</f>
        <v>分段</v>
      </c>
      <c r="I2781" s="2" t="str">
        <f ca="1">IFERROR(__xludf.DUMMYFUNCTION("GOOGLETRANSLATE(B2781,""en"",""gd"")"),"criomag")</f>
        <v>criomag</v>
      </c>
    </row>
    <row r="2782" spans="1:9" ht="14.25" customHeight="1" x14ac:dyDescent="0.3">
      <c r="A2782" s="2">
        <v>2781</v>
      </c>
      <c r="B2782" s="3" t="s">
        <v>2789</v>
      </c>
      <c r="C2782" s="2" t="str">
        <f ca="1">IFERROR(__xludf.DUMMYFUNCTION("GOOGLETRANSLATE(B2782, ""en"",""es"")"),"oyente")</f>
        <v>oyente</v>
      </c>
      <c r="D2782" s="2" t="str">
        <f ca="1">IFERROR(__xludf.DUMMYFUNCTION("GOOGLETRANSLATE(B2782,""en"",""ig"")"),"ogenti")</f>
        <v>ogenti</v>
      </c>
      <c r="E2782" s="2" t="str">
        <f ca="1">IFERROR(__xludf.DUMMYFUNCTION("GOOGLETRANSLATE(B2782,""en"",""fr"")"),"auditeur")</f>
        <v>auditeur</v>
      </c>
      <c r="F2782" s="2" t="str">
        <f ca="1">IFERROR(__xludf.DUMMYFUNCTION("GOOGLETRANSLATE(B2782,""en"",""it"")"),"ascoltatore")</f>
        <v>ascoltatore</v>
      </c>
      <c r="G2782" s="2" t="str">
        <f ca="1">IFERROR(__xludf.DUMMYFUNCTION("GOOGLETRANSLATE(B2782,""en"",""de"")"),"Hörer")</f>
        <v>Hörer</v>
      </c>
      <c r="H2782" s="2" t="str">
        <f ca="1">IFERROR(__xludf.DUMMYFUNCTION("GOOGLETRANSLATE(B2782,""en"",""zh"")"),"听众")</f>
        <v>听众</v>
      </c>
      <c r="I2782" s="2" t="str">
        <f ca="1">IFERROR(__xludf.DUMMYFUNCTION("GOOGLETRANSLATE(B2782,""en"",""gd"")"),"Neach-èisteachd")</f>
        <v>Neach-èisteachd</v>
      </c>
    </row>
    <row r="2783" spans="1:9" ht="14.25" customHeight="1" x14ac:dyDescent="0.3">
      <c r="A2783" s="2">
        <v>2782</v>
      </c>
      <c r="B2783" s="3" t="s">
        <v>2790</v>
      </c>
      <c r="C2783" s="2" t="str">
        <f ca="1">IFERROR(__xludf.DUMMYFUNCTION("GOOGLETRANSLATE(B2783, ""en"",""es"")"),"licitación")</f>
        <v>licitación</v>
      </c>
      <c r="D2783" s="2" t="str">
        <f ca="1">IFERROR(__xludf.DUMMYFUNCTION("GOOGLETRANSLATE(B2783,""en"",""ig"")"),"anuesighiike")</f>
        <v>anuesighiike</v>
      </c>
      <c r="E2783" s="2" t="str">
        <f ca="1">IFERROR(__xludf.DUMMYFUNCTION("GOOGLETRANSLATE(B2783,""en"",""fr"")"),"tendre")</f>
        <v>tendre</v>
      </c>
      <c r="F2783" s="2" t="str">
        <f ca="1">IFERROR(__xludf.DUMMYFUNCTION("GOOGLETRANSLATE(B2783,""en"",""it"")"),"tenero")</f>
        <v>tenero</v>
      </c>
      <c r="G2783" s="2" t="str">
        <f ca="1">IFERROR(__xludf.DUMMYFUNCTION("GOOGLETRANSLATE(B2783,""en"",""de"")"),"zart")</f>
        <v>zart</v>
      </c>
      <c r="H2783" s="2" t="str">
        <f ca="1">IFERROR(__xludf.DUMMYFUNCTION("GOOGLETRANSLATE(B2783,""en"",""zh"")"),"投标")</f>
        <v>投标</v>
      </c>
      <c r="I2783" s="2" t="str">
        <f ca="1">IFERROR(__xludf.DUMMYFUNCTION("GOOGLETRANSLATE(B2783,""en"",""gd"")"),"tairgse")</f>
        <v>tairgse</v>
      </c>
    </row>
    <row r="2784" spans="1:9" ht="14.25" customHeight="1" x14ac:dyDescent="0.3">
      <c r="A2784" s="2">
        <v>2783</v>
      </c>
      <c r="B2784" s="3" t="s">
        <v>2791</v>
      </c>
      <c r="C2784" s="2" t="str">
        <f ca="1">IFERROR(__xludf.DUMMYFUNCTION("GOOGLETRANSLATE(B2784, ""en"",""es"")"),"densidad")</f>
        <v>densidad</v>
      </c>
      <c r="D2784" s="2" t="str">
        <f ca="1">IFERROR(__xludf.DUMMYFUNCTION("GOOGLETRANSLATE(B2784,""en"",""ig"")"),"keuju")</f>
        <v>keuju</v>
      </c>
      <c r="E2784" s="2" t="str">
        <f ca="1">IFERROR(__xludf.DUMMYFUNCTION("GOOGLETRANSLATE(B2784,""en"",""fr"")"),"densité")</f>
        <v>densité</v>
      </c>
      <c r="F2784" s="2" t="str">
        <f ca="1">IFERROR(__xludf.DUMMYFUNCTION("GOOGLETRANSLATE(B2784,""en"",""it"")"),"densità")</f>
        <v>densità</v>
      </c>
      <c r="G2784" s="2" t="str">
        <f ca="1">IFERROR(__xludf.DUMMYFUNCTION("GOOGLETRANSLATE(B2784,""en"",""de"")"),"Dichte")</f>
        <v>Dichte</v>
      </c>
      <c r="H2784" s="2" t="str">
        <f ca="1">IFERROR(__xludf.DUMMYFUNCTION("GOOGLETRANSLATE(B2784,""en"",""zh"")"),"密度")</f>
        <v>密度</v>
      </c>
      <c r="I2784" s="2" t="str">
        <f ca="1">IFERROR(__xludf.DUMMYFUNCTION("GOOGLETRANSLATE(B2784,""en"",""gd"")"),"dùmhlachd")</f>
        <v>dùmhlachd</v>
      </c>
    </row>
    <row r="2785" spans="1:9" ht="14.25" customHeight="1" x14ac:dyDescent="0.3">
      <c r="A2785" s="2">
        <v>2784</v>
      </c>
      <c r="B2785" s="3" t="s">
        <v>2792</v>
      </c>
      <c r="C2785" s="2" t="str">
        <f ca="1">IFERROR(__xludf.DUMMYFUNCTION("GOOGLETRANSLATE(B2785, ""en"",""es"")"),"feo")</f>
        <v>feo</v>
      </c>
      <c r="D2785" s="2" t="str">
        <f ca="1">IFERROR(__xludf.DUMMYFUNCTION("GOOGLETRANSLATE(B2785,""en"",""ig"")"),"kenjo")</f>
        <v>kenjo</v>
      </c>
      <c r="E2785" s="2" t="str">
        <f ca="1">IFERROR(__xludf.DUMMYFUNCTION("GOOGLETRANSLATE(B2785,""en"",""fr"")"),"laid")</f>
        <v>laid</v>
      </c>
      <c r="F2785" s="2" t="str">
        <f ca="1">IFERROR(__xludf.DUMMYFUNCTION("GOOGLETRANSLATE(B2785,""en"",""it"")"),"brutto")</f>
        <v>brutto</v>
      </c>
      <c r="G2785" s="2" t="str">
        <f ca="1">IFERROR(__xludf.DUMMYFUNCTION("GOOGLETRANSLATE(B2785,""en"",""de"")"),"hässlich")</f>
        <v>hässlich</v>
      </c>
      <c r="H2785" s="2" t="str">
        <f ca="1">IFERROR(__xludf.DUMMYFUNCTION("GOOGLETRANSLATE(B2785,""en"",""zh"")"),"丑陋的")</f>
        <v>丑陋的</v>
      </c>
      <c r="I2785" s="2" t="str">
        <f ca="1">IFERROR(__xludf.DUMMYFUNCTION("GOOGLETRANSLATE(B2785,""en"",""gd"")"),"grànda")</f>
        <v>grànda</v>
      </c>
    </row>
    <row r="2786" spans="1:9" ht="14.25" customHeight="1" x14ac:dyDescent="0.3">
      <c r="A2786" s="2">
        <v>2785</v>
      </c>
      <c r="B2786" s="3" t="s">
        <v>2793</v>
      </c>
      <c r="C2786" s="2" t="str">
        <f ca="1">IFERROR(__xludf.DUMMYFUNCTION("GOOGLETRANSLATE(B2786, ""en"",""es"")"),"módulo")</f>
        <v>módulo</v>
      </c>
      <c r="D2786" s="2" t="str">
        <f ca="1">IFERROR(__xludf.DUMMYFUNCTION("GOOGLETRANSLATE(B2786,""en"",""ig"")"),"modulu")</f>
        <v>modulu</v>
      </c>
      <c r="E2786" s="2" t="str">
        <f ca="1">IFERROR(__xludf.DUMMYFUNCTION("GOOGLETRANSLATE(B2786,""en"",""fr"")"),"module")</f>
        <v>module</v>
      </c>
      <c r="F2786" s="2" t="str">
        <f ca="1">IFERROR(__xludf.DUMMYFUNCTION("GOOGLETRANSLATE(B2786,""en"",""it"")"),"modulo")</f>
        <v>modulo</v>
      </c>
      <c r="G2786" s="2" t="str">
        <f ca="1">IFERROR(__xludf.DUMMYFUNCTION("GOOGLETRANSLATE(B2786,""en"",""de"")"),"Modul")</f>
        <v>Modul</v>
      </c>
      <c r="H2786" s="2" t="str">
        <f ca="1">IFERROR(__xludf.DUMMYFUNCTION("GOOGLETRANSLATE(B2786,""en"",""zh"")"),"模块")</f>
        <v>模块</v>
      </c>
      <c r="I2786" s="2" t="str">
        <f ca="1">IFERROR(__xludf.DUMMYFUNCTION("GOOGLETRANSLATE(B2786,""en"",""gd"")"),"Modal")</f>
        <v>Modal</v>
      </c>
    </row>
    <row r="2787" spans="1:9" ht="14.25" customHeight="1" x14ac:dyDescent="0.3">
      <c r="A2787" s="2">
        <v>2786</v>
      </c>
      <c r="B2787" s="3" t="s">
        <v>2794</v>
      </c>
      <c r="C2787" s="2" t="str">
        <f ca="1">IFERROR(__xludf.DUMMYFUNCTION("GOOGLETRANSLATE(B2787, ""en"",""es"")"),"fielmente")</f>
        <v>fielmente</v>
      </c>
      <c r="D2787" s="2" t="str">
        <f ca="1">IFERROR(__xludf.DUMMYFUNCTION("GOOGLETRANSLATE(B2787,""en"",""ig"")"),"ikwesighi")</f>
        <v>ikwesighi</v>
      </c>
      <c r="E2787" s="2" t="str">
        <f ca="1">IFERROR(__xludf.DUMMYFUNCTION("GOOGLETRANSLATE(B2787,""en"",""fr"")"),"fidèlement")</f>
        <v>fidèlement</v>
      </c>
      <c r="F2787" s="2" t="str">
        <f ca="1">IFERROR(__xludf.DUMMYFUNCTION("GOOGLETRANSLATE(B2787,""en"",""it"")"),"fedelmente")</f>
        <v>fedelmente</v>
      </c>
      <c r="G2787" s="2" t="str">
        <f ca="1">IFERROR(__xludf.DUMMYFUNCTION("GOOGLETRANSLATE(B2787,""en"",""de"")"),"treu")</f>
        <v>treu</v>
      </c>
      <c r="H2787" s="2" t="str">
        <f ca="1">IFERROR(__xludf.DUMMYFUNCTION("GOOGLETRANSLATE(B2787,""en"",""zh"")"),"忠实")</f>
        <v>忠实</v>
      </c>
      <c r="I2787" s="2" t="str">
        <f ca="1">IFERROR(__xludf.DUMMYFUNCTION("GOOGLETRANSLATE(B2787,""en"",""gd"")"),"gu dìleas")</f>
        <v>gu dìleas</v>
      </c>
    </row>
    <row r="2788" spans="1:9" ht="14.25" customHeight="1" x14ac:dyDescent="0.3">
      <c r="A2788" s="2">
        <v>2787</v>
      </c>
      <c r="B2788" s="3" t="s">
        <v>2795</v>
      </c>
      <c r="C2788" s="2" t="str">
        <f ca="1">IFERROR(__xludf.DUMMYFUNCTION("GOOGLETRANSLATE(B2788, ""en"",""es"")"),"otoño")</f>
        <v>otoño</v>
      </c>
      <c r="D2788" s="2" t="str">
        <f ca="1">IFERROR(__xludf.DUMMYFUNCTION("GOOGLETRANSLATE(B2788,""en"",""ig"")"),"udu nmiri")</f>
        <v>udu nmiri</v>
      </c>
      <c r="E2788" s="2" t="str">
        <f ca="1">IFERROR(__xludf.DUMMYFUNCTION("GOOGLETRANSLATE(B2788,""en"",""fr"")"),"automne")</f>
        <v>automne</v>
      </c>
      <c r="F2788" s="2" t="str">
        <f ca="1">IFERROR(__xludf.DUMMYFUNCTION("GOOGLETRANSLATE(B2788,""en"",""it"")"),"autunno")</f>
        <v>autunno</v>
      </c>
      <c r="G2788" s="2" t="str">
        <f ca="1">IFERROR(__xludf.DUMMYFUNCTION("GOOGLETRANSLATE(B2788,""en"",""de"")"),"Herbst")</f>
        <v>Herbst</v>
      </c>
      <c r="H2788" s="2" t="str">
        <f ca="1">IFERROR(__xludf.DUMMYFUNCTION("GOOGLETRANSLATE(B2788,""en"",""zh"")"),"秋天")</f>
        <v>秋天</v>
      </c>
      <c r="I2788" s="2" t="str">
        <f ca="1">IFERROR(__xludf.DUMMYFUNCTION("GOOGLETRANSLATE(B2788,""en"",""gd"")"),"Foghar")</f>
        <v>Foghar</v>
      </c>
    </row>
    <row r="2789" spans="1:9" ht="14.25" customHeight="1" x14ac:dyDescent="0.3">
      <c r="A2789" s="2">
        <v>2788</v>
      </c>
      <c r="B2789" s="3" t="s">
        <v>2796</v>
      </c>
      <c r="C2789" s="2" t="str">
        <f ca="1">IFERROR(__xludf.DUMMYFUNCTION("GOOGLETRANSLATE(B2789, ""en"",""es"")"),"mejilla")</f>
        <v>mejilla</v>
      </c>
      <c r="D2789" s="2" t="str">
        <f ca="1">IFERROR(__xludf.DUMMYFUNCTION("GOOGLETRANSLATE(B2789,""en"",""ig"")"),"agba")</f>
        <v>agba</v>
      </c>
      <c r="E2789" s="2" t="str">
        <f ca="1">IFERROR(__xludf.DUMMYFUNCTION("GOOGLETRANSLATE(B2789,""en"",""fr"")"),"joue")</f>
        <v>joue</v>
      </c>
      <c r="F2789" s="2" t="str">
        <f ca="1">IFERROR(__xludf.DUMMYFUNCTION("GOOGLETRANSLATE(B2789,""en"",""it"")"),"guancia")</f>
        <v>guancia</v>
      </c>
      <c r="G2789" s="2" t="str">
        <f ca="1">IFERROR(__xludf.DUMMYFUNCTION("GOOGLETRANSLATE(B2789,""en"",""de"")"),"Wange")</f>
        <v>Wange</v>
      </c>
      <c r="H2789" s="2" t="str">
        <f ca="1">IFERROR(__xludf.DUMMYFUNCTION("GOOGLETRANSLATE(B2789,""en"",""zh"")"),"脸颊")</f>
        <v>脸颊</v>
      </c>
      <c r="I2789" s="2" t="str">
        <f ca="1">IFERROR(__xludf.DUMMYFUNCTION("GOOGLETRANSLATE(B2789,""en"",""gd"")"),"Cheek")</f>
        <v>Cheek</v>
      </c>
    </row>
    <row r="2790" spans="1:9" ht="14.25" customHeight="1" x14ac:dyDescent="0.3">
      <c r="A2790" s="2">
        <v>2789</v>
      </c>
      <c r="B2790" s="3" t="s">
        <v>2797</v>
      </c>
      <c r="C2790" s="2" t="str">
        <f ca="1">IFERROR(__xludf.DUMMYFUNCTION("GOOGLETRANSLATE(B2790, ""en"",""es"")"),"adjunto")</f>
        <v>adjunto</v>
      </c>
      <c r="D2790" s="2" t="str">
        <f ca="1">IFERROR(__xludf.DUMMYFUNCTION("GOOGLETRANSLATE(B2790,""en"",""ig"")"),"mwera")</f>
        <v>mwera</v>
      </c>
      <c r="E2790" s="2" t="str">
        <f ca="1">IFERROR(__xludf.DUMMYFUNCTION("GOOGLETRANSLATE(B2790,""en"",""fr"")"),"pièce jointe")</f>
        <v>pièce jointe</v>
      </c>
      <c r="F2790" s="2" t="str">
        <f ca="1">IFERROR(__xludf.DUMMYFUNCTION("GOOGLETRANSLATE(B2790,""en"",""it"")"),"Attaccamento")</f>
        <v>Attaccamento</v>
      </c>
      <c r="G2790" s="2" t="str">
        <f ca="1">IFERROR(__xludf.DUMMYFUNCTION("GOOGLETRANSLATE(B2790,""en"",""de"")"),"Anhang")</f>
        <v>Anhang</v>
      </c>
      <c r="H2790" s="2" t="str">
        <f ca="1">IFERROR(__xludf.DUMMYFUNCTION("GOOGLETRANSLATE(B2790,""en"",""zh"")"),"依恋")</f>
        <v>依恋</v>
      </c>
      <c r="I2790" s="2" t="str">
        <f ca="1">IFERROR(__xludf.DUMMYFUNCTION("GOOGLETRANSLATE(B2790,""en"",""gd"")"),"Ceangal")</f>
        <v>Ceangal</v>
      </c>
    </row>
    <row r="2791" spans="1:9" ht="14.25" customHeight="1" x14ac:dyDescent="0.3">
      <c r="A2791" s="2">
        <v>2790</v>
      </c>
      <c r="B2791" s="3" t="s">
        <v>2798</v>
      </c>
      <c r="C2791" s="2" t="str">
        <f ca="1">IFERROR(__xludf.DUMMYFUNCTION("GOOGLETRANSLATE(B2791, ""en"",""es"")"),"poseedor")</f>
        <v>poseedor</v>
      </c>
      <c r="D2791" s="2" t="str">
        <f ca="1">IFERROR(__xludf.DUMMYFUNCTION("GOOGLETRANSLATE(B2791,""en"",""ig"")"),"njide ihe")</f>
        <v>njide ihe</v>
      </c>
      <c r="E2791" s="2" t="str">
        <f ca="1">IFERROR(__xludf.DUMMYFUNCTION("GOOGLETRANSLATE(B2791,""en"",""fr"")"),"titulaire")</f>
        <v>titulaire</v>
      </c>
      <c r="F2791" s="2" t="str">
        <f ca="1">IFERROR(__xludf.DUMMYFUNCTION("GOOGLETRANSLATE(B2791,""en"",""it"")"),"titolare")</f>
        <v>titolare</v>
      </c>
      <c r="G2791" s="2" t="str">
        <f ca="1">IFERROR(__xludf.DUMMYFUNCTION("GOOGLETRANSLATE(B2791,""en"",""de"")"),"Halter")</f>
        <v>Halter</v>
      </c>
      <c r="H2791" s="2" t="str">
        <f ca="1">IFERROR(__xludf.DUMMYFUNCTION("GOOGLETRANSLATE(B2791,""en"",""zh"")"),"持有者")</f>
        <v>持有者</v>
      </c>
      <c r="I2791" s="2" t="str">
        <f ca="1">IFERROR(__xludf.DUMMYFUNCTION("GOOGLETRANSLATE(B2791,""en"",""gd"")"),"neach-gleidhidh")</f>
        <v>neach-gleidhidh</v>
      </c>
    </row>
    <row r="2792" spans="1:9" ht="14.25" customHeight="1" x14ac:dyDescent="0.3">
      <c r="A2792" s="2">
        <v>2791</v>
      </c>
      <c r="B2792" s="3" t="s">
        <v>2799</v>
      </c>
      <c r="C2792" s="2" t="str">
        <f ca="1">IFERROR(__xludf.DUMMYFUNCTION("GOOGLETRANSLATE(B2792, ""en"",""es"")"),"sonrisa")</f>
        <v>sonrisa</v>
      </c>
      <c r="D2792" s="2" t="str">
        <f ca="1">IFERROR(__xludf.DUMMYFUNCTION("GOOGLETRANSLATE(B2792,""en"",""ig"")"),"ochi")</f>
        <v>ochi</v>
      </c>
      <c r="E2792" s="2" t="str">
        <f ca="1">IFERROR(__xludf.DUMMYFUNCTION("GOOGLETRANSLATE(B2792,""en"",""fr"")"),"sourire")</f>
        <v>sourire</v>
      </c>
      <c r="F2792" s="2" t="str">
        <f ca="1">IFERROR(__xludf.DUMMYFUNCTION("GOOGLETRANSLATE(B2792,""en"",""it"")"),"largo sorriso")</f>
        <v>largo sorriso</v>
      </c>
      <c r="G2792" s="2" t="str">
        <f ca="1">IFERROR(__xludf.DUMMYFUNCTION("GOOGLETRANSLATE(B2792,""en"",""de"")"),"Grinsen")</f>
        <v>Grinsen</v>
      </c>
      <c r="H2792" s="2" t="str">
        <f ca="1">IFERROR(__xludf.DUMMYFUNCTION("GOOGLETRANSLATE(B2792,""en"",""zh"")"),"笑")</f>
        <v>笑</v>
      </c>
      <c r="I2792" s="2" t="str">
        <f ca="1">IFERROR(__xludf.DUMMYFUNCTION("GOOGLETRANSLATE(B2792,""en"",""gd"")"),"grin")</f>
        <v>grin</v>
      </c>
    </row>
    <row r="2793" spans="1:9" ht="14.25" customHeight="1" x14ac:dyDescent="0.3">
      <c r="A2793" s="2">
        <v>2792</v>
      </c>
      <c r="B2793" s="3" t="s">
        <v>2800</v>
      </c>
      <c r="C2793" s="2" t="str">
        <f ca="1">IFERROR(__xludf.DUMMYFUNCTION("GOOGLETRANSLATE(B2793, ""en"",""es"")"),"sustantivo")</f>
        <v>sustantivo</v>
      </c>
      <c r="D2793" s="2" t="str">
        <f ca="1">IFERROR(__xludf.DUMMYFUNCTION("GOOGLETRANSLATE(B2793,""en"",""ig"")"),"aha")</f>
        <v>aha</v>
      </c>
      <c r="E2793" s="2" t="str">
        <f ca="1">IFERROR(__xludf.DUMMYFUNCTION("GOOGLETRANSLATE(B2793,""en"",""fr"")"),"nom")</f>
        <v>nom</v>
      </c>
      <c r="F2793" s="2" t="str">
        <f ca="1">IFERROR(__xludf.DUMMYFUNCTION("GOOGLETRANSLATE(B2793,""en"",""it"")"),"sostantivo")</f>
        <v>sostantivo</v>
      </c>
      <c r="G2793" s="2" t="str">
        <f ca="1">IFERROR(__xludf.DUMMYFUNCTION("GOOGLETRANSLATE(B2793,""en"",""de"")"),"Substantiv")</f>
        <v>Substantiv</v>
      </c>
      <c r="H2793" s="2" t="str">
        <f ca="1">IFERROR(__xludf.DUMMYFUNCTION("GOOGLETRANSLATE(B2793,""en"",""zh"")"),"名词")</f>
        <v>名词</v>
      </c>
      <c r="I2793" s="2" t="str">
        <f ca="1">IFERROR(__xludf.DUMMYFUNCTION("GOOGLETRANSLATE(B2793,""en"",""gd"")"),"ainmear")</f>
        <v>ainmear</v>
      </c>
    </row>
    <row r="2794" spans="1:9" ht="14.25" customHeight="1" x14ac:dyDescent="0.3">
      <c r="A2794" s="2">
        <v>2793</v>
      </c>
      <c r="B2794" s="3" t="s">
        <v>2801</v>
      </c>
      <c r="C2794" s="2" t="str">
        <f ca="1">IFERROR(__xludf.DUMMYFUNCTION("GOOGLETRANSLATE(B2794, ""en"",""es"")"),"afortunado")</f>
        <v>afortunado</v>
      </c>
      <c r="D2794" s="2" t="str">
        <f ca="1">IFERROR(__xludf.DUMMYFUNCTION("GOOGLETRANSLATE(B2794,""en"",""ig"")"),"looku")</f>
        <v>looku</v>
      </c>
      <c r="E2794" s="2" t="str">
        <f ca="1">IFERROR(__xludf.DUMMYFUNCTION("GOOGLETRANSLATE(B2794,""en"",""fr"")"),"chanceux")</f>
        <v>chanceux</v>
      </c>
      <c r="F2794" s="2" t="str">
        <f ca="1">IFERROR(__xludf.DUMMYFUNCTION("GOOGLETRANSLATE(B2794,""en"",""it"")"),"fortunato")</f>
        <v>fortunato</v>
      </c>
      <c r="G2794" s="2" t="str">
        <f ca="1">IFERROR(__xludf.DUMMYFUNCTION("GOOGLETRANSLATE(B2794,""en"",""de"")"),"glücklich")</f>
        <v>glücklich</v>
      </c>
      <c r="H2794" s="2" t="str">
        <f ca="1">IFERROR(__xludf.DUMMYFUNCTION("GOOGLETRANSLATE(B2794,""en"",""zh"")"),"幸运")</f>
        <v>幸运</v>
      </c>
      <c r="I2794" s="2" t="str">
        <f ca="1">IFERROR(__xludf.DUMMYFUNCTION("GOOGLETRANSLATE(B2794,""en"",""gd"")"),"fortanach")</f>
        <v>fortanach</v>
      </c>
    </row>
    <row r="2795" spans="1:9" ht="14.25" customHeight="1" x14ac:dyDescent="0.3">
      <c r="A2795" s="2">
        <v>2794</v>
      </c>
      <c r="B2795" s="3" t="s">
        <v>2802</v>
      </c>
      <c r="C2795" s="2" t="str">
        <f ca="1">IFERROR(__xludf.DUMMYFUNCTION("GOOGLETRANSLATE(B2795, ""en"",""es"")"),"está bien")</f>
        <v>está bien</v>
      </c>
      <c r="D2795" s="2" t="str">
        <f ca="1">IFERROR(__xludf.DUMMYFUNCTION("GOOGLETRANSLATE(B2795,""en"",""ig"")"),"mma")</f>
        <v>mma</v>
      </c>
      <c r="E2795" s="2" t="str">
        <f ca="1">IFERROR(__xludf.DUMMYFUNCTION("GOOGLETRANSLATE(B2795,""en"",""fr"")"),"Très bien")</f>
        <v>Très bien</v>
      </c>
      <c r="F2795" s="2" t="str">
        <f ca="1">IFERROR(__xludf.DUMMYFUNCTION("GOOGLETRANSLATE(B2795,""en"",""it"")"),"Bene")</f>
        <v>Bene</v>
      </c>
      <c r="G2795" s="2" t="str">
        <f ca="1">IFERROR(__xludf.DUMMYFUNCTION("GOOGLETRANSLATE(B2795,""en"",""de"")"),"In Ordnung")</f>
        <v>In Ordnung</v>
      </c>
      <c r="H2795" s="2" t="str">
        <f ca="1">IFERROR(__xludf.DUMMYFUNCTION("GOOGLETRANSLATE(B2795,""en"",""zh"")"),"好吧")</f>
        <v>好吧</v>
      </c>
      <c r="I2795" s="2" t="str">
        <f ca="1">IFERROR(__xludf.DUMMYFUNCTION("GOOGLETRANSLATE(B2795,""en"",""gd"")"),"ceart gu leòr")</f>
        <v>ceart gu leòr</v>
      </c>
    </row>
    <row r="2796" spans="1:9" ht="14.25" customHeight="1" x14ac:dyDescent="0.3">
      <c r="A2796" s="2">
        <v>2795</v>
      </c>
      <c r="B2796" s="3" t="s">
        <v>2803</v>
      </c>
      <c r="C2796" s="2" t="str">
        <f ca="1">IFERROR(__xludf.DUMMYFUNCTION("GOOGLETRANSLATE(B2796, ""en"",""es"")"),"perezoso")</f>
        <v>perezoso</v>
      </c>
      <c r="D2796" s="2" t="str">
        <f ca="1">IFERROR(__xludf.DUMMYFUNCTION("GOOGLETRANSLATE(B2796,""en"",""ig"")"),"keagara")</f>
        <v>keagara</v>
      </c>
      <c r="E2796" s="2" t="str">
        <f ca="1">IFERROR(__xludf.DUMMYFUNCTION("GOOGLETRANSLATE(B2796,""en"",""fr"")"),"paresseux")</f>
        <v>paresseux</v>
      </c>
      <c r="F2796" s="2" t="str">
        <f ca="1">IFERROR(__xludf.DUMMYFUNCTION("GOOGLETRANSLATE(B2796,""en"",""it"")"),"Pigro")</f>
        <v>Pigro</v>
      </c>
      <c r="G2796" s="2" t="str">
        <f ca="1">IFERROR(__xludf.DUMMYFUNCTION("GOOGLETRANSLATE(B2796,""en"",""de"")"),"faul")</f>
        <v>faul</v>
      </c>
      <c r="H2796" s="2" t="str">
        <f ca="1">IFERROR(__xludf.DUMMYFUNCTION("GOOGLETRANSLATE(B2796,""en"",""zh"")"),"懒惰的")</f>
        <v>懒惰的</v>
      </c>
      <c r="I2796" s="2" t="str">
        <f ca="1">IFERROR(__xludf.DUMMYFUNCTION("GOOGLETRANSLATE(B2796,""en"",""gd"")"),"leisg")</f>
        <v>leisg</v>
      </c>
    </row>
    <row r="2797" spans="1:9" ht="14.25" customHeight="1" x14ac:dyDescent="0.3">
      <c r="A2797" s="2">
        <v>2796</v>
      </c>
      <c r="B2797" s="3" t="s">
        <v>2804</v>
      </c>
      <c r="C2797" s="2" t="str">
        <f ca="1">IFERROR(__xludf.DUMMYFUNCTION("GOOGLETRANSLATE(B2797, ""en"",""es"")"),"Hola")</f>
        <v>Hola</v>
      </c>
      <c r="D2797" s="2" t="str">
        <f ca="1">IFERROR(__xludf.DUMMYFUNCTION("GOOGLETRANSLATE(B2797,""en"",""ig"")"),"Nnọọ")</f>
        <v>Nnọọ</v>
      </c>
      <c r="E2797" s="2" t="str">
        <f ca="1">IFERROR(__xludf.DUMMYFUNCTION("GOOGLETRANSLATE(B2797,""en"",""fr"")"),"Bonjour")</f>
        <v>Bonjour</v>
      </c>
      <c r="F2797" s="2" t="str">
        <f ca="1">IFERROR(__xludf.DUMMYFUNCTION("GOOGLETRANSLATE(B2797,""en"",""it"")"),"Ciao")</f>
        <v>Ciao</v>
      </c>
      <c r="G2797" s="2" t="str">
        <f ca="1">IFERROR(__xludf.DUMMYFUNCTION("GOOGLETRANSLATE(B2797,""en"",""de"")"),"Hallo")</f>
        <v>Hallo</v>
      </c>
      <c r="H2797" s="2" t="str">
        <f ca="1">IFERROR(__xludf.DUMMYFUNCTION("GOOGLETRANSLATE(B2797,""en"",""zh"")"),"你好")</f>
        <v>你好</v>
      </c>
      <c r="I2797" s="2" t="str">
        <f ca="1">IFERROR(__xludf.DUMMYFUNCTION("GOOGLETRANSLATE(B2797,""en"",""gd"")"),"Halò")</f>
        <v>Halò</v>
      </c>
    </row>
    <row r="2798" spans="1:9" ht="14.25" customHeight="1" x14ac:dyDescent="0.3">
      <c r="A2798" s="2">
        <v>2797</v>
      </c>
      <c r="B2798" s="3" t="s">
        <v>2805</v>
      </c>
      <c r="C2798" s="2" t="str">
        <f ca="1">IFERROR(__xludf.DUMMYFUNCTION("GOOGLETRANSLATE(B2798, ""en"",""es"")"),"hambre")</f>
        <v>hambre</v>
      </c>
      <c r="D2798" s="2" t="str">
        <f ca="1">IFERROR(__xludf.DUMMYFUNCTION("GOOGLETRANSLATE(B2798,""en"",""ig"")"),"aguu")</f>
        <v>aguu</v>
      </c>
      <c r="E2798" s="2" t="str">
        <f ca="1">IFERROR(__xludf.DUMMYFUNCTION("GOOGLETRANSLATE(B2798,""en"",""fr"")"),"faim")</f>
        <v>faim</v>
      </c>
      <c r="F2798" s="2" t="str">
        <f ca="1">IFERROR(__xludf.DUMMYFUNCTION("GOOGLETRANSLATE(B2798,""en"",""it"")"),"fame")</f>
        <v>fame</v>
      </c>
      <c r="G2798" s="2" t="str">
        <f ca="1">IFERROR(__xludf.DUMMYFUNCTION("GOOGLETRANSLATE(B2798,""en"",""de"")"),"Hunger")</f>
        <v>Hunger</v>
      </c>
      <c r="H2798" s="2" t="str">
        <f ca="1">IFERROR(__xludf.DUMMYFUNCTION("GOOGLETRANSLATE(B2798,""en"",""zh"")"),"饥饿")</f>
        <v>饥饿</v>
      </c>
      <c r="I2798" s="2" t="str">
        <f ca="1">IFERROR(__xludf.DUMMYFUNCTION("GOOGLETRANSLATE(B2798,""en"",""gd"")"),"Acras")</f>
        <v>Acras</v>
      </c>
    </row>
    <row r="2799" spans="1:9" ht="14.25" customHeight="1" x14ac:dyDescent="0.3">
      <c r="A2799" s="2">
        <v>2798</v>
      </c>
      <c r="B2799" s="3" t="s">
        <v>2806</v>
      </c>
      <c r="C2799" s="2" t="str">
        <f ca="1">IFERROR(__xludf.DUMMYFUNCTION("GOOGLETRANSLATE(B2799, ""en"",""es"")"),"asegurar")</f>
        <v>asegurar</v>
      </c>
      <c r="D2799" s="2" t="str">
        <f ca="1">IFERROR(__xludf.DUMMYFUNCTION("GOOGLETRANSLATE(B2799,""en"",""ig"")"),"ime inshooransi")</f>
        <v>ime inshooransi</v>
      </c>
      <c r="E2799" s="2" t="str">
        <f ca="1">IFERROR(__xludf.DUMMYFUNCTION("GOOGLETRANSLATE(B2799,""en"",""fr"")"),"assurer")</f>
        <v>assurer</v>
      </c>
      <c r="F2799" s="2" t="str">
        <f ca="1">IFERROR(__xludf.DUMMYFUNCTION("GOOGLETRANSLATE(B2799,""en"",""it"")"),"assicurare")</f>
        <v>assicurare</v>
      </c>
      <c r="G2799" s="2" t="str">
        <f ca="1">IFERROR(__xludf.DUMMYFUNCTION("GOOGLETRANSLATE(B2799,""en"",""de"")"),"versichern")</f>
        <v>versichern</v>
      </c>
      <c r="H2799" s="2" t="str">
        <f ca="1">IFERROR(__xludf.DUMMYFUNCTION("GOOGLETRANSLATE(B2799,""en"",""zh"")"),"保证")</f>
        <v>保证</v>
      </c>
      <c r="I2799" s="2" t="str">
        <f ca="1">IFERROR(__xludf.DUMMYFUNCTION("GOOGLETRANSLATE(B2799,""en"",""gd"")"),"àrachas")</f>
        <v>àrachas</v>
      </c>
    </row>
    <row r="2800" spans="1:9" ht="14.25" customHeight="1" x14ac:dyDescent="0.3">
      <c r="A2800" s="2">
        <v>2799</v>
      </c>
      <c r="B2800" s="3" t="s">
        <v>2807</v>
      </c>
      <c r="C2800" s="2" t="str">
        <f ca="1">IFERROR(__xludf.DUMMYFUNCTION("GOOGLETRANSLATE(B2800, ""en"",""es"")"),"avergonzado")</f>
        <v>avergonzado</v>
      </c>
      <c r="D2800" s="2" t="str">
        <f ca="1">IFERROR(__xludf.DUMMYFUNCTION("GOOGLETRANSLATE(B2800,""en"",""ig"")"),"ihiere")</f>
        <v>ihiere</v>
      </c>
      <c r="E2800" s="2" t="str">
        <f ca="1">IFERROR(__xludf.DUMMYFUNCTION("GOOGLETRANSLATE(B2800,""en"",""fr"")"),"honteux")</f>
        <v>honteux</v>
      </c>
      <c r="F2800" s="2" t="str">
        <f ca="1">IFERROR(__xludf.DUMMYFUNCTION("GOOGLETRANSLATE(B2800,""en"",""it"")"),"che si vergogna")</f>
        <v>che si vergogna</v>
      </c>
      <c r="G2800" s="2" t="str">
        <f ca="1">IFERROR(__xludf.DUMMYFUNCTION("GOOGLETRANSLATE(B2800,""en"",""de"")"),"beschämt")</f>
        <v>beschämt</v>
      </c>
      <c r="H2800" s="2" t="str">
        <f ca="1">IFERROR(__xludf.DUMMYFUNCTION("GOOGLETRANSLATE(B2800,""en"",""zh"")"),"羞愧")</f>
        <v>羞愧</v>
      </c>
      <c r="I2800" s="2" t="str">
        <f ca="1">IFERROR(__xludf.DUMMYFUNCTION("GOOGLETRANSLATE(B2800,""en"",""gd"")"),"nàire")</f>
        <v>nàire</v>
      </c>
    </row>
    <row r="2801" spans="1:9" ht="14.25" customHeight="1" x14ac:dyDescent="0.3">
      <c r="A2801" s="2">
        <v>2800</v>
      </c>
      <c r="B2801" s="3" t="s">
        <v>2808</v>
      </c>
      <c r="C2801" s="2" t="str">
        <f ca="1">IFERROR(__xludf.DUMMYFUNCTION("GOOGLETRANSLATE(B2801, ""en"",""es"")"),"encontró")</f>
        <v>encontró</v>
      </c>
      <c r="D2801" s="2" t="str">
        <f ca="1">IFERROR(__xludf.DUMMYFUNCTION("GOOGLETRANSLATE(B2801,""en"",""ig"")"),"ahuru")</f>
        <v>ahuru</v>
      </c>
      <c r="E2801" s="2" t="str">
        <f ca="1">IFERROR(__xludf.DUMMYFUNCTION("GOOGLETRANSLATE(B2801,""en"",""fr"")"),"trouvé")</f>
        <v>trouvé</v>
      </c>
      <c r="F2801" s="2" t="str">
        <f ca="1">IFERROR(__xludf.DUMMYFUNCTION("GOOGLETRANSLATE(B2801,""en"",""it"")"),"trovato")</f>
        <v>trovato</v>
      </c>
      <c r="G2801" s="2" t="str">
        <f ca="1">IFERROR(__xludf.DUMMYFUNCTION("GOOGLETRANSLATE(B2801,""en"",""de"")"),"gefunden")</f>
        <v>gefunden</v>
      </c>
      <c r="H2801" s="2" t="str">
        <f ca="1">IFERROR(__xludf.DUMMYFUNCTION("GOOGLETRANSLATE(B2801,""en"",""zh"")"),"成立")</f>
        <v>成立</v>
      </c>
      <c r="I2801" s="2" t="str">
        <f ca="1">IFERROR(__xludf.DUMMYFUNCTION("GOOGLETRANSLATE(B2801,""en"",""gd"")"),"lorg")</f>
        <v>lorg</v>
      </c>
    </row>
    <row r="2802" spans="1:9" ht="14.25" customHeight="1" x14ac:dyDescent="0.3">
      <c r="A2802" s="2">
        <v>2801</v>
      </c>
      <c r="B2802" s="3" t="s">
        <v>2809</v>
      </c>
      <c r="C2802" s="2" t="str">
        <f ca="1">IFERROR(__xludf.DUMMYFUNCTION("GOOGLETRANSLATE(B2802, ""en"",""es"")"),"sed")</f>
        <v>sed</v>
      </c>
      <c r="D2802" s="2" t="str">
        <f ca="1">IFERROR(__xludf.DUMMYFUNCTION("GOOGLETRANSLATE(B2802,""en"",""ig"")"),"akpiriikponku")</f>
        <v>akpiriikponku</v>
      </c>
      <c r="E2802" s="2" t="str">
        <f ca="1">IFERROR(__xludf.DUMMYFUNCTION("GOOGLETRANSLATE(B2802,""en"",""fr"")"),"la soif")</f>
        <v>la soif</v>
      </c>
      <c r="F2802" s="2" t="str">
        <f ca="1">IFERROR(__xludf.DUMMYFUNCTION("GOOGLETRANSLATE(B2802,""en"",""it"")"),"sete")</f>
        <v>sete</v>
      </c>
      <c r="G2802" s="2" t="str">
        <f ca="1">IFERROR(__xludf.DUMMYFUNCTION("GOOGLETRANSLATE(B2802,""en"",""de"")"),"Durst")</f>
        <v>Durst</v>
      </c>
      <c r="H2802" s="2" t="str">
        <f ca="1">IFERROR(__xludf.DUMMYFUNCTION("GOOGLETRANSLATE(B2802,""en"",""zh"")"),"口渴")</f>
        <v>口渴</v>
      </c>
      <c r="I2802" s="2" t="str">
        <f ca="1">IFERROR(__xludf.DUMMYFUNCTION("GOOGLETRANSLATE(B2802,""en"",""gd"")"),"tart")</f>
        <v>tart</v>
      </c>
    </row>
  </sheetData>
  <conditionalFormatting sqref="A1:Z1">
    <cfRule type="notContainsBlanks" dxfId="0" priority="1">
      <formula>LEN(TRIM(A1))&gt;0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0</vt:lpstr>
      <vt:lpstr>Sheet1</vt:lpstr>
      <vt:lpstr>'Table 0'!ExternalData_1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oshodin</cp:lastModifiedBy>
  <dcterms:modified xsi:type="dcterms:W3CDTF">2023-12-25T17:50:28Z</dcterms:modified>
</cp:coreProperties>
</file>