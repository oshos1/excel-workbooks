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8_{58259CE0-354F-4740-AC3F-B1BB23EC4907}" xr6:coauthVersionLast="47" xr6:coauthVersionMax="47" xr10:uidLastSave="{00000000-0000-0000-0000-000000000000}"/>
  <bookViews>
    <workbookView xWindow="-108" yWindow="-108" windowWidth="23256" windowHeight="12456" firstSheet="1" activeTab="1"/>
  </bookViews>
  <sheets>
    <sheet name="Problem" sheetId="4" r:id="rId1"/>
    <sheet name="Solution School Supplies" sheetId="1" r:id="rId2"/>
    <sheet name="Cat or Dog" sheetId="2" r:id="rId3"/>
    <sheet name="Vacation Ideas" sheetId="3" r:id="rId4"/>
    <sheet name="Printer Selection" sheetId="5" r:id="rId5"/>
    <sheet name="Cell Phone" sheetId="6" r:id="rId6"/>
    <sheet name="Car Selection" sheetId="7" r:id="rId7"/>
  </sheets>
  <definedNames>
    <definedName name="_xlchart.v1.0" hidden="1">'Solution School Supplies'!$G$18:$I$18</definedName>
    <definedName name="_xlchart.v1.1" hidden="1">'Solution School Supplies'!$G$19:$I$19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7" l="1"/>
  <c r="B23" i="7"/>
  <c r="B14" i="5"/>
  <c r="B18" i="2"/>
  <c r="L16" i="1"/>
  <c r="M16" i="1"/>
  <c r="N16" i="1"/>
  <c r="L15" i="1"/>
  <c r="M15" i="1"/>
  <c r="N15" i="1"/>
  <c r="L14" i="1"/>
  <c r="M14" i="1"/>
  <c r="N14" i="1"/>
  <c r="L13" i="1"/>
  <c r="M13" i="1"/>
  <c r="N13" i="1"/>
  <c r="J14" i="6"/>
  <c r="J15" i="6" s="1"/>
  <c r="J19" i="6" s="1"/>
  <c r="J20" i="6" s="1"/>
  <c r="J23" i="6" s="1"/>
  <c r="I14" i="6"/>
  <c r="I15" i="6" s="1"/>
  <c r="I19" i="6" s="1"/>
  <c r="I20" i="6" s="1"/>
  <c r="I23" i="6" s="1"/>
  <c r="H14" i="6"/>
  <c r="H15" i="6" s="1"/>
  <c r="H19" i="6" s="1"/>
  <c r="H20" i="6" s="1"/>
  <c r="H23" i="6" s="1"/>
  <c r="B20" i="6"/>
  <c r="C20" i="6"/>
  <c r="C19" i="6"/>
  <c r="C14" i="6"/>
  <c r="C15" i="6" s="1"/>
  <c r="D14" i="6"/>
  <c r="D15" i="6" s="1"/>
  <c r="D19" i="6" s="1"/>
  <c r="D20" i="6" s="1"/>
  <c r="D23" i="6" s="1"/>
  <c r="B14" i="6"/>
  <c r="B15" i="6" s="1"/>
  <c r="B19" i="6" s="1"/>
  <c r="B23" i="6" s="1"/>
  <c r="I3" i="7"/>
  <c r="J3" i="7"/>
  <c r="H3" i="7"/>
  <c r="J21" i="7"/>
  <c r="I21" i="7"/>
  <c r="H21" i="7"/>
  <c r="H23" i="7" s="1"/>
  <c r="J17" i="7"/>
  <c r="I17" i="7"/>
  <c r="H17" i="7"/>
  <c r="J15" i="7"/>
  <c r="I15" i="7"/>
  <c r="H15" i="7"/>
  <c r="C21" i="7"/>
  <c r="D21" i="7"/>
  <c r="B21" i="7"/>
  <c r="C17" i="7"/>
  <c r="C23" i="7" s="1"/>
  <c r="C26" i="7" s="1"/>
  <c r="D17" i="7"/>
  <c r="C15" i="7"/>
  <c r="D15" i="7"/>
  <c r="B15" i="7"/>
  <c r="M11" i="5"/>
  <c r="L11" i="5"/>
  <c r="K11" i="5"/>
  <c r="M6" i="5"/>
  <c r="M14" i="5" s="1"/>
  <c r="M17" i="5" s="1"/>
  <c r="M20" i="5" s="1"/>
  <c r="L6" i="5"/>
  <c r="L14" i="5" s="1"/>
  <c r="L17" i="5" s="1"/>
  <c r="L20" i="5" s="1"/>
  <c r="K6" i="5"/>
  <c r="K14" i="5" s="1"/>
  <c r="K17" i="5" s="1"/>
  <c r="K20" i="5" s="1"/>
  <c r="B17" i="5"/>
  <c r="B20" i="5" s="1"/>
  <c r="C11" i="5"/>
  <c r="D11" i="5"/>
  <c r="B11" i="5"/>
  <c r="D6" i="5"/>
  <c r="D14" i="5" s="1"/>
  <c r="D17" i="5" s="1"/>
  <c r="D20" i="5" s="1"/>
  <c r="C6" i="5"/>
  <c r="C14" i="5" s="1"/>
  <c r="C17" i="5" s="1"/>
  <c r="C20" i="5" s="1"/>
  <c r="B6" i="5"/>
  <c r="I33" i="3"/>
  <c r="H33" i="3"/>
  <c r="H27" i="3"/>
  <c r="I22" i="3"/>
  <c r="H22" i="3"/>
  <c r="J17" i="3"/>
  <c r="J35" i="3" s="1"/>
  <c r="I17" i="3"/>
  <c r="H17" i="3"/>
  <c r="J15" i="3"/>
  <c r="I15" i="3"/>
  <c r="H15" i="3"/>
  <c r="D35" i="3"/>
  <c r="C35" i="3"/>
  <c r="B35" i="3"/>
  <c r="C33" i="3"/>
  <c r="B33" i="3"/>
  <c r="B27" i="3"/>
  <c r="C22" i="3"/>
  <c r="B22" i="3"/>
  <c r="D17" i="3"/>
  <c r="D15" i="3"/>
  <c r="C17" i="3"/>
  <c r="C15" i="3"/>
  <c r="B17" i="3"/>
  <c r="B15" i="3"/>
  <c r="C18" i="2"/>
  <c r="C16" i="2"/>
  <c r="C15" i="2"/>
  <c r="B16" i="2"/>
  <c r="B15" i="2"/>
  <c r="C9" i="2"/>
  <c r="B9" i="2"/>
  <c r="N4" i="1"/>
  <c r="N5" i="1"/>
  <c r="N6" i="1"/>
  <c r="N7" i="1"/>
  <c r="N8" i="1"/>
  <c r="N9" i="1"/>
  <c r="N10" i="1"/>
  <c r="N11" i="1"/>
  <c r="N12" i="1"/>
  <c r="N17" i="1"/>
  <c r="N3" i="1"/>
  <c r="M4" i="1"/>
  <c r="M5" i="1"/>
  <c r="M6" i="1"/>
  <c r="M7" i="1"/>
  <c r="M8" i="1"/>
  <c r="M9" i="1"/>
  <c r="M10" i="1"/>
  <c r="M11" i="1"/>
  <c r="M12" i="1"/>
  <c r="M17" i="1"/>
  <c r="M3" i="1"/>
  <c r="L6" i="1"/>
  <c r="L5" i="1"/>
  <c r="L4" i="1"/>
  <c r="L7" i="1"/>
  <c r="L8" i="1"/>
  <c r="L9" i="1"/>
  <c r="L10" i="1"/>
  <c r="L11" i="1"/>
  <c r="L12" i="1"/>
  <c r="L17" i="1"/>
  <c r="L3" i="1"/>
  <c r="G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19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H1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B26" i="7" l="1"/>
  <c r="C23" i="6"/>
  <c r="D23" i="7"/>
  <c r="D26" i="7" s="1"/>
  <c r="J23" i="7"/>
  <c r="J26" i="7" s="1"/>
  <c r="I23" i="7"/>
  <c r="I26" i="7" s="1"/>
  <c r="H26" i="7"/>
  <c r="H35" i="3"/>
  <c r="I35" i="3"/>
  <c r="L19" i="1"/>
  <c r="M19" i="1"/>
  <c r="N19" i="1"/>
</calcChain>
</file>

<file path=xl/sharedStrings.xml><?xml version="1.0" encoding="utf-8"?>
<sst xmlns="http://schemas.openxmlformats.org/spreadsheetml/2006/main" count="261" uniqueCount="128">
  <si>
    <t>Ball Point Pen</t>
  </si>
  <si>
    <t>TI-35 Calculator</t>
  </si>
  <si>
    <t>100 page notebook</t>
  </si>
  <si>
    <t>8 oz Glue</t>
  </si>
  <si>
    <t>Clear tape</t>
  </si>
  <si>
    <t>Eraser</t>
  </si>
  <si>
    <t>2 inch binder</t>
  </si>
  <si>
    <t>USB Stick 5gb</t>
  </si>
  <si>
    <t>8 color markers</t>
  </si>
  <si>
    <t>Staplers</t>
  </si>
  <si>
    <t>Planner Book</t>
  </si>
  <si>
    <t>Protractor</t>
  </si>
  <si>
    <t>Compass</t>
  </si>
  <si>
    <t>Liquid Paper</t>
  </si>
  <si>
    <t>Dollar Trap</t>
  </si>
  <si>
    <t>Office Repo</t>
  </si>
  <si>
    <t>Walt-Mart</t>
  </si>
  <si>
    <t>Susan</t>
  </si>
  <si>
    <t>Walt-mart</t>
  </si>
  <si>
    <t>Total</t>
  </si>
  <si>
    <t>Tim</t>
  </si>
  <si>
    <t>Initial</t>
  </si>
  <si>
    <t>Purchase</t>
  </si>
  <si>
    <t>Collar</t>
  </si>
  <si>
    <t>Tag</t>
  </si>
  <si>
    <t>Bowl</t>
  </si>
  <si>
    <t>Leash</t>
  </si>
  <si>
    <t>Initial Total</t>
  </si>
  <si>
    <t xml:space="preserve">Dog </t>
  </si>
  <si>
    <t>Cat</t>
  </si>
  <si>
    <t>Montly</t>
  </si>
  <si>
    <t>Food</t>
  </si>
  <si>
    <t>Litter</t>
  </si>
  <si>
    <t>Treats</t>
  </si>
  <si>
    <t>Subtotal</t>
  </si>
  <si>
    <t>Mothly Total</t>
  </si>
  <si>
    <t>One Year Cost</t>
  </si>
  <si>
    <t>Dog</t>
  </si>
  <si>
    <t>STORES TO BUY SCHOOL SUPPLIES</t>
  </si>
  <si>
    <t>Items</t>
  </si>
  <si>
    <t>Per Person Expenses</t>
  </si>
  <si>
    <t>Chicago Museum</t>
  </si>
  <si>
    <t>Orlando Theme Park</t>
  </si>
  <si>
    <t>Caribbean Cruise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</si>
  <si>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</si>
  <si>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</si>
  <si>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</si>
  <si>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</si>
  <si>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</si>
  <si>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</si>
  <si>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</si>
  <si>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</si>
  <si>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</si>
  <si>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</si>
  <si>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Subtotal of Tickets (per person)</t>
  </si>
  <si>
    <t>Number of People in the group</t>
  </si>
  <si>
    <t>Total Cost of Tickets</t>
  </si>
  <si>
    <t>Hotel Expenses</t>
  </si>
  <si>
    <t>Hotel Cost per Night</t>
  </si>
  <si>
    <t>Number of Nights</t>
  </si>
  <si>
    <t>Hotel Total</t>
  </si>
  <si>
    <t>Car Expenses</t>
  </si>
  <si>
    <t>Rental per day</t>
  </si>
  <si>
    <t>Number of days</t>
  </si>
  <si>
    <t>Car Total</t>
  </si>
  <si>
    <t>Duration</t>
  </si>
  <si>
    <t>Group Size</t>
  </si>
  <si>
    <t>Total Food Cost</t>
  </si>
  <si>
    <t>Daily Food Cost (per person)</t>
  </si>
  <si>
    <t>Food Expenses</t>
  </si>
  <si>
    <t>Carribean Cruise</t>
  </si>
  <si>
    <t>PROBLEM AVAILABLE AT: https://github.com/shadsluiter/ExcelExamples/blob/08cb04b9b12a3c25b15bfb547fc1e4e9d1aca17d/Problem%20Solving%20with%20Excel%20Spreadsheets%20Part%202.pdf</t>
  </si>
  <si>
    <t>Epsilon</t>
  </si>
  <si>
    <t>HV</t>
  </si>
  <si>
    <t>Zero</t>
  </si>
  <si>
    <t>Purchase Price</t>
  </si>
  <si>
    <t>Cost of a set of Cartridges</t>
  </si>
  <si>
    <t>Pages cartridges can print</t>
  </si>
  <si>
    <t>Cost per page</t>
  </si>
  <si>
    <t>Expected Pages Per Day</t>
  </si>
  <si>
    <t>Weeks in Year</t>
  </si>
  <si>
    <t>Days in Week</t>
  </si>
  <si>
    <t>Total Pages in Year</t>
  </si>
  <si>
    <t>Pages per year</t>
  </si>
  <si>
    <t>Printing Cost per year</t>
  </si>
  <si>
    <t>Years</t>
  </si>
  <si>
    <t>Total Printing Cost</t>
  </si>
  <si>
    <t>Total cost</t>
  </si>
  <si>
    <t>Heavy Package</t>
  </si>
  <si>
    <t>Chevy Spark</t>
  </si>
  <si>
    <t>Ford Mustang</t>
  </si>
  <si>
    <t>Cadillac Escalade</t>
  </si>
  <si>
    <t>Initial Cost</t>
  </si>
  <si>
    <t>Taxes</t>
  </si>
  <si>
    <t>Yearly Cost</t>
  </si>
  <si>
    <t>Insurance</t>
  </si>
  <si>
    <t xml:space="preserve">Licence </t>
  </si>
  <si>
    <t>Gas</t>
  </si>
  <si>
    <t>Gas Cost Calculation</t>
  </si>
  <si>
    <t>Miles per year driven</t>
  </si>
  <si>
    <t>MPG</t>
  </si>
  <si>
    <t>Price per gal of gas</t>
  </si>
  <si>
    <t>Total Annual Gas purchases</t>
  </si>
  <si>
    <t>Total Annual Cost (Insurance, Licence, Gas)</t>
  </si>
  <si>
    <t>Miles to drive each year</t>
  </si>
  <si>
    <t>Susan's goal for maximum miles</t>
  </si>
  <si>
    <t>Total Life of the Car (years)</t>
  </si>
  <si>
    <t>Annual Cost X Years of Life</t>
  </si>
  <si>
    <t>Total, Lifetime Cost</t>
  </si>
  <si>
    <t>X-Mobile</t>
  </si>
  <si>
    <t>Veritium</t>
  </si>
  <si>
    <t>ABC</t>
  </si>
  <si>
    <t>Tax and fees</t>
  </si>
  <si>
    <t>Data</t>
  </si>
  <si>
    <t>Price per Extra Data</t>
  </si>
  <si>
    <t>Monthly Fee</t>
  </si>
  <si>
    <t>Data Usage per Month (Gb)</t>
  </si>
  <si>
    <t>Data Included (Gb)</t>
  </si>
  <si>
    <t>Extra data per Month (Gb)</t>
  </si>
  <si>
    <t>Additional Data fee</t>
  </si>
  <si>
    <t>Total Monthly fee for Data</t>
  </si>
  <si>
    <t>Duration (Months)</t>
  </si>
  <si>
    <t>Phone Rental Per Month</t>
  </si>
  <si>
    <t>Total Monthly Recurring Cost</t>
  </si>
  <si>
    <t>Monthly Recuring Cost</t>
  </si>
  <si>
    <t>Total Cost for 24 months</t>
  </si>
  <si>
    <t>Total Recuring Cost</t>
  </si>
  <si>
    <t>10 No. 2 Pencils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</si>
</sst>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&quot;$&quot;* #,##0.000_);_(&quot;$&quot;* \(#,##0.000\);_(&quot;$&quot;* &quot;-&quot;??_);_(@_)"/>
    <numFmt numFmtId="169" formatCode="_(&quot;$&quot;* #,##0.0000_);_(&quot;$&quot;* \(#,##0.0000\);_(&quot;$&quot;* &quot;-&quot;??_);_(@_)"/>
    <numFmt numFmtId="179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44" fontId="0" fillId="0" borderId="0" xfId="2" applyFont="1"/>
    <xf numFmtId="0" fontId="0" fillId="0" borderId="0" xfId="2" applyNumberFormat="1" applyFont="1"/>
    <xf numFmtId="44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4" fontId="0" fillId="6" borderId="0" xfId="2" applyFont="1" applyFill="1"/>
    <xf numFmtId="44" fontId="0" fillId="5" borderId="0" xfId="2" applyFont="1" applyFill="1"/>
    <xf numFmtId="44" fontId="0" fillId="4" borderId="0" xfId="2" applyFont="1" applyFill="1"/>
    <xf numFmtId="0" fontId="4" fillId="6" borderId="0" xfId="0" applyFont="1" applyFill="1"/>
    <xf numFmtId="0" fontId="2" fillId="6" borderId="0" xfId="0" applyFont="1" applyFill="1"/>
    <xf numFmtId="0" fontId="4" fillId="5" borderId="0" xfId="0" applyFont="1" applyFill="1"/>
    <xf numFmtId="44" fontId="2" fillId="5" borderId="0" xfId="2" applyFont="1" applyFill="1"/>
    <xf numFmtId="0" fontId="2" fillId="5" borderId="0" xfId="0" applyFont="1" applyFill="1"/>
    <xf numFmtId="0" fontId="2" fillId="4" borderId="0" xfId="0" applyFont="1" applyFill="1"/>
    <xf numFmtId="0" fontId="0" fillId="0" borderId="0" xfId="0" applyFont="1"/>
    <xf numFmtId="0" fontId="0" fillId="7" borderId="0" xfId="0" applyFill="1"/>
    <xf numFmtId="0" fontId="4" fillId="8" borderId="0" xfId="0" applyFont="1" applyFill="1"/>
    <xf numFmtId="0" fontId="0" fillId="8" borderId="0" xfId="0" applyFill="1"/>
    <xf numFmtId="0" fontId="4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3" fillId="7" borderId="0" xfId="0" applyFont="1" applyFill="1"/>
    <xf numFmtId="0" fontId="0" fillId="0" borderId="0" xfId="0" applyFill="1"/>
    <xf numFmtId="0" fontId="0" fillId="9" borderId="0" xfId="0" applyFill="1"/>
    <xf numFmtId="0" fontId="4" fillId="9" borderId="0" xfId="0" applyFont="1" applyFill="1"/>
    <xf numFmtId="44" fontId="0" fillId="8" borderId="0" xfId="2" applyFont="1" applyFill="1"/>
    <xf numFmtId="44" fontId="0" fillId="2" borderId="0" xfId="2" applyFont="1" applyFill="1"/>
    <xf numFmtId="0" fontId="0" fillId="10" borderId="0" xfId="0" applyFill="1"/>
    <xf numFmtId="44" fontId="0" fillId="10" borderId="0" xfId="0" applyNumberFormat="1" applyFill="1"/>
    <xf numFmtId="0" fontId="2" fillId="0" borderId="0" xfId="0" applyFont="1" applyFill="1"/>
    <xf numFmtId="0" fontId="0" fillId="2" borderId="0" xfId="0" applyNumberFormat="1" applyFill="1"/>
    <xf numFmtId="0" fontId="0" fillId="2" borderId="0" xfId="2" applyNumberFormat="1" applyFont="1" applyFill="1"/>
    <xf numFmtId="0" fontId="0" fillId="0" borderId="0" xfId="0" applyNumberFormat="1"/>
    <xf numFmtId="44" fontId="0" fillId="7" borderId="0" xfId="2" applyFont="1" applyFill="1"/>
    <xf numFmtId="44" fontId="0" fillId="9" borderId="0" xfId="2" applyFont="1" applyFill="1"/>
    <xf numFmtId="0" fontId="0" fillId="11" borderId="0" xfId="0" applyFill="1"/>
    <xf numFmtId="44" fontId="0" fillId="11" borderId="0" xfId="2" applyFont="1" applyFill="1"/>
    <xf numFmtId="168" fontId="0" fillId="5" borderId="0" xfId="2" applyNumberFormat="1" applyFont="1" applyFill="1"/>
    <xf numFmtId="169" fontId="0" fillId="5" borderId="0" xfId="2" applyNumberFormat="1" applyFont="1" applyFill="1"/>
    <xf numFmtId="44" fontId="0" fillId="3" borderId="0" xfId="0" applyNumberFormat="1" applyFill="1"/>
    <xf numFmtId="44" fontId="0" fillId="7" borderId="0" xfId="0" applyNumberFormat="1" applyFill="1"/>
    <xf numFmtId="0" fontId="0" fillId="5" borderId="0" xfId="1" applyNumberFormat="1" applyFont="1" applyFill="1"/>
    <xf numFmtId="44" fontId="0" fillId="0" borderId="0" xfId="0" applyNumberFormat="1" applyFill="1"/>
    <xf numFmtId="0" fontId="4" fillId="2" borderId="0" xfId="0" applyFont="1" applyFill="1"/>
    <xf numFmtId="0" fontId="0" fillId="12" borderId="0" xfId="0" applyFill="1"/>
    <xf numFmtId="44" fontId="0" fillId="12" borderId="0" xfId="2" applyFont="1" applyFill="1"/>
    <xf numFmtId="44" fontId="0" fillId="12" borderId="0" xfId="0" applyNumberFormat="1" applyFill="1"/>
    <xf numFmtId="0" fontId="0" fillId="13" borderId="0" xfId="0" applyFill="1"/>
    <xf numFmtId="179" fontId="0" fillId="13" borderId="0" xfId="0" applyNumberFormat="1" applyFill="1"/>
    <xf numFmtId="0" fontId="0" fillId="14" borderId="0" xfId="0" applyFill="1"/>
    <xf numFmtId="44" fontId="0" fillId="14" borderId="0" xfId="0" applyNumberFormat="1" applyFill="1"/>
    <xf numFmtId="0" fontId="5" fillId="0" borderId="0" xfId="0" applyFont="1"/>
    <xf numFmtId="0" fontId="5" fillId="15" borderId="0" xfId="0" applyFont="1" applyFill="1"/>
    <xf numFmtId="44" fontId="0" fillId="15" borderId="0" xfId="2" applyFont="1" applyFill="1"/>
    <xf numFmtId="44" fontId="0" fillId="13" borderId="0" xfId="0" applyNumberFormat="1" applyFill="1"/>
    <xf numFmtId="0" fontId="2" fillId="12" borderId="0" xfId="0" applyFont="1" applyFill="1"/>
    <xf numFmtId="0" fontId="0" fillId="0" borderId="0" xfId="2" applyNumberFormat="1" applyFont="1" applyFill="1"/>
    <xf numFmtId="0" fontId="0" fillId="0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'Solution School Supplies'!$G$18:$I$18</c:f>
              <c:strCache>
                <c:ptCount val="3"/>
                <c:pt idx="0">
                  <c:v>Walt-Mart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'Solution School Supplies'!$G$19:$I$19</c:f>
              <c:numCache>
                <c:formatCode>_("$"* #,##0.00_);_("$"* \(#,##0.00\);_("$"* "-"??_);_(@_)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7-47B2-AC72-F26E5E938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653727"/>
        <c:axId val="1256305711"/>
      </c:barChart>
      <c:catAx>
        <c:axId val="11086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05711"/>
        <c:crosses val="autoZero"/>
        <c:auto val="1"/>
        <c:lblAlgn val="ctr"/>
        <c:lblOffset val="100"/>
        <c:noMultiLvlLbl val="0"/>
      </c:catAx>
      <c:valAx>
        <c:axId val="12563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5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'Solution School Supplies'!$L$18:$N$18</c:f>
              <c:strCache>
                <c:ptCount val="3"/>
                <c:pt idx="0">
                  <c:v>Walt-Mart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'Solution School Supplies'!$L$19:$N$19</c:f>
              <c:numCache>
                <c:formatCode>_("$"* #,##0.00_);_("$"* \(#,##0.00\);_("$"* "-"??_);_(@_)</c:formatCode>
                <c:ptCount val="3"/>
                <c:pt idx="0">
                  <c:v>66.989999999999995</c:v>
                </c:pt>
                <c:pt idx="1">
                  <c:v>66.19</c:v>
                </c:pt>
                <c:pt idx="2">
                  <c:v>85.139999999999986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A-44E8-9A94-51AE9BB8A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239343"/>
        <c:axId val="1394711199"/>
      </c:barChart>
      <c:catAx>
        <c:axId val="12442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11199"/>
        <c:crosses val="autoZero"/>
        <c:auto val="1"/>
        <c:lblAlgn val="ctr"/>
        <c:lblOffset val="100"/>
        <c:noMultiLvlLbl val="0"/>
      </c:catAx>
      <c:valAx>
        <c:axId val="139471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3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One</a:t>
            </a:r>
            <a:r>
              <a:rPr lang="en-GB" baseline="0"/>
              <a:t> Year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or Dog'!$B$17:$C$17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'Cat or Dog'!$B$18:$C$18</c:f>
              <c:numCache>
                <c:formatCode>_("$"* #,##0.00_);_("$"* \(#,##0.00\);_("$"* "-"??_);_(@_)</c:formatCode>
                <c:ptCount val="2"/>
                <c:pt idx="0">
                  <c:v>576</c:v>
                </c:pt>
                <c:pt idx="1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8-4829-8C26-C0DED9CE1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923631"/>
        <c:axId val="1365744704"/>
      </c:barChart>
      <c:catAx>
        <c:axId val="140792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44704"/>
        <c:crosses val="autoZero"/>
        <c:auto val="1"/>
        <c:lblAlgn val="ctr"/>
        <c:lblOffset val="100"/>
        <c:noMultiLvlLbl val="0"/>
      </c:catAx>
      <c:valAx>
        <c:axId val="13657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2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Susan</a:t>
            </a:r>
            <a:r>
              <a:rPr lang="en-GB" baseline="0"/>
              <a:t>'s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Ideas'!$B$34:$D$34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Carribean Cruise</c:v>
                </c:pt>
              </c:strCache>
            </c:strRef>
          </c:cat>
          <c:val>
            <c:numRef>
              <c:f>'Vacation Ideas'!$B$35:$D$35</c:f>
              <c:numCache>
                <c:formatCode>_("$"* #,##0.00_);_("$"* \(#,##0.00\);_("$"* "-"??_);_(@_)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4-437A-8F79-6759D0747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909231"/>
        <c:axId val="1661137151"/>
      </c:barChart>
      <c:catAx>
        <c:axId val="140790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37151"/>
        <c:crosses val="autoZero"/>
        <c:auto val="1"/>
        <c:lblAlgn val="ctr"/>
        <c:lblOffset val="100"/>
        <c:noMultiLvlLbl val="0"/>
      </c:catAx>
      <c:valAx>
        <c:axId val="166113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0923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'Vacation Ideas'!$G$35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Ideas'!$H$34:$J$34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Carribean Cruise</c:v>
                </c:pt>
              </c:strCache>
            </c:strRef>
          </c:cat>
          <c:val>
            <c:numRef>
              <c:f>'Vacation Ideas'!$H$35:$J$35</c:f>
              <c:numCache>
                <c:formatCode>_("$"* #,##0.00_);_("$"* \(#,##0.00\);_("$"* "-"??_);_(@_)</c:formatCode>
                <c:ptCount val="3"/>
                <c:pt idx="0">
                  <c:v>2948</c:v>
                </c:pt>
                <c:pt idx="1">
                  <c:v>3181</c:v>
                </c:pt>
                <c:pt idx="2">
                  <c:v>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2-46EF-85DF-F64981A9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0172783"/>
        <c:axId val="1359670320"/>
      </c:barChart>
      <c:catAx>
        <c:axId val="112017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70320"/>
        <c:crosses val="autoZero"/>
        <c:auto val="1"/>
        <c:lblAlgn val="ctr"/>
        <c:lblOffset val="100"/>
        <c:noMultiLvlLbl val="0"/>
      </c:catAx>
      <c:valAx>
        <c:axId val="135967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172783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Cost Susan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'Printer Selection'!$B$19:$D$19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'Printer Selection'!$B$20:$D$20</c:f>
              <c:numCache>
                <c:formatCode>_("$"* #,##0.00_);_("$"* \(#,##0.00\);_("$"* "-"??_);_(@_)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F93-A4A2-2E0796348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626368"/>
        <c:axId val="1651142863"/>
      </c:barChart>
      <c:catAx>
        <c:axId val="5986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42863"/>
        <c:crosses val="autoZero"/>
        <c:auto val="1"/>
        <c:lblAlgn val="ctr"/>
        <c:lblOffset val="100"/>
        <c:noMultiLvlLbl val="0"/>
      </c:catAx>
      <c:valAx>
        <c:axId val="16511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'Printer Selection'!$J$20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'Printer Selection'!$K$19:$M$19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'Printer Selection'!$K$20:$M$20</c:f>
              <c:numCache>
                <c:formatCode>_("$"* #,##0.00_);_("$"* \(#,##0.00\);_("$"* "-"??_);_(@_)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8-4CC4-8804-112109F5A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633568"/>
        <c:axId val="1654332895"/>
      </c:barChart>
      <c:catAx>
        <c:axId val="5986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32895"/>
        <c:crosses val="autoZero"/>
        <c:auto val="1"/>
        <c:lblAlgn val="ctr"/>
        <c:lblOffset val="100"/>
        <c:noMultiLvlLbl val="0"/>
      </c:catAx>
      <c:valAx>
        <c:axId val="165433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3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Susan, Total Cost for 24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'Cell Phone'!$A$23</c:f>
              <c:strCache>
                <c:ptCount val="1"/>
                <c:pt idx="0">
                  <c:v>Total Cost for 24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'Cell Phone'!$B$22:$D$22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'Cell Phone'!$B$23:$D$23</c:f>
              <c:numCache>
                <c:formatCode>_("$"* #,##0.00_);_("$"* \(#,##0.00\);_("$"* "-"??_);_(@_)</c:formatCode>
                <c:ptCount val="3"/>
                <c:pt idx="0">
                  <c:v>2364</c:v>
                </c:pt>
                <c:pt idx="1">
                  <c:v>2060</c:v>
                </c:pt>
                <c:pt idx="2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2-4420-8F93-B6DF39877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927951"/>
        <c:axId val="1654334879"/>
      </c:barChart>
      <c:catAx>
        <c:axId val="140792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34879"/>
        <c:crosses val="autoZero"/>
        <c:auto val="1"/>
        <c:lblAlgn val="ctr"/>
        <c:lblOffset val="100"/>
        <c:noMultiLvlLbl val="0"/>
      </c:catAx>
      <c:valAx>
        <c:axId val="165433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2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Tim, Total Cost for 24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'Cell Phone'!$G$23</c:f>
              <c:strCache>
                <c:ptCount val="1"/>
                <c:pt idx="0">
                  <c:v>Total Cost for 24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'Cell Phone'!$H$22:$J$22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'Cell Phone'!$H$23:$J$23</c:f>
              <c:numCache>
                <c:formatCode>_("$"* #,##0.00_);_("$"* \(#,##0.00\);_("$"* "-"??_);_(@_)</c:formatCode>
                <c:ptCount val="3"/>
                <c:pt idx="0">
                  <c:v>1404</c:v>
                </c:pt>
                <c:pt idx="1">
                  <c:v>1340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1-4A54-B9BE-B4552041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922191"/>
        <c:axId val="1645161647"/>
      </c:barChart>
      <c:catAx>
        <c:axId val="140792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61647"/>
        <c:crosses val="autoZero"/>
        <c:auto val="1"/>
        <c:lblAlgn val="ctr"/>
        <c:lblOffset val="100"/>
        <c:noMultiLvlLbl val="0"/>
      </c:catAx>
      <c:valAx>
        <c:axId val="16451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2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 Selection'!$A$26</c:f>
              <c:strCache>
                <c:ptCount val="1"/>
                <c:pt idx="0">
                  <c:v>Total, Lifetime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 Selection'!$B$25:$D$25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'Car Selection'!$B$26:$D$26</c:f>
              <c:numCache>
                <c:formatCode>_("$"* #,##0.00_);_("$"* \(#,##0.00\);_("$"* "-"??_);_(@_)</c:formatCode>
                <c:ptCount val="3"/>
                <c:pt idx="0">
                  <c:v>58628.583333333336</c:v>
                </c:pt>
                <c:pt idx="1">
                  <c:v>109801.75</c:v>
                </c:pt>
                <c:pt idx="2">
                  <c:v>167312.75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4-47E8-AF28-72F15E07F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7263791"/>
        <c:axId val="1655305807"/>
      </c:barChart>
      <c:catAx>
        <c:axId val="164726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05807"/>
        <c:crosses val="autoZero"/>
        <c:auto val="1"/>
        <c:lblAlgn val="ctr"/>
        <c:lblOffset val="100"/>
        <c:noMultiLvlLbl val="0"/>
      </c:catAx>
      <c:valAx>
        <c:axId val="165530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6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Selection'!$G$26</c:f>
              <c:strCache>
                <c:ptCount val="1"/>
                <c:pt idx="0">
                  <c:v>Total, Lifetime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 Selection'!$H$25:$J$25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'Car Selection'!$H$26:$J$26</c:f>
              <c:numCache>
                <c:formatCode>_("$"* #,##0.00_);_("$"* \(#,##0.00\);_("$"* "-"??_);_(@_)</c:formatCode>
                <c:ptCount val="3"/>
                <c:pt idx="0">
                  <c:v>64428.583333333336</c:v>
                </c:pt>
                <c:pt idx="1">
                  <c:v>122201.75</c:v>
                </c:pt>
                <c:pt idx="2">
                  <c:v>196112.75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4-4F16-8E14-9E5136A9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282031"/>
        <c:axId val="1655306799"/>
      </c:barChart>
      <c:catAx>
        <c:axId val="16472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06799"/>
        <c:crosses val="autoZero"/>
        <c:auto val="1"/>
        <c:lblAlgn val="ctr"/>
        <c:lblOffset val="100"/>
        <c:noMultiLvlLbl val="0"/>
      </c:catAx>
      <c:valAx>
        <c:axId val="16553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8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19</xdr:row>
      <xdr:rowOff>49530</xdr:rowOff>
    </xdr:from>
    <xdr:to>
      <xdr:col>9</xdr:col>
      <xdr:colOff>388620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2EBF1-14ED-30C6-2E91-6C69E7A7E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19</xdr:row>
      <xdr:rowOff>26670</xdr:rowOff>
    </xdr:from>
    <xdr:to>
      <xdr:col>15</xdr:col>
      <xdr:colOff>403860</xdr:colOff>
      <xdr:row>30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E6875D-52B5-B10B-5969-DD0A1A04B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2</xdr:row>
      <xdr:rowOff>110490</xdr:rowOff>
    </xdr:from>
    <xdr:to>
      <xdr:col>11</xdr:col>
      <xdr:colOff>60960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DBE5E-C32A-8CCF-3A72-FB2AB1DB9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36</xdr:row>
      <xdr:rowOff>26670</xdr:rowOff>
    </xdr:from>
    <xdr:to>
      <xdr:col>4</xdr:col>
      <xdr:colOff>76200</xdr:colOff>
      <xdr:row>52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0FDD5-32F1-A90D-07D7-65974B4D0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198120</xdr:colOff>
      <xdr:row>35</xdr:row>
      <xdr:rowOff>163830</xdr:rowOff>
    </xdr:from>
    <xdr:to>
      <xdr:col>9</xdr:col>
      <xdr:colOff>723900</xdr:colOff>
      <xdr:row>50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8955D8-A73E-8744-2049-0759DD811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</xdr:row>
      <xdr:rowOff>49530</xdr:rowOff>
    </xdr:from>
    <xdr:to>
      <xdr:col>8</xdr:col>
      <xdr:colOff>167640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3FBD0-CDE6-4AE3-6AA4-33FCE78F2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350520</xdr:colOff>
      <xdr:row>1</xdr:row>
      <xdr:rowOff>72390</xdr:rowOff>
    </xdr:from>
    <xdr:to>
      <xdr:col>18</xdr:col>
      <xdr:colOff>220980</xdr:colOff>
      <xdr:row>16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D22FC-6579-1CD3-CE0B-507172017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120317</xdr:colOff>
      <xdr:row>24</xdr:row>
      <xdr:rowOff>16042</xdr:rowOff>
    </xdr:from>
    <xdr:to>
      <xdr:col>4</xdr:col>
      <xdr:colOff>192505</xdr:colOff>
      <xdr:row>38</xdr:row>
      <xdr:rowOff>176463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B9612-2EFE-F362-7F18-7038183FD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40105</xdr:colOff>
      <xdr:row>23</xdr:row>
      <xdr:rowOff>112294</xdr:rowOff>
    </xdr:from>
    <xdr:to>
      <xdr:col>11</xdr:col>
      <xdr:colOff>104274</xdr:colOff>
      <xdr:row>38</xdr:row>
      <xdr:rowOff>88231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862CE4-0FA9-27EA-10D6-FC3E3AA33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1021080</xdr:colOff>
      <xdr:row>26</xdr:row>
      <xdr:rowOff>163830</xdr:rowOff>
    </xdr:from>
    <xdr:to>
      <xdr:col>3</xdr:col>
      <xdr:colOff>1043940</xdr:colOff>
      <xdr:row>41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74EF9-B78C-782B-DE92-D70D1D8CD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822960</xdr:colOff>
      <xdr:row>26</xdr:row>
      <xdr:rowOff>140970</xdr:rowOff>
    </xdr:from>
    <xdr:to>
      <xdr:col>10</xdr:col>
      <xdr:colOff>281940</xdr:colOff>
      <xdr:row>41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47495-2793-FEC9-89BF-8B47ADF97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defaultRowHeight="14.4" x14ac:dyDescent="0.3"/>
  <sheetData>
    <row r="1" spans="1:1" s="18" customFormat="1" x14ac:dyDescent="0.3">
      <c r="A1" s="18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="93" workbookViewId="0">
      <selection activeCell="L17" sqref="L17"/>
    </sheetView>
  </sheetViews>
  <sheetFormatPr defaultRowHeight="14.4" x14ac:dyDescent="0.3"/>
  <cols>
    <col min="1" max="1" width="16.77734375" bestFit="1" customWidth="1"/>
    <col min="2" max="2" width="9.5546875" bestFit="1" customWidth="1"/>
    <col min="3" max="3" width="10" bestFit="1" customWidth="1"/>
    <col min="4" max="4" width="10.6640625" bestFit="1" customWidth="1"/>
    <col min="7" max="7" width="9.44140625" bestFit="1" customWidth="1"/>
    <col min="8" max="8" width="10" bestFit="1" customWidth="1"/>
    <col min="9" max="9" width="10.6640625" bestFit="1" customWidth="1"/>
    <col min="12" max="12" width="9.5546875" bestFit="1" customWidth="1"/>
    <col min="13" max="13" width="10" bestFit="1" customWidth="1"/>
    <col min="14" max="14" width="10.6640625" bestFit="1" customWidth="1"/>
  </cols>
  <sheetData>
    <row r="1" spans="1:14" x14ac:dyDescent="0.3">
      <c r="A1" s="4" t="s">
        <v>38</v>
      </c>
    </row>
    <row r="2" spans="1:14" s="4" customFormat="1" x14ac:dyDescent="0.3">
      <c r="A2" s="4" t="s">
        <v>39</v>
      </c>
      <c r="B2" s="4" t="s">
        <v>16</v>
      </c>
      <c r="C2" s="4" t="s">
        <v>14</v>
      </c>
      <c r="D2" s="4" t="s">
        <v>15</v>
      </c>
      <c r="F2" s="4" t="s">
        <v>17</v>
      </c>
      <c r="G2" s="4" t="s">
        <v>18</v>
      </c>
      <c r="H2" s="4" t="s">
        <v>14</v>
      </c>
      <c r="I2" s="4" t="s">
        <v>15</v>
      </c>
      <c r="K2" s="4" t="s">
        <v>20</v>
      </c>
      <c r="L2" s="4" t="s">
        <v>16</v>
      </c>
      <c r="M2" s="4" t="s">
        <v>14</v>
      </c>
      <c r="N2" s="4" t="s">
        <v>15</v>
      </c>
    </row>
    <row r="3" spans="1:14" x14ac:dyDescent="0.3">
      <c r="A3" t="s">
        <v>0</v>
      </c>
      <c r="B3" s="1">
        <v>0.5</v>
      </c>
      <c r="C3" s="1">
        <v>0.4</v>
      </c>
      <c r="D3" s="1">
        <v>1.4</v>
      </c>
      <c r="F3" s="2">
        <v>3</v>
      </c>
      <c r="G3" s="3">
        <f>F3*B3</f>
        <v>1.5</v>
      </c>
      <c r="H3" s="3">
        <f>F3*C3</f>
        <v>1.2000000000000002</v>
      </c>
      <c r="I3" s="3">
        <f>F3*D3</f>
        <v>4.1999999999999993</v>
      </c>
      <c r="K3" s="2">
        <v>5</v>
      </c>
      <c r="L3" s="3">
        <f>K3*B3</f>
        <v>2.5</v>
      </c>
      <c r="M3" s="3">
        <f>K3*C3</f>
        <v>2</v>
      </c>
      <c r="N3" s="3">
        <f>K3*D3</f>
        <v>7</v>
      </c>
    </row>
    <row r="4" spans="1:14" x14ac:dyDescent="0.3">
      <c r="A4" t="s">
        <v>1</v>
      </c>
      <c r="B4" s="1">
        <v>28</v>
      </c>
      <c r="C4" s="1">
        <v>33</v>
      </c>
      <c r="D4" s="1">
        <v>31</v>
      </c>
      <c r="F4" s="2">
        <v>1</v>
      </c>
      <c r="G4" s="3">
        <f t="shared" ref="G4:G17" si="0">F4*B4</f>
        <v>28</v>
      </c>
      <c r="H4" s="3">
        <f t="shared" ref="H4:H17" si="1">F4*C4</f>
        <v>33</v>
      </c>
      <c r="I4" s="3">
        <f t="shared" ref="I4:I17" si="2">F4*D4</f>
        <v>31</v>
      </c>
      <c r="K4" s="2">
        <v>1</v>
      </c>
      <c r="L4" s="3">
        <f t="shared" ref="L4:L17" si="3">K4*B4</f>
        <v>28</v>
      </c>
      <c r="M4" s="3">
        <f t="shared" ref="M4:M17" si="4">K4*C4</f>
        <v>33</v>
      </c>
      <c r="N4" s="3">
        <f t="shared" ref="N4:N17" si="5">K4*D4</f>
        <v>31</v>
      </c>
    </row>
    <row r="5" spans="1:14" x14ac:dyDescent="0.3">
      <c r="A5" t="s">
        <v>2</v>
      </c>
      <c r="B5" s="1">
        <v>1.8</v>
      </c>
      <c r="C5" s="1">
        <v>1</v>
      </c>
      <c r="D5" s="1">
        <v>2</v>
      </c>
      <c r="F5" s="2">
        <v>7</v>
      </c>
      <c r="G5" s="3">
        <f t="shared" si="0"/>
        <v>12.6</v>
      </c>
      <c r="H5" s="3">
        <f t="shared" si="1"/>
        <v>7</v>
      </c>
      <c r="I5" s="3">
        <f t="shared" si="2"/>
        <v>14</v>
      </c>
      <c r="K5" s="2">
        <v>4</v>
      </c>
      <c r="L5" s="3">
        <f>K5*B5</f>
        <v>7.2</v>
      </c>
      <c r="M5" s="3">
        <f t="shared" si="4"/>
        <v>4</v>
      </c>
      <c r="N5" s="3">
        <f t="shared" si="5"/>
        <v>8</v>
      </c>
    </row>
    <row r="6" spans="1:14" x14ac:dyDescent="0.3">
      <c r="A6" t="s">
        <v>3</v>
      </c>
      <c r="B6" s="1">
        <v>1.2</v>
      </c>
      <c r="C6" s="1">
        <v>0.8</v>
      </c>
      <c r="D6" s="1">
        <v>1.5</v>
      </c>
      <c r="F6" s="2">
        <v>1</v>
      </c>
      <c r="G6" s="3">
        <f t="shared" si="0"/>
        <v>1.2</v>
      </c>
      <c r="H6" s="3">
        <f t="shared" si="1"/>
        <v>0.8</v>
      </c>
      <c r="I6" s="3">
        <f t="shared" si="2"/>
        <v>1.5</v>
      </c>
      <c r="K6" s="2">
        <v>2</v>
      </c>
      <c r="L6" s="3">
        <f>K6*B6</f>
        <v>2.4</v>
      </c>
      <c r="M6" s="3">
        <f t="shared" si="4"/>
        <v>1.6</v>
      </c>
      <c r="N6" s="3">
        <f t="shared" si="5"/>
        <v>3</v>
      </c>
    </row>
    <row r="7" spans="1:14" x14ac:dyDescent="0.3">
      <c r="A7" t="s">
        <v>4</v>
      </c>
      <c r="B7" s="1">
        <v>2.4</v>
      </c>
      <c r="C7" s="1">
        <v>1.4</v>
      </c>
      <c r="D7" s="1">
        <v>2.4</v>
      </c>
      <c r="F7" s="2">
        <v>2</v>
      </c>
      <c r="G7" s="3">
        <f t="shared" si="0"/>
        <v>4.8</v>
      </c>
      <c r="H7" s="3">
        <f t="shared" si="1"/>
        <v>2.8</v>
      </c>
      <c r="I7" s="3">
        <f t="shared" si="2"/>
        <v>4.8</v>
      </c>
      <c r="K7" s="2">
        <v>2</v>
      </c>
      <c r="L7" s="3">
        <f t="shared" si="3"/>
        <v>4.8</v>
      </c>
      <c r="M7" s="3">
        <f t="shared" si="4"/>
        <v>2.8</v>
      </c>
      <c r="N7" s="3">
        <f t="shared" si="5"/>
        <v>4.8</v>
      </c>
    </row>
    <row r="8" spans="1:14" x14ac:dyDescent="0.3">
      <c r="A8" t="s">
        <v>5</v>
      </c>
      <c r="B8" s="1">
        <v>0.9</v>
      </c>
      <c r="C8" s="1">
        <v>0.2</v>
      </c>
      <c r="D8" s="1">
        <v>0.8</v>
      </c>
      <c r="F8" s="2">
        <v>2</v>
      </c>
      <c r="G8" s="3">
        <f t="shared" si="0"/>
        <v>1.8</v>
      </c>
      <c r="H8" s="3">
        <f t="shared" si="1"/>
        <v>0.4</v>
      </c>
      <c r="I8" s="3">
        <f t="shared" si="2"/>
        <v>1.6</v>
      </c>
      <c r="K8" s="2">
        <v>2</v>
      </c>
      <c r="L8" s="3">
        <f t="shared" si="3"/>
        <v>1.8</v>
      </c>
      <c r="M8" s="3">
        <f t="shared" si="4"/>
        <v>0.4</v>
      </c>
      <c r="N8" s="3">
        <f t="shared" si="5"/>
        <v>1.6</v>
      </c>
    </row>
    <row r="9" spans="1:14" x14ac:dyDescent="0.3">
      <c r="A9" t="s">
        <v>127</v>
      </c>
      <c r="B9" s="1">
        <v>0.99</v>
      </c>
      <c r="C9" s="1">
        <v>0.59</v>
      </c>
      <c r="D9" s="1">
        <v>2.59</v>
      </c>
      <c r="F9" s="2">
        <v>1</v>
      </c>
      <c r="G9" s="3">
        <f t="shared" si="0"/>
        <v>0.99</v>
      </c>
      <c r="H9" s="3">
        <f t="shared" si="1"/>
        <v>0.59</v>
      </c>
      <c r="I9" s="3">
        <f t="shared" si="2"/>
        <v>2.59</v>
      </c>
      <c r="K9" s="2">
        <v>1</v>
      </c>
      <c r="L9" s="3">
        <f t="shared" si="3"/>
        <v>0.99</v>
      </c>
      <c r="M9" s="3">
        <f t="shared" si="4"/>
        <v>0.59</v>
      </c>
      <c r="N9" s="3">
        <f t="shared" si="5"/>
        <v>2.59</v>
      </c>
    </row>
    <row r="10" spans="1:14" x14ac:dyDescent="0.3">
      <c r="A10" t="s">
        <v>6</v>
      </c>
      <c r="B10" s="1">
        <v>1.25</v>
      </c>
      <c r="C10" s="1">
        <v>3.25</v>
      </c>
      <c r="D10" s="1">
        <v>2.15</v>
      </c>
      <c r="F10" s="2">
        <v>4</v>
      </c>
      <c r="G10" s="3">
        <f t="shared" si="0"/>
        <v>5</v>
      </c>
      <c r="H10" s="3">
        <f t="shared" si="1"/>
        <v>13</v>
      </c>
      <c r="I10" s="3">
        <f t="shared" si="2"/>
        <v>8.6</v>
      </c>
      <c r="K10" s="2">
        <v>1</v>
      </c>
      <c r="L10" s="3">
        <f t="shared" si="3"/>
        <v>1.25</v>
      </c>
      <c r="M10" s="3">
        <f t="shared" si="4"/>
        <v>3.25</v>
      </c>
      <c r="N10" s="3">
        <f t="shared" si="5"/>
        <v>2.15</v>
      </c>
    </row>
    <row r="11" spans="1:14" x14ac:dyDescent="0.3">
      <c r="A11" t="s">
        <v>7</v>
      </c>
      <c r="B11" s="1">
        <v>9.5</v>
      </c>
      <c r="C11" s="1">
        <v>14</v>
      </c>
      <c r="D11" s="1">
        <v>13</v>
      </c>
      <c r="F11" s="2">
        <v>1</v>
      </c>
      <c r="G11" s="3">
        <f t="shared" si="0"/>
        <v>9.5</v>
      </c>
      <c r="H11" s="3">
        <f t="shared" si="1"/>
        <v>14</v>
      </c>
      <c r="I11" s="3">
        <f t="shared" si="2"/>
        <v>13</v>
      </c>
      <c r="K11" s="2">
        <v>1</v>
      </c>
      <c r="L11" s="3">
        <f t="shared" si="3"/>
        <v>9.5</v>
      </c>
      <c r="M11" s="3">
        <f t="shared" si="4"/>
        <v>14</v>
      </c>
      <c r="N11" s="3">
        <f t="shared" si="5"/>
        <v>13</v>
      </c>
    </row>
    <row r="12" spans="1:14" x14ac:dyDescent="0.3">
      <c r="A12" t="s">
        <v>8</v>
      </c>
      <c r="B12" s="1">
        <v>4.55</v>
      </c>
      <c r="C12" s="1">
        <v>2.5499999999999998</v>
      </c>
      <c r="D12" s="1">
        <v>6</v>
      </c>
      <c r="F12" s="2">
        <v>1</v>
      </c>
      <c r="G12" s="3">
        <f t="shared" si="0"/>
        <v>4.55</v>
      </c>
      <c r="H12" s="3">
        <f t="shared" si="1"/>
        <v>2.5499999999999998</v>
      </c>
      <c r="I12" s="3">
        <f t="shared" si="2"/>
        <v>6</v>
      </c>
      <c r="K12" s="2">
        <v>1</v>
      </c>
      <c r="L12" s="3">
        <f t="shared" si="3"/>
        <v>4.55</v>
      </c>
      <c r="M12" s="3">
        <f t="shared" si="4"/>
        <v>2.5499999999999998</v>
      </c>
      <c r="N12" s="3">
        <f t="shared" si="5"/>
        <v>6</v>
      </c>
    </row>
    <row r="13" spans="1:14" x14ac:dyDescent="0.3">
      <c r="A13" t="s">
        <v>9</v>
      </c>
      <c r="B13" s="1">
        <v>4.2</v>
      </c>
      <c r="C13" s="1">
        <v>2.2000000000000002</v>
      </c>
      <c r="D13" s="1">
        <v>3</v>
      </c>
      <c r="F13" s="2">
        <v>1</v>
      </c>
      <c r="G13" s="3">
        <f t="shared" si="0"/>
        <v>4.2</v>
      </c>
      <c r="H13" s="3">
        <f t="shared" si="1"/>
        <v>2.2000000000000002</v>
      </c>
      <c r="I13" s="3">
        <f t="shared" si="2"/>
        <v>3</v>
      </c>
      <c r="K13" s="60">
        <v>0</v>
      </c>
      <c r="L13" s="46">
        <f t="shared" si="3"/>
        <v>0</v>
      </c>
      <c r="M13" s="46">
        <f t="shared" si="4"/>
        <v>0</v>
      </c>
      <c r="N13" s="46">
        <f t="shared" si="5"/>
        <v>0</v>
      </c>
    </row>
    <row r="14" spans="1:14" x14ac:dyDescent="0.3">
      <c r="A14" t="s">
        <v>10</v>
      </c>
      <c r="B14" s="1">
        <v>3.9</v>
      </c>
      <c r="C14" s="1">
        <v>5</v>
      </c>
      <c r="D14" s="1">
        <v>8</v>
      </c>
      <c r="F14" s="2">
        <v>1</v>
      </c>
      <c r="G14" s="3">
        <f t="shared" si="0"/>
        <v>3.9</v>
      </c>
      <c r="H14" s="3">
        <f t="shared" si="1"/>
        <v>5</v>
      </c>
      <c r="I14" s="3">
        <f t="shared" si="2"/>
        <v>8</v>
      </c>
      <c r="K14" s="60">
        <v>0</v>
      </c>
      <c r="L14" s="46">
        <f t="shared" si="3"/>
        <v>0</v>
      </c>
      <c r="M14" s="46">
        <f t="shared" si="4"/>
        <v>0</v>
      </c>
      <c r="N14" s="46">
        <f t="shared" si="5"/>
        <v>0</v>
      </c>
    </row>
    <row r="15" spans="1:14" x14ac:dyDescent="0.3">
      <c r="A15" t="s">
        <v>11</v>
      </c>
      <c r="B15" s="1">
        <v>1</v>
      </c>
      <c r="C15" s="1">
        <v>2</v>
      </c>
      <c r="D15" s="1">
        <v>1</v>
      </c>
      <c r="F15" s="2">
        <v>1</v>
      </c>
      <c r="G15" s="3">
        <f t="shared" si="0"/>
        <v>1</v>
      </c>
      <c r="H15" s="3">
        <f t="shared" si="1"/>
        <v>2</v>
      </c>
      <c r="I15" s="3">
        <f t="shared" si="2"/>
        <v>1</v>
      </c>
      <c r="K15" s="60">
        <v>0</v>
      </c>
      <c r="L15" s="46">
        <f t="shared" si="3"/>
        <v>0</v>
      </c>
      <c r="M15" s="46">
        <f t="shared" si="4"/>
        <v>0</v>
      </c>
      <c r="N15" s="46">
        <f t="shared" si="5"/>
        <v>0</v>
      </c>
    </row>
    <row r="16" spans="1:14" x14ac:dyDescent="0.3">
      <c r="A16" t="s">
        <v>12</v>
      </c>
      <c r="B16" s="1">
        <v>1.75</v>
      </c>
      <c r="C16" s="1">
        <v>2</v>
      </c>
      <c r="D16" s="1">
        <v>1</v>
      </c>
      <c r="F16" s="2">
        <v>1</v>
      </c>
      <c r="G16" s="3">
        <f t="shared" si="0"/>
        <v>1.75</v>
      </c>
      <c r="H16" s="3">
        <f t="shared" si="1"/>
        <v>2</v>
      </c>
      <c r="I16" s="3">
        <f t="shared" si="2"/>
        <v>1</v>
      </c>
      <c r="K16" s="61">
        <v>0</v>
      </c>
      <c r="L16" s="46">
        <f t="shared" si="3"/>
        <v>0</v>
      </c>
      <c r="M16" s="46">
        <f t="shared" si="4"/>
        <v>0</v>
      </c>
      <c r="N16" s="46">
        <f t="shared" si="5"/>
        <v>0</v>
      </c>
    </row>
    <row r="17" spans="1:14" x14ac:dyDescent="0.3">
      <c r="A17" t="s">
        <v>13</v>
      </c>
      <c r="B17" s="1">
        <v>2</v>
      </c>
      <c r="C17" s="1">
        <v>1</v>
      </c>
      <c r="D17" s="1">
        <v>3</v>
      </c>
      <c r="F17" s="2">
        <v>1</v>
      </c>
      <c r="G17" s="3">
        <f t="shared" si="0"/>
        <v>2</v>
      </c>
      <c r="H17" s="3">
        <f t="shared" si="1"/>
        <v>1</v>
      </c>
      <c r="I17" s="3">
        <f t="shared" si="2"/>
        <v>3</v>
      </c>
      <c r="K17" s="2">
        <v>2</v>
      </c>
      <c r="L17" s="3">
        <f t="shared" si="3"/>
        <v>4</v>
      </c>
      <c r="M17" s="3">
        <f t="shared" si="4"/>
        <v>2</v>
      </c>
      <c r="N17" s="3">
        <f t="shared" si="5"/>
        <v>6</v>
      </c>
    </row>
    <row r="18" spans="1:14" s="4" customFormat="1" x14ac:dyDescent="0.3">
      <c r="G18" s="4" t="s">
        <v>16</v>
      </c>
      <c r="H18" s="4" t="s">
        <v>14</v>
      </c>
      <c r="I18" s="4" t="s">
        <v>15</v>
      </c>
      <c r="L18" s="4" t="s">
        <v>16</v>
      </c>
      <c r="M18" s="4" t="s">
        <v>14</v>
      </c>
      <c r="N18" s="4" t="s">
        <v>15</v>
      </c>
    </row>
    <row r="19" spans="1:14" x14ac:dyDescent="0.3">
      <c r="F19" t="s">
        <v>19</v>
      </c>
      <c r="G19" s="3">
        <f>SUM(G3:G17)</f>
        <v>82.79</v>
      </c>
      <c r="H19" s="3">
        <f t="shared" ref="H19:I19" si="6">SUM(H3:H17)</f>
        <v>87.539999999999992</v>
      </c>
      <c r="I19" s="3">
        <f t="shared" si="6"/>
        <v>103.28999999999999</v>
      </c>
      <c r="K19" t="s">
        <v>19</v>
      </c>
      <c r="L19" s="3">
        <f>SUM(L3:L17)</f>
        <v>66.989999999999995</v>
      </c>
      <c r="M19" s="3">
        <f t="shared" ref="M19:N19" si="7">SUM(M3:M17)</f>
        <v>66.19</v>
      </c>
      <c r="N19" s="3">
        <f t="shared" si="7"/>
        <v>85.139999999999986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B20" sqref="B20"/>
    </sheetView>
  </sheetViews>
  <sheetFormatPr defaultRowHeight="14.4" x14ac:dyDescent="0.3"/>
  <cols>
    <col min="1" max="1" width="15.5546875" customWidth="1"/>
    <col min="2" max="2" width="16.109375" customWidth="1"/>
    <col min="3" max="3" width="17.6640625" customWidth="1"/>
  </cols>
  <sheetData>
    <row r="2" spans="1:3" s="4" customFormat="1" x14ac:dyDescent="0.3">
      <c r="B2" s="4" t="s">
        <v>28</v>
      </c>
      <c r="C2" s="4" t="s">
        <v>29</v>
      </c>
    </row>
    <row r="3" spans="1:3" s="4" customFormat="1" x14ac:dyDescent="0.3">
      <c r="A3" s="12" t="s">
        <v>21</v>
      </c>
      <c r="B3" s="13"/>
      <c r="C3" s="13"/>
    </row>
    <row r="4" spans="1:3" x14ac:dyDescent="0.3">
      <c r="A4" s="24" t="s">
        <v>22</v>
      </c>
      <c r="B4" s="9">
        <v>50</v>
      </c>
      <c r="C4" s="9">
        <v>90</v>
      </c>
    </row>
    <row r="5" spans="1:3" x14ac:dyDescent="0.3">
      <c r="A5" s="24" t="s">
        <v>23</v>
      </c>
      <c r="B5" s="9">
        <v>2.5</v>
      </c>
      <c r="C5" s="9">
        <v>2</v>
      </c>
    </row>
    <row r="6" spans="1:3" x14ac:dyDescent="0.3">
      <c r="A6" s="24" t="s">
        <v>24</v>
      </c>
      <c r="B6" s="9">
        <v>5.5</v>
      </c>
      <c r="C6" s="9">
        <v>4.5</v>
      </c>
    </row>
    <row r="7" spans="1:3" x14ac:dyDescent="0.3">
      <c r="A7" s="24" t="s">
        <v>25</v>
      </c>
      <c r="B7" s="9">
        <v>7</v>
      </c>
      <c r="C7" s="9">
        <v>7</v>
      </c>
    </row>
    <row r="8" spans="1:3" x14ac:dyDescent="0.3">
      <c r="A8" s="24" t="s">
        <v>26</v>
      </c>
      <c r="B8" s="9">
        <v>3</v>
      </c>
      <c r="C8" s="9"/>
    </row>
    <row r="9" spans="1:3" x14ac:dyDescent="0.3">
      <c r="A9" s="24" t="s">
        <v>27</v>
      </c>
      <c r="B9" s="9">
        <f>SUM(B4:B8)</f>
        <v>68</v>
      </c>
      <c r="C9" s="9">
        <f>SUM(C4:C8)</f>
        <v>103.5</v>
      </c>
    </row>
    <row r="11" spans="1:3" s="4" customFormat="1" x14ac:dyDescent="0.3">
      <c r="A11" s="14" t="s">
        <v>30</v>
      </c>
      <c r="B11" s="15"/>
      <c r="C11" s="16"/>
    </row>
    <row r="12" spans="1:3" x14ac:dyDescent="0.3">
      <c r="A12" s="23" t="s">
        <v>31</v>
      </c>
      <c r="B12" s="10">
        <v>21</v>
      </c>
      <c r="C12" s="10">
        <v>11</v>
      </c>
    </row>
    <row r="13" spans="1:3" x14ac:dyDescent="0.3">
      <c r="A13" s="23" t="s">
        <v>32</v>
      </c>
      <c r="B13" s="10"/>
      <c r="C13" s="10">
        <v>8</v>
      </c>
    </row>
    <row r="14" spans="1:3" x14ac:dyDescent="0.3">
      <c r="A14" s="23" t="s">
        <v>33</v>
      </c>
      <c r="B14" s="10">
        <v>3</v>
      </c>
      <c r="C14" s="10"/>
    </row>
    <row r="15" spans="1:3" x14ac:dyDescent="0.3">
      <c r="A15" s="23" t="s">
        <v>34</v>
      </c>
      <c r="B15" s="10">
        <f>SUM(B12:B14)</f>
        <v>24</v>
      </c>
      <c r="C15" s="10">
        <f>SUM(C12:C13)</f>
        <v>19</v>
      </c>
    </row>
    <row r="16" spans="1:3" x14ac:dyDescent="0.3">
      <c r="A16" s="23" t="s">
        <v>35</v>
      </c>
      <c r="B16" s="10">
        <f>B15*2</f>
        <v>48</v>
      </c>
      <c r="C16" s="10">
        <f>C15*2</f>
        <v>38</v>
      </c>
    </row>
    <row r="17" spans="1:3" s="4" customFormat="1" x14ac:dyDescent="0.3">
      <c r="B17" s="4" t="s">
        <v>37</v>
      </c>
      <c r="C17" s="4" t="s">
        <v>29</v>
      </c>
    </row>
    <row r="18" spans="1:3" x14ac:dyDescent="0.3">
      <c r="A18" s="17" t="s">
        <v>36</v>
      </c>
      <c r="B18" s="11">
        <f>B16*12</f>
        <v>576</v>
      </c>
      <c r="C18" s="11">
        <f>C16*12</f>
        <v>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opLeftCell="A21" workbookViewId="0">
      <selection activeCell="G54" sqref="G54"/>
    </sheetView>
  </sheetViews>
  <sheetFormatPr defaultRowHeight="14.4" x14ac:dyDescent="0.3"/>
  <cols>
    <col min="1" max="1" width="26.33203125" customWidth="1"/>
    <col min="2" max="2" width="15.6640625" bestFit="1" customWidth="1"/>
    <col min="3" max="3" width="18.44140625" bestFit="1" customWidth="1"/>
    <col min="4" max="4" width="15.21875" bestFit="1" customWidth="1"/>
    <col min="7" max="7" width="26.77734375" bestFit="1" customWidth="1"/>
    <col min="8" max="8" width="15.6640625" bestFit="1" customWidth="1"/>
    <col min="9" max="9" width="18.44140625" bestFit="1" customWidth="1"/>
    <col min="10" max="10" width="15.21875" bestFit="1" customWidth="1"/>
  </cols>
  <sheetData>
    <row r="1" spans="1:10" s="4" customFormat="1" x14ac:dyDescent="0.3">
      <c r="A1" s="4" t="s">
        <v>17</v>
      </c>
      <c r="B1" s="4" t="s">
        <v>41</v>
      </c>
      <c r="C1" s="4" t="s">
        <v>42</v>
      </c>
      <c r="D1" s="4" t="s">
        <v>43</v>
      </c>
      <c r="G1" s="4" t="s">
        <v>20</v>
      </c>
      <c r="H1" s="4" t="s">
        <v>41</v>
      </c>
      <c r="I1" s="4" t="s">
        <v>42</v>
      </c>
      <c r="J1" s="4" t="s">
        <v>43</v>
      </c>
    </row>
    <row r="3" spans="1:10" x14ac:dyDescent="0.3">
      <c r="A3" s="20" t="s">
        <v>40</v>
      </c>
      <c r="B3" s="29"/>
      <c r="C3" s="29"/>
      <c r="D3" s="29">
        <v>555</v>
      </c>
      <c r="G3" s="20" t="s">
        <v>40</v>
      </c>
      <c r="H3" s="29"/>
      <c r="I3" s="29"/>
      <c r="J3" s="29">
        <v>555</v>
      </c>
    </row>
    <row r="4" spans="1:10" x14ac:dyDescent="0.3">
      <c r="A4" s="21" t="s">
        <v>44</v>
      </c>
      <c r="B4" s="29">
        <v>280</v>
      </c>
      <c r="C4" s="29">
        <v>100</v>
      </c>
      <c r="D4" s="29">
        <v>350</v>
      </c>
      <c r="G4" s="21" t="s">
        <v>44</v>
      </c>
      <c r="H4" s="29">
        <v>280</v>
      </c>
      <c r="I4" s="29">
        <v>100</v>
      </c>
      <c r="J4" s="29">
        <v>350</v>
      </c>
    </row>
    <row r="5" spans="1:10" x14ac:dyDescent="0.3">
      <c r="A5" s="21" t="s">
        <v>45</v>
      </c>
      <c r="B5" s="29">
        <v>18</v>
      </c>
      <c r="C5" s="29"/>
      <c r="D5" s="29"/>
      <c r="G5" s="21" t="s">
        <v>45</v>
      </c>
      <c r="H5" s="29">
        <v>18</v>
      </c>
      <c r="I5" s="29"/>
      <c r="J5" s="29"/>
    </row>
    <row r="6" spans="1:10" x14ac:dyDescent="0.3">
      <c r="A6" s="21" t="s">
        <v>46</v>
      </c>
      <c r="B6" s="29">
        <v>25</v>
      </c>
      <c r="C6" s="29"/>
      <c r="D6" s="29"/>
      <c r="G6" s="21" t="s">
        <v>46</v>
      </c>
      <c r="H6" s="29">
        <v>25</v>
      </c>
      <c r="I6" s="29"/>
      <c r="J6" s="29"/>
    </row>
    <row r="7" spans="1:10" x14ac:dyDescent="0.3">
      <c r="A7" s="21" t="s">
        <v>47</v>
      </c>
      <c r="B7" s="29">
        <v>15</v>
      </c>
      <c r="C7" s="29"/>
      <c r="D7" s="29"/>
      <c r="G7" s="21" t="s">
        <v>47</v>
      </c>
      <c r="H7" s="29">
        <v>15</v>
      </c>
      <c r="I7" s="29"/>
      <c r="J7" s="29"/>
    </row>
    <row r="8" spans="1:10" x14ac:dyDescent="0.3">
      <c r="A8" s="21" t="s">
        <v>48</v>
      </c>
      <c r="B8" s="29">
        <v>9</v>
      </c>
      <c r="C8" s="29"/>
      <c r="D8" s="29"/>
      <c r="G8" s="21" t="s">
        <v>48</v>
      </c>
      <c r="H8" s="29">
        <v>9</v>
      </c>
      <c r="I8" s="29"/>
      <c r="J8" s="29"/>
    </row>
    <row r="9" spans="1:10" x14ac:dyDescent="0.3">
      <c r="A9" s="21" t="s">
        <v>49</v>
      </c>
      <c r="B9" s="29"/>
      <c r="C9" s="29">
        <v>99</v>
      </c>
      <c r="D9" s="29"/>
      <c r="G9" s="21" t="s">
        <v>49</v>
      </c>
      <c r="H9" s="29"/>
      <c r="I9" s="29">
        <v>99</v>
      </c>
      <c r="J9" s="29"/>
    </row>
    <row r="10" spans="1:10" x14ac:dyDescent="0.3">
      <c r="A10" s="21" t="s">
        <v>50</v>
      </c>
      <c r="B10" s="29"/>
      <c r="C10" s="29">
        <v>95</v>
      </c>
      <c r="D10" s="29"/>
      <c r="G10" s="21" t="s">
        <v>50</v>
      </c>
      <c r="H10" s="29"/>
      <c r="I10" s="29">
        <v>95</v>
      </c>
      <c r="J10" s="29"/>
    </row>
    <row r="11" spans="1:10" x14ac:dyDescent="0.3">
      <c r="A11" s="21" t="s">
        <v>51</v>
      </c>
      <c r="B11" s="29"/>
      <c r="C11" s="29">
        <v>85</v>
      </c>
      <c r="D11" s="29"/>
      <c r="G11" s="21" t="s">
        <v>51</v>
      </c>
      <c r="H11" s="29"/>
      <c r="I11" s="29">
        <v>85</v>
      </c>
      <c r="J11" s="29"/>
    </row>
    <row r="12" spans="1:10" x14ac:dyDescent="0.3">
      <c r="A12" s="21" t="s">
        <v>52</v>
      </c>
      <c r="B12" s="29"/>
      <c r="C12" s="29">
        <v>85</v>
      </c>
      <c r="D12" s="29"/>
      <c r="G12" s="21" t="s">
        <v>52</v>
      </c>
      <c r="H12" s="29"/>
      <c r="I12" s="29">
        <v>85</v>
      </c>
      <c r="J12" s="29"/>
    </row>
    <row r="13" spans="1:10" x14ac:dyDescent="0.3">
      <c r="A13" s="21" t="s">
        <v>53</v>
      </c>
      <c r="B13" s="29"/>
      <c r="C13" s="29"/>
      <c r="D13" s="29"/>
      <c r="G13" s="21" t="s">
        <v>53</v>
      </c>
      <c r="H13" s="29"/>
      <c r="I13" s="29"/>
      <c r="J13" s="29"/>
    </row>
    <row r="14" spans="1:10" x14ac:dyDescent="0.3">
      <c r="B14" s="1"/>
      <c r="C14" s="1"/>
      <c r="D14" s="1"/>
      <c r="H14" s="1"/>
      <c r="I14" s="1"/>
      <c r="J14" s="1"/>
    </row>
    <row r="15" spans="1:10" x14ac:dyDescent="0.3">
      <c r="A15" s="5" t="s">
        <v>54</v>
      </c>
      <c r="B15" s="30">
        <f>SUM(B4:B8)</f>
        <v>347</v>
      </c>
      <c r="C15" s="30">
        <f>SUM(C4:C12)</f>
        <v>464</v>
      </c>
      <c r="D15" s="30">
        <f>SUM(D3:D4)</f>
        <v>905</v>
      </c>
      <c r="G15" s="5" t="s">
        <v>54</v>
      </c>
      <c r="H15" s="30">
        <f>SUM(H4:H8)</f>
        <v>347</v>
      </c>
      <c r="I15" s="30">
        <f>SUM(I4:I12)</f>
        <v>464</v>
      </c>
      <c r="J15" s="30">
        <f>SUM(J3:J4)</f>
        <v>905</v>
      </c>
    </row>
    <row r="16" spans="1:10" s="36" customFormat="1" x14ac:dyDescent="0.3">
      <c r="A16" s="34" t="s">
        <v>55</v>
      </c>
      <c r="B16" s="35">
        <v>2</v>
      </c>
      <c r="C16" s="35">
        <v>2</v>
      </c>
      <c r="D16" s="35">
        <v>2</v>
      </c>
      <c r="G16" s="34" t="s">
        <v>55</v>
      </c>
      <c r="H16" s="35">
        <v>4</v>
      </c>
      <c r="I16" s="35">
        <v>4</v>
      </c>
      <c r="J16" s="35">
        <v>4</v>
      </c>
    </row>
    <row r="17" spans="1:10" x14ac:dyDescent="0.3">
      <c r="A17" s="5" t="s">
        <v>56</v>
      </c>
      <c r="B17" s="30">
        <f>B15*B16</f>
        <v>694</v>
      </c>
      <c r="C17" s="30">
        <f>C15*C16</f>
        <v>928</v>
      </c>
      <c r="D17" s="30">
        <f>D15*D16</f>
        <v>1810</v>
      </c>
      <c r="G17" s="5" t="s">
        <v>56</v>
      </c>
      <c r="H17" s="30">
        <f>H15*H16</f>
        <v>1388</v>
      </c>
      <c r="I17" s="30">
        <f>I15*I16</f>
        <v>1856</v>
      </c>
      <c r="J17" s="30">
        <f>J15*J16</f>
        <v>3620</v>
      </c>
    </row>
    <row r="19" spans="1:10" x14ac:dyDescent="0.3">
      <c r="A19" s="22" t="s">
        <v>57</v>
      </c>
      <c r="B19" s="19"/>
      <c r="C19" s="19"/>
      <c r="D19" s="19"/>
      <c r="G19" s="22" t="s">
        <v>57</v>
      </c>
      <c r="H19" s="19"/>
      <c r="I19" s="19"/>
      <c r="J19" s="19"/>
    </row>
    <row r="20" spans="1:10" s="1" customFormat="1" x14ac:dyDescent="0.3">
      <c r="A20" s="37" t="s">
        <v>58</v>
      </c>
      <c r="B20" s="37">
        <v>120</v>
      </c>
      <c r="C20" s="37">
        <v>105</v>
      </c>
      <c r="D20" s="37"/>
      <c r="G20" s="37" t="s">
        <v>58</v>
      </c>
      <c r="H20" s="37">
        <v>120</v>
      </c>
      <c r="I20" s="37">
        <v>105</v>
      </c>
      <c r="J20" s="37"/>
    </row>
    <row r="21" spans="1:10" x14ac:dyDescent="0.3">
      <c r="A21" s="19" t="s">
        <v>59</v>
      </c>
      <c r="B21" s="19">
        <v>5</v>
      </c>
      <c r="C21" s="19">
        <v>5</v>
      </c>
      <c r="D21" s="19"/>
      <c r="G21" s="19" t="s">
        <v>59</v>
      </c>
      <c r="H21" s="19">
        <v>5</v>
      </c>
      <c r="I21" s="19">
        <v>5</v>
      </c>
      <c r="J21" s="19"/>
    </row>
    <row r="22" spans="1:10" s="1" customFormat="1" x14ac:dyDescent="0.3">
      <c r="A22" s="37" t="s">
        <v>60</v>
      </c>
      <c r="B22" s="37">
        <f>B20*B21</f>
        <v>600</v>
      </c>
      <c r="C22" s="37">
        <f>C20*C21</f>
        <v>525</v>
      </c>
      <c r="D22" s="37"/>
      <c r="G22" s="37" t="s">
        <v>60</v>
      </c>
      <c r="H22" s="37">
        <f>H20*H21</f>
        <v>600</v>
      </c>
      <c r="I22" s="37">
        <f>I20*I21</f>
        <v>525</v>
      </c>
      <c r="J22" s="37"/>
    </row>
    <row r="24" spans="1:10" x14ac:dyDescent="0.3">
      <c r="A24" s="28" t="s">
        <v>61</v>
      </c>
      <c r="B24" s="27"/>
      <c r="C24" s="27"/>
      <c r="D24" s="27"/>
      <c r="G24" s="28" t="s">
        <v>61</v>
      </c>
      <c r="H24" s="27"/>
      <c r="I24" s="27"/>
      <c r="J24" s="27"/>
    </row>
    <row r="25" spans="1:10" s="1" customFormat="1" x14ac:dyDescent="0.3">
      <c r="A25" s="38" t="s">
        <v>62</v>
      </c>
      <c r="B25" s="38">
        <v>40</v>
      </c>
      <c r="C25" s="38"/>
      <c r="D25" s="38"/>
      <c r="G25" s="38" t="s">
        <v>62</v>
      </c>
      <c r="H25" s="38">
        <v>40</v>
      </c>
      <c r="I25" s="38"/>
      <c r="J25" s="38"/>
    </row>
    <row r="26" spans="1:10" x14ac:dyDescent="0.3">
      <c r="A26" s="27" t="s">
        <v>63</v>
      </c>
      <c r="B26" s="27">
        <v>4</v>
      </c>
      <c r="C26" s="27"/>
      <c r="D26" s="27"/>
      <c r="G26" s="27" t="s">
        <v>63</v>
      </c>
      <c r="H26" s="27">
        <v>4</v>
      </c>
      <c r="I26" s="27"/>
      <c r="J26" s="27"/>
    </row>
    <row r="27" spans="1:10" s="1" customFormat="1" x14ac:dyDescent="0.3">
      <c r="A27" s="38" t="s">
        <v>64</v>
      </c>
      <c r="B27" s="38">
        <f>B25*B26</f>
        <v>160</v>
      </c>
      <c r="C27" s="38"/>
      <c r="D27" s="38"/>
      <c r="G27" s="38" t="s">
        <v>64</v>
      </c>
      <c r="H27" s="38">
        <f>H25*H26</f>
        <v>160</v>
      </c>
      <c r="I27" s="38"/>
      <c r="J27" s="38"/>
    </row>
    <row r="29" spans="1:10" x14ac:dyDescent="0.3">
      <c r="A29" s="14" t="s">
        <v>69</v>
      </c>
      <c r="B29" s="8"/>
      <c r="C29" s="8"/>
      <c r="D29" s="8"/>
      <c r="G29" s="14" t="s">
        <v>69</v>
      </c>
      <c r="H29" s="8"/>
      <c r="I29" s="8"/>
      <c r="J29" s="8"/>
    </row>
    <row r="30" spans="1:10" s="1" customFormat="1" x14ac:dyDescent="0.3">
      <c r="A30" s="10" t="s">
        <v>68</v>
      </c>
      <c r="B30" s="10">
        <v>50</v>
      </c>
      <c r="C30" s="10">
        <v>50</v>
      </c>
      <c r="D30" s="10"/>
      <c r="G30" s="10" t="s">
        <v>68</v>
      </c>
      <c r="H30" s="10">
        <v>50</v>
      </c>
      <c r="I30" s="10">
        <v>50</v>
      </c>
      <c r="J30" s="10"/>
    </row>
    <row r="31" spans="1:10" x14ac:dyDescent="0.3">
      <c r="A31" s="8" t="s">
        <v>65</v>
      </c>
      <c r="B31" s="8">
        <v>4</v>
      </c>
      <c r="C31" s="8">
        <v>4</v>
      </c>
      <c r="D31" s="8"/>
      <c r="G31" s="8" t="s">
        <v>65</v>
      </c>
      <c r="H31" s="8">
        <v>4</v>
      </c>
      <c r="I31" s="8">
        <v>4</v>
      </c>
      <c r="J31" s="8"/>
    </row>
    <row r="32" spans="1:10" x14ac:dyDescent="0.3">
      <c r="A32" s="8" t="s">
        <v>66</v>
      </c>
      <c r="B32" s="8">
        <v>2</v>
      </c>
      <c r="C32" s="8">
        <v>2</v>
      </c>
      <c r="D32" s="8"/>
      <c r="G32" s="8" t="s">
        <v>66</v>
      </c>
      <c r="H32" s="8">
        <v>4</v>
      </c>
      <c r="I32" s="8">
        <v>4</v>
      </c>
      <c r="J32" s="8"/>
    </row>
    <row r="33" spans="1:10" s="1" customFormat="1" x14ac:dyDescent="0.3">
      <c r="A33" s="10" t="s">
        <v>67</v>
      </c>
      <c r="B33" s="10">
        <f>B30*B31*B32</f>
        <v>400</v>
      </c>
      <c r="C33" s="10">
        <f>C30*C31*C32</f>
        <v>400</v>
      </c>
      <c r="D33" s="10"/>
      <c r="G33" s="10" t="s">
        <v>67</v>
      </c>
      <c r="H33" s="10">
        <f>H30*H31*H32</f>
        <v>800</v>
      </c>
      <c r="I33" s="10">
        <f>I30*I31*I32</f>
        <v>800</v>
      </c>
      <c r="J33" s="10"/>
    </row>
    <row r="34" spans="1:10" s="4" customFormat="1" x14ac:dyDescent="0.3">
      <c r="A34" s="33"/>
      <c r="B34" s="4" t="s">
        <v>41</v>
      </c>
      <c r="C34" s="4" t="s">
        <v>42</v>
      </c>
      <c r="D34" s="4" t="s">
        <v>70</v>
      </c>
      <c r="G34" s="33"/>
      <c r="H34" s="4" t="s">
        <v>41</v>
      </c>
      <c r="I34" s="4" t="s">
        <v>42</v>
      </c>
      <c r="J34" s="4" t="s">
        <v>70</v>
      </c>
    </row>
    <row r="35" spans="1:10" x14ac:dyDescent="0.3">
      <c r="A35" s="31" t="s">
        <v>19</v>
      </c>
      <c r="B35" s="32">
        <f>SUM(B17+B22+B27+B33)</f>
        <v>1854</v>
      </c>
      <c r="C35" s="32">
        <f>SUM(C17+C22+C27+C33)</f>
        <v>1853</v>
      </c>
      <c r="D35" s="32">
        <f>SUM(D17+D22+D27+D33)</f>
        <v>1810</v>
      </c>
      <c r="G35" s="31" t="s">
        <v>19</v>
      </c>
      <c r="H35" s="32">
        <f>SUM(H17+H22+H27+H33)</f>
        <v>2948</v>
      </c>
      <c r="I35" s="32">
        <f>SUM(I17+I22+I27+I33)</f>
        <v>3181</v>
      </c>
      <c r="J35" s="32">
        <f>SUM(J17+J22+J27+J33)</f>
        <v>3620</v>
      </c>
    </row>
  </sheetData>
  <pageMargins left="0.7" right="0.7" top="0.75" bottom="0.75" header="0.3" footer="0.3"/>
  <pageSetup scale="6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D16" sqref="D16"/>
    </sheetView>
  </sheetViews>
  <sheetFormatPr defaultRowHeight="14.4" x14ac:dyDescent="0.3"/>
  <cols>
    <col min="1" max="1" width="25.5546875" customWidth="1"/>
    <col min="2" max="2" width="13.21875" customWidth="1"/>
    <col min="3" max="3" width="13.21875" bestFit="1" customWidth="1"/>
    <col min="4" max="4" width="11.88671875" customWidth="1"/>
    <col min="10" max="10" width="24.5546875" customWidth="1"/>
    <col min="11" max="11" width="12" customWidth="1"/>
    <col min="12" max="12" width="14.21875" customWidth="1"/>
    <col min="13" max="13" width="13.77734375" customWidth="1"/>
  </cols>
  <sheetData>
    <row r="1" spans="1:13" x14ac:dyDescent="0.3">
      <c r="A1" t="s">
        <v>17</v>
      </c>
      <c r="B1" t="s">
        <v>72</v>
      </c>
      <c r="C1" t="s">
        <v>88</v>
      </c>
      <c r="D1" t="s">
        <v>74</v>
      </c>
      <c r="J1" t="s">
        <v>20</v>
      </c>
      <c r="K1" t="s">
        <v>72</v>
      </c>
      <c r="L1" t="s">
        <v>88</v>
      </c>
      <c r="M1" t="s">
        <v>74</v>
      </c>
    </row>
    <row r="2" spans="1:13" x14ac:dyDescent="0.3">
      <c r="A2" s="39" t="s">
        <v>75</v>
      </c>
      <c r="B2" s="40">
        <v>29</v>
      </c>
      <c r="C2" s="40">
        <v>149</v>
      </c>
      <c r="D2" s="40">
        <v>549</v>
      </c>
      <c r="J2" s="39" t="s">
        <v>75</v>
      </c>
      <c r="K2" s="40">
        <v>29</v>
      </c>
      <c r="L2" s="40">
        <v>149</v>
      </c>
      <c r="M2" s="40">
        <v>549</v>
      </c>
    </row>
    <row r="4" spans="1:13" x14ac:dyDescent="0.3">
      <c r="A4" s="8" t="s">
        <v>76</v>
      </c>
      <c r="B4" s="10">
        <v>40</v>
      </c>
      <c r="C4" s="10">
        <v>90</v>
      </c>
      <c r="D4" s="10">
        <v>370</v>
      </c>
      <c r="J4" s="8" t="s">
        <v>76</v>
      </c>
      <c r="K4" s="10">
        <v>40</v>
      </c>
      <c r="L4" s="10">
        <v>90</v>
      </c>
      <c r="M4" s="10">
        <v>370</v>
      </c>
    </row>
    <row r="5" spans="1:13" x14ac:dyDescent="0.3">
      <c r="A5" s="8" t="s">
        <v>77</v>
      </c>
      <c r="B5" s="45">
        <v>200</v>
      </c>
      <c r="C5" s="45">
        <v>1000</v>
      </c>
      <c r="D5" s="45">
        <v>11000</v>
      </c>
      <c r="J5" s="8" t="s">
        <v>77</v>
      </c>
      <c r="K5" s="45">
        <v>200</v>
      </c>
      <c r="L5" s="45">
        <v>1000</v>
      </c>
      <c r="M5" s="45">
        <v>11000</v>
      </c>
    </row>
    <row r="6" spans="1:13" x14ac:dyDescent="0.3">
      <c r="A6" s="8" t="s">
        <v>78</v>
      </c>
      <c r="B6" s="10">
        <f>B4/B5</f>
        <v>0.2</v>
      </c>
      <c r="C6" s="41">
        <f>C4/C5</f>
        <v>0.09</v>
      </c>
      <c r="D6" s="42">
        <f>D4/D5</f>
        <v>3.3636363636363638E-2</v>
      </c>
      <c r="J6" s="8" t="s">
        <v>78</v>
      </c>
      <c r="K6" s="10">
        <f>K4/K5</f>
        <v>0.2</v>
      </c>
      <c r="L6" s="41">
        <f>L4/L5</f>
        <v>0.09</v>
      </c>
      <c r="M6" s="42">
        <f>M4/M5</f>
        <v>3.3636363636363638E-2</v>
      </c>
    </row>
    <row r="8" spans="1:13" x14ac:dyDescent="0.3">
      <c r="A8" s="7" t="s">
        <v>79</v>
      </c>
      <c r="B8" s="7">
        <v>15</v>
      </c>
      <c r="C8" s="7">
        <v>15</v>
      </c>
      <c r="D8" s="7">
        <v>15</v>
      </c>
      <c r="J8" s="7" t="s">
        <v>79</v>
      </c>
      <c r="K8" s="7">
        <v>500</v>
      </c>
      <c r="L8" s="7">
        <v>500</v>
      </c>
      <c r="M8" s="7">
        <v>500</v>
      </c>
    </row>
    <row r="9" spans="1:13" x14ac:dyDescent="0.3">
      <c r="A9" s="7" t="s">
        <v>81</v>
      </c>
      <c r="B9" s="7">
        <v>5</v>
      </c>
      <c r="C9" s="7">
        <v>5</v>
      </c>
      <c r="D9" s="7">
        <v>5</v>
      </c>
      <c r="J9" s="7" t="s">
        <v>81</v>
      </c>
      <c r="K9" s="7">
        <v>5</v>
      </c>
      <c r="L9" s="7">
        <v>5</v>
      </c>
      <c r="M9" s="7">
        <v>5</v>
      </c>
    </row>
    <row r="10" spans="1:13" x14ac:dyDescent="0.3">
      <c r="A10" s="7" t="s">
        <v>80</v>
      </c>
      <c r="B10" s="7">
        <v>50</v>
      </c>
      <c r="C10" s="7">
        <v>50</v>
      </c>
      <c r="D10" s="7">
        <v>50</v>
      </c>
      <c r="J10" s="7" t="s">
        <v>80</v>
      </c>
      <c r="K10" s="7">
        <v>50</v>
      </c>
      <c r="L10" s="7">
        <v>50</v>
      </c>
      <c r="M10" s="7">
        <v>50</v>
      </c>
    </row>
    <row r="11" spans="1:13" x14ac:dyDescent="0.3">
      <c r="A11" s="7" t="s">
        <v>82</v>
      </c>
      <c r="B11" s="7">
        <f>B8*B9*B10</f>
        <v>3750</v>
      </c>
      <c r="C11" s="7">
        <f t="shared" ref="C11:D11" si="0">C8*C9*C10</f>
        <v>3750</v>
      </c>
      <c r="D11" s="7">
        <f t="shared" si="0"/>
        <v>3750</v>
      </c>
      <c r="J11" s="7" t="s">
        <v>82</v>
      </c>
      <c r="K11" s="7">
        <f>K8*K9*K10</f>
        <v>125000</v>
      </c>
      <c r="L11" s="7">
        <f t="shared" ref="L11" si="1">L8*L9*L10</f>
        <v>125000</v>
      </c>
      <c r="M11" s="7">
        <f t="shared" ref="M11" si="2">M8*M9*M10</f>
        <v>125000</v>
      </c>
    </row>
    <row r="13" spans="1:13" x14ac:dyDescent="0.3">
      <c r="A13" s="6" t="s">
        <v>83</v>
      </c>
      <c r="B13" s="6">
        <v>3750</v>
      </c>
      <c r="C13" s="6">
        <v>3750</v>
      </c>
      <c r="D13" s="6">
        <v>3750</v>
      </c>
      <c r="J13" s="6" t="s">
        <v>83</v>
      </c>
      <c r="K13" s="6">
        <v>125000</v>
      </c>
      <c r="L13" s="6">
        <v>125000</v>
      </c>
      <c r="M13" s="6">
        <v>125000</v>
      </c>
    </row>
    <row r="14" spans="1:13" x14ac:dyDescent="0.3">
      <c r="A14" s="6" t="s">
        <v>84</v>
      </c>
      <c r="B14" s="43">
        <f>B13*B6</f>
        <v>750</v>
      </c>
      <c r="C14" s="43">
        <f t="shared" ref="C14" si="3">C13*C6</f>
        <v>337.5</v>
      </c>
      <c r="D14" s="43">
        <f>D13*D6</f>
        <v>126.13636363636364</v>
      </c>
      <c r="J14" s="6" t="s">
        <v>84</v>
      </c>
      <c r="K14" s="43">
        <f>K13*K6</f>
        <v>25000</v>
      </c>
      <c r="L14" s="43">
        <f t="shared" ref="L14" si="4">L13*L6</f>
        <v>11250</v>
      </c>
      <c r="M14" s="43">
        <f>M13*M6</f>
        <v>4204.545454545455</v>
      </c>
    </row>
    <row r="15" spans="1:13" x14ac:dyDescent="0.3">
      <c r="A15" s="6" t="s">
        <v>85</v>
      </c>
      <c r="B15" s="6">
        <v>2</v>
      </c>
      <c r="C15" s="6">
        <v>2</v>
      </c>
      <c r="D15" s="6">
        <v>2</v>
      </c>
      <c r="J15" s="6" t="s">
        <v>85</v>
      </c>
      <c r="K15" s="6">
        <v>2</v>
      </c>
      <c r="L15" s="6">
        <v>2</v>
      </c>
      <c r="M15" s="6">
        <v>2</v>
      </c>
    </row>
    <row r="17" spans="1:13" x14ac:dyDescent="0.3">
      <c r="A17" s="31" t="s">
        <v>86</v>
      </c>
      <c r="B17" s="32">
        <f>B14*B15</f>
        <v>1500</v>
      </c>
      <c r="C17" s="32">
        <f t="shared" ref="C17:D17" si="5">C14*C15</f>
        <v>675</v>
      </c>
      <c r="D17" s="32">
        <f t="shared" si="5"/>
        <v>252.27272727272728</v>
      </c>
      <c r="J17" s="31" t="s">
        <v>86</v>
      </c>
      <c r="K17" s="32">
        <f>K14*K15</f>
        <v>50000</v>
      </c>
      <c r="L17" s="32">
        <f t="shared" ref="L17:M17" si="6">L14*L15</f>
        <v>22500</v>
      </c>
      <c r="M17" s="32">
        <f t="shared" si="6"/>
        <v>8409.0909090909099</v>
      </c>
    </row>
    <row r="18" spans="1:13" s="26" customFormat="1" x14ac:dyDescent="0.3">
      <c r="B18" s="46"/>
      <c r="C18" s="46"/>
      <c r="D18" s="46"/>
      <c r="K18" s="46"/>
      <c r="L18" s="46"/>
      <c r="M18" s="46"/>
    </row>
    <row r="19" spans="1:13" x14ac:dyDescent="0.3">
      <c r="A19" s="19"/>
      <c r="B19" s="19" t="s">
        <v>72</v>
      </c>
      <c r="C19" s="19" t="s">
        <v>73</v>
      </c>
      <c r="D19" s="19" t="s">
        <v>74</v>
      </c>
      <c r="J19" s="19"/>
      <c r="K19" s="19" t="s">
        <v>72</v>
      </c>
      <c r="L19" s="19" t="s">
        <v>73</v>
      </c>
      <c r="M19" s="19" t="s">
        <v>74</v>
      </c>
    </row>
    <row r="20" spans="1:13" x14ac:dyDescent="0.3">
      <c r="A20" s="19" t="s">
        <v>87</v>
      </c>
      <c r="B20" s="44">
        <f>B17+B2</f>
        <v>1529</v>
      </c>
      <c r="C20" s="44">
        <f t="shared" ref="C20:D20" si="7">C17+C2</f>
        <v>824</v>
      </c>
      <c r="D20" s="44">
        <f t="shared" si="7"/>
        <v>801.27272727272725</v>
      </c>
      <c r="J20" s="19" t="s">
        <v>87</v>
      </c>
      <c r="K20" s="44">
        <f>K17+K2</f>
        <v>50029</v>
      </c>
      <c r="L20" s="44">
        <f t="shared" ref="L20:M20" si="8">L17+L2</f>
        <v>22649</v>
      </c>
      <c r="M20" s="44">
        <f t="shared" si="8"/>
        <v>8958.0909090909099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95" workbookViewId="0">
      <selection activeCell="M42" sqref="M42"/>
    </sheetView>
  </sheetViews>
  <sheetFormatPr defaultRowHeight="14.4" x14ac:dyDescent="0.3"/>
  <cols>
    <col min="1" max="1" width="25.21875" bestFit="1" customWidth="1"/>
    <col min="2" max="4" width="10.5546875" bestFit="1" customWidth="1"/>
    <col min="7" max="7" width="25.21875" bestFit="1" customWidth="1"/>
    <col min="8" max="10" width="10.5546875" bestFit="1" customWidth="1"/>
  </cols>
  <sheetData>
    <row r="1" spans="1:10" s="4" customFormat="1" x14ac:dyDescent="0.3">
      <c r="A1" s="4" t="s">
        <v>17</v>
      </c>
      <c r="B1" s="4" t="s">
        <v>109</v>
      </c>
      <c r="C1" s="4" t="s">
        <v>110</v>
      </c>
      <c r="D1" s="4" t="s">
        <v>111</v>
      </c>
      <c r="G1" s="4" t="s">
        <v>20</v>
      </c>
      <c r="H1" s="4" t="s">
        <v>109</v>
      </c>
      <c r="I1" s="4" t="s">
        <v>110</v>
      </c>
      <c r="J1" s="4" t="s">
        <v>111</v>
      </c>
    </row>
    <row r="3" spans="1:10" x14ac:dyDescent="0.3">
      <c r="A3" s="56" t="s">
        <v>92</v>
      </c>
      <c r="B3" s="57">
        <v>0</v>
      </c>
      <c r="C3" s="57">
        <v>500</v>
      </c>
      <c r="D3" s="57">
        <v>0</v>
      </c>
      <c r="G3" s="56" t="s">
        <v>92</v>
      </c>
      <c r="H3" s="57">
        <v>0</v>
      </c>
      <c r="I3" s="57">
        <v>500</v>
      </c>
      <c r="J3" s="57">
        <v>0</v>
      </c>
    </row>
    <row r="4" spans="1:10" x14ac:dyDescent="0.3">
      <c r="A4" s="55"/>
      <c r="B4" s="1"/>
      <c r="C4" s="1"/>
      <c r="D4" s="1"/>
      <c r="G4" s="55"/>
      <c r="H4" s="1"/>
      <c r="I4" s="1"/>
      <c r="J4" s="1"/>
    </row>
    <row r="5" spans="1:10" x14ac:dyDescent="0.3">
      <c r="A5" s="25" t="s">
        <v>124</v>
      </c>
      <c r="B5" s="19"/>
      <c r="C5" s="19"/>
      <c r="D5" s="19"/>
      <c r="G5" s="25" t="s">
        <v>124</v>
      </c>
      <c r="H5" s="19"/>
      <c r="I5" s="19"/>
      <c r="J5" s="19"/>
    </row>
    <row r="6" spans="1:10" x14ac:dyDescent="0.3">
      <c r="A6" s="19" t="s">
        <v>112</v>
      </c>
      <c r="B6" s="37">
        <v>9.5</v>
      </c>
      <c r="C6" s="37">
        <v>0</v>
      </c>
      <c r="D6" s="37">
        <v>0</v>
      </c>
      <c r="G6" s="19" t="s">
        <v>112</v>
      </c>
      <c r="H6" s="37">
        <v>9.5</v>
      </c>
      <c r="I6" s="37">
        <v>0</v>
      </c>
      <c r="J6" s="37">
        <v>0</v>
      </c>
    </row>
    <row r="7" spans="1:10" x14ac:dyDescent="0.3">
      <c r="A7" s="19" t="s">
        <v>122</v>
      </c>
      <c r="B7" s="37">
        <v>30</v>
      </c>
      <c r="C7" s="37">
        <v>0</v>
      </c>
      <c r="D7" s="37">
        <v>0</v>
      </c>
      <c r="G7" s="19" t="s">
        <v>122</v>
      </c>
      <c r="H7" s="37">
        <v>30</v>
      </c>
      <c r="I7" s="37">
        <v>0</v>
      </c>
      <c r="J7" s="37">
        <v>0</v>
      </c>
    </row>
    <row r="8" spans="1:10" x14ac:dyDescent="0.3">
      <c r="A8" s="19" t="s">
        <v>113</v>
      </c>
      <c r="B8" s="19"/>
      <c r="C8" s="19"/>
      <c r="D8" s="19"/>
      <c r="G8" s="19" t="s">
        <v>113</v>
      </c>
      <c r="H8" s="19"/>
      <c r="I8" s="19"/>
      <c r="J8" s="19"/>
    </row>
    <row r="9" spans="1:10" x14ac:dyDescent="0.3">
      <c r="A9" s="19" t="s">
        <v>115</v>
      </c>
      <c r="B9" s="37">
        <v>19</v>
      </c>
      <c r="C9" s="37">
        <v>35</v>
      </c>
      <c r="D9" s="37">
        <v>55</v>
      </c>
      <c r="G9" s="19" t="s">
        <v>115</v>
      </c>
      <c r="H9" s="37">
        <v>19</v>
      </c>
      <c r="I9" s="37">
        <v>35</v>
      </c>
      <c r="J9" s="37">
        <v>55</v>
      </c>
    </row>
    <row r="10" spans="1:10" x14ac:dyDescent="0.3">
      <c r="A10" s="19" t="s">
        <v>117</v>
      </c>
      <c r="B10" s="19">
        <v>1</v>
      </c>
      <c r="C10" s="19">
        <v>1</v>
      </c>
      <c r="D10" s="19">
        <v>1</v>
      </c>
      <c r="G10" s="19" t="s">
        <v>117</v>
      </c>
      <c r="H10" s="19">
        <v>1</v>
      </c>
      <c r="I10" s="19">
        <v>1</v>
      </c>
      <c r="J10" s="19">
        <v>1</v>
      </c>
    </row>
    <row r="11" spans="1:10" x14ac:dyDescent="0.3">
      <c r="A11" s="19" t="s">
        <v>116</v>
      </c>
      <c r="B11" s="19">
        <v>3</v>
      </c>
      <c r="C11" s="19">
        <v>3</v>
      </c>
      <c r="D11" s="19">
        <v>3</v>
      </c>
      <c r="G11" s="19" t="s">
        <v>116</v>
      </c>
      <c r="H11" s="19">
        <v>1</v>
      </c>
      <c r="I11" s="19">
        <v>1</v>
      </c>
      <c r="J11" s="19">
        <v>1</v>
      </c>
    </row>
    <row r="12" spans="1:10" x14ac:dyDescent="0.3">
      <c r="A12" s="19" t="s">
        <v>114</v>
      </c>
      <c r="B12" s="37">
        <v>20</v>
      </c>
      <c r="C12" s="37">
        <v>15</v>
      </c>
      <c r="D12" s="37">
        <v>5</v>
      </c>
      <c r="G12" s="19" t="s">
        <v>114</v>
      </c>
      <c r="H12" s="37">
        <v>20</v>
      </c>
      <c r="I12" s="37">
        <v>15</v>
      </c>
      <c r="J12" s="37">
        <v>5</v>
      </c>
    </row>
    <row r="13" spans="1:10" x14ac:dyDescent="0.3">
      <c r="A13" s="19" t="s">
        <v>118</v>
      </c>
      <c r="B13" s="19">
        <v>2</v>
      </c>
      <c r="C13" s="19">
        <v>2</v>
      </c>
      <c r="D13" s="19">
        <v>2</v>
      </c>
      <c r="G13" s="19" t="s">
        <v>118</v>
      </c>
      <c r="H13" s="19">
        <v>0</v>
      </c>
      <c r="I13" s="19">
        <v>0</v>
      </c>
      <c r="J13" s="19">
        <v>0</v>
      </c>
    </row>
    <row r="14" spans="1:10" x14ac:dyDescent="0.3">
      <c r="A14" s="19" t="s">
        <v>119</v>
      </c>
      <c r="B14" s="37">
        <f>B12*B13</f>
        <v>40</v>
      </c>
      <c r="C14" s="37">
        <f t="shared" ref="C14:D14" si="0">C12*C13</f>
        <v>30</v>
      </c>
      <c r="D14" s="37">
        <f t="shared" si="0"/>
        <v>10</v>
      </c>
      <c r="G14" s="19" t="s">
        <v>119</v>
      </c>
      <c r="H14" s="37">
        <f>H12*H13</f>
        <v>0</v>
      </c>
      <c r="I14" s="37">
        <f t="shared" ref="I14" si="1">I12*I13</f>
        <v>0</v>
      </c>
      <c r="J14" s="37">
        <f t="shared" ref="J14" si="2">J12*J13</f>
        <v>0</v>
      </c>
    </row>
    <row r="15" spans="1:10" x14ac:dyDescent="0.3">
      <c r="A15" s="19" t="s">
        <v>120</v>
      </c>
      <c r="B15" s="44">
        <f>B9+B14</f>
        <v>59</v>
      </c>
      <c r="C15" s="44">
        <f t="shared" ref="C15:D15" si="3">C9+C14</f>
        <v>65</v>
      </c>
      <c r="D15" s="44">
        <f t="shared" si="3"/>
        <v>65</v>
      </c>
      <c r="G15" s="19" t="s">
        <v>120</v>
      </c>
      <c r="H15" s="44">
        <f>H9+H14</f>
        <v>19</v>
      </c>
      <c r="I15" s="44">
        <f t="shared" ref="I15" si="4">I9+I14</f>
        <v>35</v>
      </c>
      <c r="J15" s="44">
        <f t="shared" ref="J15" si="5">J9+J14</f>
        <v>55</v>
      </c>
    </row>
    <row r="17" spans="1:10" x14ac:dyDescent="0.3">
      <c r="A17" s="27" t="s">
        <v>121</v>
      </c>
      <c r="B17" s="27">
        <v>24</v>
      </c>
      <c r="C17" s="27">
        <v>24</v>
      </c>
      <c r="D17" s="27">
        <v>24</v>
      </c>
      <c r="G17" s="27" t="s">
        <v>121</v>
      </c>
      <c r="H17" s="27">
        <v>24</v>
      </c>
      <c r="I17" s="27">
        <v>24</v>
      </c>
      <c r="J17" s="27">
        <v>24</v>
      </c>
    </row>
    <row r="19" spans="1:10" x14ac:dyDescent="0.3">
      <c r="A19" s="51" t="s">
        <v>123</v>
      </c>
      <c r="B19" s="58">
        <f>B6+B7+B15</f>
        <v>98.5</v>
      </c>
      <c r="C19" s="58">
        <f>C6+C7+C15</f>
        <v>65</v>
      </c>
      <c r="D19" s="58">
        <f>D6+D7+D15</f>
        <v>65</v>
      </c>
      <c r="G19" s="51" t="s">
        <v>123</v>
      </c>
      <c r="H19" s="58">
        <f>H6+H7+H15</f>
        <v>58.5</v>
      </c>
      <c r="I19" s="58">
        <f>I6+I7+I15</f>
        <v>35</v>
      </c>
      <c r="J19" s="58">
        <f>J6+J7+J15</f>
        <v>55</v>
      </c>
    </row>
    <row r="20" spans="1:10" x14ac:dyDescent="0.3">
      <c r="A20" s="53" t="s">
        <v>126</v>
      </c>
      <c r="B20" s="54">
        <f>B19*B17</f>
        <v>2364</v>
      </c>
      <c r="C20" s="54">
        <f>C19*C17</f>
        <v>1560</v>
      </c>
      <c r="D20" s="54">
        <f t="shared" ref="C20:D20" si="6">D19*D17</f>
        <v>1560</v>
      </c>
      <c r="G20" s="53" t="s">
        <v>126</v>
      </c>
      <c r="H20" s="54">
        <f>H19*H17</f>
        <v>1404</v>
      </c>
      <c r="I20" s="54">
        <f>I19*I17</f>
        <v>840</v>
      </c>
      <c r="J20" s="54">
        <f t="shared" ref="J20" si="7">J19*J17</f>
        <v>1320</v>
      </c>
    </row>
    <row r="22" spans="1:10" s="4" customFormat="1" x14ac:dyDescent="0.3">
      <c r="A22" s="59"/>
      <c r="B22" s="59" t="s">
        <v>109</v>
      </c>
      <c r="C22" s="59" t="s">
        <v>110</v>
      </c>
      <c r="D22" s="59" t="s">
        <v>111</v>
      </c>
      <c r="G22" s="59"/>
      <c r="H22" s="59" t="s">
        <v>109</v>
      </c>
      <c r="I22" s="59" t="s">
        <v>110</v>
      </c>
      <c r="J22" s="59" t="s">
        <v>111</v>
      </c>
    </row>
    <row r="23" spans="1:10" x14ac:dyDescent="0.3">
      <c r="A23" s="48" t="s">
        <v>125</v>
      </c>
      <c r="B23" s="50">
        <f>B3+B20</f>
        <v>2364</v>
      </c>
      <c r="C23" s="50">
        <f>C3+C20</f>
        <v>2060</v>
      </c>
      <c r="D23" s="50">
        <f>D3+D20</f>
        <v>1560</v>
      </c>
      <c r="G23" s="48" t="s">
        <v>125</v>
      </c>
      <c r="H23" s="50">
        <f>H3+H20</f>
        <v>1404</v>
      </c>
      <c r="I23" s="50">
        <f>I3+I20</f>
        <v>1340</v>
      </c>
      <c r="J23" s="50">
        <f>J3+J20</f>
        <v>1320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G21" sqref="G21"/>
    </sheetView>
  </sheetViews>
  <sheetFormatPr defaultRowHeight="14.4" x14ac:dyDescent="0.3"/>
  <cols>
    <col min="1" max="1" width="36.33203125" bestFit="1" customWidth="1"/>
    <col min="2" max="2" width="16.44140625" customWidth="1"/>
    <col min="3" max="3" width="13.5546875" customWidth="1"/>
    <col min="4" max="4" width="16.21875" customWidth="1"/>
    <col min="7" max="7" width="36.33203125" bestFit="1" customWidth="1"/>
    <col min="8" max="8" width="12.77734375" customWidth="1"/>
    <col min="9" max="9" width="15.77734375" customWidth="1"/>
    <col min="10" max="10" width="15" bestFit="1" customWidth="1"/>
  </cols>
  <sheetData>
    <row r="1" spans="1:10" s="4" customFormat="1" x14ac:dyDescent="0.3">
      <c r="A1" s="4" t="s">
        <v>17</v>
      </c>
      <c r="B1" s="4" t="s">
        <v>89</v>
      </c>
      <c r="C1" s="4" t="s">
        <v>90</v>
      </c>
      <c r="D1" s="4" t="s">
        <v>91</v>
      </c>
      <c r="G1" s="4" t="s">
        <v>20</v>
      </c>
      <c r="H1" s="4" t="s">
        <v>89</v>
      </c>
      <c r="I1" s="4" t="s">
        <v>90</v>
      </c>
      <c r="J1" s="4" t="s">
        <v>91</v>
      </c>
    </row>
    <row r="2" spans="1:10" x14ac:dyDescent="0.3">
      <c r="A2" s="20" t="s">
        <v>92</v>
      </c>
      <c r="B2" s="21"/>
      <c r="C2" s="21"/>
      <c r="D2" s="21"/>
      <c r="G2" s="20" t="s">
        <v>92</v>
      </c>
      <c r="H2" s="21"/>
      <c r="I2" s="21"/>
      <c r="J2" s="21"/>
    </row>
    <row r="3" spans="1:10" x14ac:dyDescent="0.3">
      <c r="A3" s="21" t="s">
        <v>75</v>
      </c>
      <c r="B3" s="29">
        <v>14500</v>
      </c>
      <c r="C3" s="29">
        <v>31000</v>
      </c>
      <c r="D3" s="29">
        <v>72000</v>
      </c>
      <c r="G3" s="21" t="s">
        <v>75</v>
      </c>
      <c r="H3" s="29">
        <f>B3+0.4*B3</f>
        <v>20300</v>
      </c>
      <c r="I3" s="29">
        <f t="shared" ref="I3:J3" si="0">C3+0.4*C3</f>
        <v>43400</v>
      </c>
      <c r="J3" s="29">
        <f t="shared" si="0"/>
        <v>100800</v>
      </c>
    </row>
    <row r="4" spans="1:10" x14ac:dyDescent="0.3">
      <c r="A4" s="21" t="s">
        <v>93</v>
      </c>
      <c r="B4" s="29">
        <v>1450</v>
      </c>
      <c r="C4" s="29">
        <v>3100</v>
      </c>
      <c r="D4" s="29">
        <v>7200</v>
      </c>
      <c r="G4" s="21" t="s">
        <v>93</v>
      </c>
      <c r="H4" s="29">
        <v>1450</v>
      </c>
      <c r="I4" s="29">
        <v>3100</v>
      </c>
      <c r="J4" s="29">
        <v>7200</v>
      </c>
    </row>
    <row r="6" spans="1:10" x14ac:dyDescent="0.3">
      <c r="A6" s="47" t="s">
        <v>94</v>
      </c>
      <c r="B6" s="5"/>
      <c r="C6" s="5"/>
      <c r="D6" s="5"/>
      <c r="G6" s="47" t="s">
        <v>94</v>
      </c>
      <c r="H6" s="5"/>
      <c r="I6" s="5"/>
      <c r="J6" s="5"/>
    </row>
    <row r="7" spans="1:10" x14ac:dyDescent="0.3">
      <c r="A7" s="5" t="s">
        <v>95</v>
      </c>
      <c r="B7" s="30">
        <v>1500</v>
      </c>
      <c r="C7" s="30">
        <v>2500</v>
      </c>
      <c r="D7" s="30">
        <v>3100</v>
      </c>
      <c r="G7" s="5" t="s">
        <v>95</v>
      </c>
      <c r="H7" s="30">
        <v>1500</v>
      </c>
      <c r="I7" s="30">
        <v>2500</v>
      </c>
      <c r="J7" s="30">
        <v>3100</v>
      </c>
    </row>
    <row r="8" spans="1:10" x14ac:dyDescent="0.3">
      <c r="A8" s="5" t="s">
        <v>96</v>
      </c>
      <c r="B8" s="30">
        <v>210</v>
      </c>
      <c r="C8" s="30">
        <v>300</v>
      </c>
      <c r="D8" s="30">
        <v>450</v>
      </c>
      <c r="G8" s="5" t="s">
        <v>96</v>
      </c>
      <c r="H8" s="30">
        <v>210</v>
      </c>
      <c r="I8" s="30">
        <v>300</v>
      </c>
      <c r="J8" s="30">
        <v>450</v>
      </c>
    </row>
    <row r="9" spans="1:10" x14ac:dyDescent="0.3">
      <c r="A9" s="5" t="s">
        <v>97</v>
      </c>
      <c r="B9" s="30">
        <v>3411.43</v>
      </c>
      <c r="C9" s="30">
        <v>6284.21</v>
      </c>
      <c r="D9" s="30">
        <v>7023.53</v>
      </c>
      <c r="G9" s="5" t="s">
        <v>97</v>
      </c>
      <c r="H9" s="30">
        <v>3411.43</v>
      </c>
      <c r="I9" s="30">
        <v>6284.21</v>
      </c>
      <c r="J9" s="30">
        <v>7023.53</v>
      </c>
    </row>
    <row r="11" spans="1:10" x14ac:dyDescent="0.3">
      <c r="A11" s="48" t="s">
        <v>98</v>
      </c>
      <c r="B11" s="48"/>
      <c r="C11" s="48"/>
      <c r="D11" s="48"/>
      <c r="G11" s="48" t="s">
        <v>98</v>
      </c>
      <c r="H11" s="48"/>
      <c r="I11" s="48"/>
      <c r="J11" s="48"/>
    </row>
    <row r="12" spans="1:10" x14ac:dyDescent="0.3">
      <c r="A12" s="48" t="s">
        <v>99</v>
      </c>
      <c r="B12" s="48">
        <v>30000</v>
      </c>
      <c r="C12" s="48">
        <v>30000</v>
      </c>
      <c r="D12" s="48">
        <v>30000</v>
      </c>
      <c r="G12" s="48" t="s">
        <v>99</v>
      </c>
      <c r="H12" s="48">
        <v>30000</v>
      </c>
      <c r="I12" s="48">
        <v>30000</v>
      </c>
      <c r="J12" s="48">
        <v>30000</v>
      </c>
    </row>
    <row r="13" spans="1:10" x14ac:dyDescent="0.3">
      <c r="A13" s="48" t="s">
        <v>100</v>
      </c>
      <c r="B13" s="48">
        <v>35</v>
      </c>
      <c r="C13" s="48">
        <v>19</v>
      </c>
      <c r="D13" s="48">
        <v>17</v>
      </c>
      <c r="G13" s="48" t="s">
        <v>100</v>
      </c>
      <c r="H13" s="48">
        <v>35</v>
      </c>
      <c r="I13" s="48">
        <v>19</v>
      </c>
      <c r="J13" s="48">
        <v>17</v>
      </c>
    </row>
    <row r="14" spans="1:10" x14ac:dyDescent="0.3">
      <c r="A14" s="48" t="s">
        <v>101</v>
      </c>
      <c r="B14" s="49">
        <v>3.98</v>
      </c>
      <c r="C14" s="49">
        <v>3.98</v>
      </c>
      <c r="D14" s="49">
        <v>3.98</v>
      </c>
      <c r="G14" s="48" t="s">
        <v>101</v>
      </c>
      <c r="H14" s="49">
        <v>3.98</v>
      </c>
      <c r="I14" s="49">
        <v>3.98</v>
      </c>
      <c r="J14" s="49">
        <v>3.98</v>
      </c>
    </row>
    <row r="15" spans="1:10" x14ac:dyDescent="0.3">
      <c r="A15" s="48" t="s">
        <v>102</v>
      </c>
      <c r="B15" s="50">
        <f>(B12/B13)*B14</f>
        <v>3411.4285714285711</v>
      </c>
      <c r="C15" s="50">
        <f t="shared" ref="C15:D15" si="1">(C12/C13)*C14</f>
        <v>6284.21052631579</v>
      </c>
      <c r="D15" s="50">
        <f t="shared" si="1"/>
        <v>7023.5294117647063</v>
      </c>
      <c r="G15" s="48" t="s">
        <v>102</v>
      </c>
      <c r="H15" s="50">
        <f>(H12/H13)*H14</f>
        <v>3411.4285714285711</v>
      </c>
      <c r="I15" s="50">
        <f t="shared" ref="I15" si="2">(I12/I13)*I14</f>
        <v>6284.21052631579</v>
      </c>
      <c r="J15" s="50">
        <f t="shared" ref="J15" si="3">(J12/J13)*J14</f>
        <v>7023.5294117647063</v>
      </c>
    </row>
    <row r="16" spans="1:10" s="26" customFormat="1" x14ac:dyDescent="0.3"/>
    <row r="17" spans="1:10" x14ac:dyDescent="0.3">
      <c r="A17" s="19" t="s">
        <v>103</v>
      </c>
      <c r="B17" s="44">
        <f>SUM(B7:B9)</f>
        <v>5121.43</v>
      </c>
      <c r="C17" s="44">
        <f t="shared" ref="C17:D17" si="4">SUM(C7:C9)</f>
        <v>9084.2099999999991</v>
      </c>
      <c r="D17" s="44">
        <f t="shared" si="4"/>
        <v>10573.529999999999</v>
      </c>
      <c r="G17" s="19" t="s">
        <v>103</v>
      </c>
      <c r="H17" s="44">
        <f>SUM(H7:H9)</f>
        <v>5121.43</v>
      </c>
      <c r="I17" s="44">
        <f t="shared" ref="I17:J17" si="5">SUM(I7:I9)</f>
        <v>9084.2099999999991</v>
      </c>
      <c r="J17" s="44">
        <f t="shared" si="5"/>
        <v>10573.529999999999</v>
      </c>
    </row>
    <row r="19" spans="1:10" x14ac:dyDescent="0.3">
      <c r="A19" s="51" t="s">
        <v>104</v>
      </c>
      <c r="B19" s="51">
        <v>30000</v>
      </c>
      <c r="C19" s="51">
        <v>30000</v>
      </c>
      <c r="D19" s="51">
        <v>30000</v>
      </c>
      <c r="G19" s="51" t="s">
        <v>104</v>
      </c>
      <c r="H19" s="51">
        <v>30000</v>
      </c>
      <c r="I19" s="51">
        <v>30000</v>
      </c>
      <c r="J19" s="51">
        <v>30000</v>
      </c>
    </row>
    <row r="20" spans="1:10" x14ac:dyDescent="0.3">
      <c r="A20" s="51" t="s">
        <v>105</v>
      </c>
      <c r="B20" s="51">
        <v>250000</v>
      </c>
      <c r="C20" s="51">
        <v>250000</v>
      </c>
      <c r="D20" s="51">
        <v>250000</v>
      </c>
      <c r="G20" s="51" t="s">
        <v>105</v>
      </c>
      <c r="H20" s="51">
        <v>250000</v>
      </c>
      <c r="I20" s="51">
        <v>250000</v>
      </c>
      <c r="J20" s="51">
        <v>250000</v>
      </c>
    </row>
    <row r="21" spans="1:10" x14ac:dyDescent="0.3">
      <c r="A21" s="51" t="s">
        <v>106</v>
      </c>
      <c r="B21" s="52">
        <f>B20/B19</f>
        <v>8.3333333333333339</v>
      </c>
      <c r="C21" s="52">
        <f t="shared" ref="C21:D21" si="6">C20/C19</f>
        <v>8.3333333333333339</v>
      </c>
      <c r="D21" s="52">
        <f t="shared" si="6"/>
        <v>8.3333333333333339</v>
      </c>
      <c r="G21" s="51" t="s">
        <v>106</v>
      </c>
      <c r="H21" s="52">
        <f>H20/H19</f>
        <v>8.3333333333333339</v>
      </c>
      <c r="I21" s="52">
        <f t="shared" ref="I21" si="7">I20/I19</f>
        <v>8.3333333333333339</v>
      </c>
      <c r="J21" s="52">
        <f t="shared" ref="J21" si="8">J20/J19</f>
        <v>8.3333333333333339</v>
      </c>
    </row>
    <row r="23" spans="1:10" x14ac:dyDescent="0.3">
      <c r="A23" s="53" t="s">
        <v>107</v>
      </c>
      <c r="B23" s="54">
        <f>B17*B21</f>
        <v>42678.583333333336</v>
      </c>
      <c r="C23" s="54">
        <f>C17*C21</f>
        <v>75701.75</v>
      </c>
      <c r="D23" s="54">
        <f>D17*D21</f>
        <v>88112.75</v>
      </c>
      <c r="G23" s="53" t="s">
        <v>107</v>
      </c>
      <c r="H23" s="54">
        <f>H17*H21</f>
        <v>42678.583333333336</v>
      </c>
      <c r="I23" s="54">
        <f>I17*I21</f>
        <v>75701.75</v>
      </c>
      <c r="J23" s="54">
        <f>J17*J21</f>
        <v>88112.75</v>
      </c>
    </row>
    <row r="24" spans="1:10" x14ac:dyDescent="0.3">
      <c r="B24" s="3"/>
      <c r="C24" s="3"/>
      <c r="D24" s="3"/>
      <c r="H24" s="3"/>
      <c r="I24" s="3"/>
      <c r="J24" s="3"/>
    </row>
    <row r="25" spans="1:10" x14ac:dyDescent="0.3">
      <c r="A25" s="31"/>
      <c r="B25" s="31" t="s">
        <v>89</v>
      </c>
      <c r="C25" s="31" t="s">
        <v>90</v>
      </c>
      <c r="D25" s="31" t="s">
        <v>91</v>
      </c>
      <c r="G25" s="31"/>
      <c r="H25" s="31" t="s">
        <v>89</v>
      </c>
      <c r="I25" s="31" t="s">
        <v>90</v>
      </c>
      <c r="J25" s="31" t="s">
        <v>91</v>
      </c>
    </row>
    <row r="26" spans="1:10" x14ac:dyDescent="0.3">
      <c r="A26" s="31" t="s">
        <v>108</v>
      </c>
      <c r="B26" s="32">
        <f>SUM(B3+B4+B23)</f>
        <v>58628.583333333336</v>
      </c>
      <c r="C26" s="32">
        <f>SUM(C3+C4+C23)</f>
        <v>109801.75</v>
      </c>
      <c r="D26" s="32">
        <f>SUM(D3+D4+D23)</f>
        <v>167312.75</v>
      </c>
      <c r="G26" s="31" t="s">
        <v>108</v>
      </c>
      <c r="H26" s="32">
        <f>SUM(H3+H4+H23)</f>
        <v>64428.583333333336</v>
      </c>
      <c r="I26" s="32">
        <f>SUM(I3+I4+I23)</f>
        <v>122201.75</v>
      </c>
      <c r="J26" s="32">
        <f>SUM(J3+J4+J23)</f>
        <v>196112.75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Solution School Supplies</vt:lpstr>
      <vt:lpstr>Cat or Dog</vt:lpstr>
      <vt:lpstr>Vacation Ideas</vt:lpstr>
      <vt:lpstr>Printer Selection</vt:lpstr>
      <vt:lpstr>Cell Phone</vt:lpstr>
      <vt:lpstr>Car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cp:lastPrinted>2023-12-21T16:52:05Z</cp:lastPrinted>
  <dcterms:created xsi:type="dcterms:W3CDTF">2023-12-21T09:39:41Z</dcterms:created>
  <dcterms:modified xsi:type="dcterms:W3CDTF">2023-12-21T21:13:32Z</dcterms:modified>
</cp:coreProperties>
</file>